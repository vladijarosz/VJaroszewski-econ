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Letras intrasf\"/>
    </mc:Choice>
  </mc:AlternateContent>
  <xr:revisionPtr revIDLastSave="0" documentId="13_ncr:1_{587B2721-2A38-4D8D-AB91-54935582240F}" xr6:coauthVersionLast="45" xr6:coauthVersionMax="45" xr10:uidLastSave="{00000000-0000-0000-0000-000000000000}"/>
  <bookViews>
    <workbookView xWindow="375" yWindow="975" windowWidth="20460" windowHeight="10890" xr2:uid="{4EEAC442-6966-40E0-A4D6-EA152B6F33B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F21" i="1"/>
  <c r="F20" i="1"/>
  <c r="E18" i="1"/>
  <c r="E19" i="1"/>
  <c r="E20" i="1"/>
  <c r="E17" i="1"/>
  <c r="E15" i="1"/>
  <c r="C17" i="1"/>
  <c r="H4" i="1"/>
  <c r="H5" i="1"/>
  <c r="H6" i="1"/>
  <c r="H7" i="1"/>
  <c r="H8" i="1"/>
  <c r="H9" i="1"/>
  <c r="H3" i="1"/>
  <c r="H25" i="1" l="1"/>
  <c r="H26" i="1"/>
  <c r="H27" i="1"/>
  <c r="H24" i="1"/>
  <c r="G25" i="1"/>
  <c r="G26" i="1"/>
  <c r="G27" i="1"/>
  <c r="G24" i="1"/>
  <c r="F25" i="1"/>
  <c r="F26" i="1"/>
  <c r="F27" i="1"/>
  <c r="F24" i="1"/>
  <c r="E25" i="1"/>
  <c r="E26" i="1"/>
  <c r="E27" i="1"/>
  <c r="E24" i="1"/>
  <c r="D25" i="1"/>
  <c r="D26" i="1"/>
  <c r="D27" i="1"/>
  <c r="D24" i="1"/>
  <c r="C25" i="1"/>
  <c r="C34" i="1" s="1"/>
  <c r="C26" i="1"/>
  <c r="C27" i="1"/>
  <c r="C24" i="1"/>
  <c r="B25" i="1"/>
  <c r="B26" i="1"/>
  <c r="B27" i="1"/>
  <c r="B24" i="1"/>
  <c r="A25" i="1"/>
  <c r="A26" i="1"/>
  <c r="A27" i="1"/>
  <c r="A24" i="1"/>
  <c r="F4" i="1"/>
  <c r="F5" i="1"/>
  <c r="F6" i="1"/>
  <c r="F7" i="1"/>
  <c r="F8" i="1"/>
  <c r="F9" i="1"/>
  <c r="F3" i="1"/>
  <c r="C32" i="1" l="1"/>
  <c r="C33" i="1"/>
  <c r="G4" i="1"/>
  <c r="G5" i="1"/>
  <c r="G6" i="1"/>
  <c r="G7" i="1"/>
  <c r="G8" i="1"/>
  <c r="G9" i="1"/>
  <c r="G3" i="1"/>
  <c r="E4" i="1"/>
  <c r="E5" i="1"/>
  <c r="E6" i="1"/>
  <c r="E7" i="1"/>
  <c r="E8" i="1"/>
  <c r="G16" i="1" s="1"/>
  <c r="E9" i="1"/>
  <c r="E3" i="1"/>
  <c r="D4" i="1"/>
  <c r="D5" i="1"/>
  <c r="D6" i="1"/>
  <c r="D7" i="1"/>
  <c r="D8" i="1"/>
  <c r="D9" i="1"/>
  <c r="D3" i="1"/>
  <c r="C4" i="1"/>
  <c r="C5" i="1"/>
  <c r="C6" i="1"/>
  <c r="C7" i="1"/>
  <c r="C8" i="1"/>
  <c r="C9" i="1"/>
  <c r="C3" i="1"/>
  <c r="B3" i="1"/>
  <c r="B4" i="1"/>
  <c r="B5" i="1"/>
  <c r="B6" i="1"/>
  <c r="B7" i="1"/>
  <c r="B8" i="1"/>
  <c r="B9" i="1"/>
  <c r="A3" i="1"/>
  <c r="A4" i="1"/>
  <c r="A5" i="1"/>
  <c r="A6" i="1"/>
  <c r="A7" i="1"/>
  <c r="A8" i="1"/>
  <c r="A9" i="1"/>
  <c r="C16" i="1" l="1"/>
  <c r="C15" i="1"/>
  <c r="G15" i="1"/>
  <c r="C14" i="1"/>
</calcChain>
</file>

<file path=xl/sharedStrings.xml><?xml version="1.0" encoding="utf-8"?>
<sst xmlns="http://schemas.openxmlformats.org/spreadsheetml/2006/main" count="36" uniqueCount="25">
  <si>
    <t>Patrimonio neto BCRA</t>
  </si>
  <si>
    <t>Otros pasivos</t>
  </si>
  <si>
    <t>Dep. Gob</t>
  </si>
  <si>
    <t>Letras Intr.</t>
  </si>
  <si>
    <t>Reservas brutas</t>
  </si>
  <si>
    <t>FECHA</t>
  </si>
  <si>
    <t>PN</t>
  </si>
  <si>
    <t>pasivo</t>
  </si>
  <si>
    <t>activo</t>
  </si>
  <si>
    <t>Acuerdo con el FMI por $12.000 millones usd</t>
  </si>
  <si>
    <t>Ingresan:</t>
  </si>
  <si>
    <t>a reservas:</t>
  </si>
  <si>
    <t xml:space="preserve">Cancelacion LI: </t>
  </si>
  <si>
    <t>Otros OOII hacen acuerdo por $6.100 millones de usd</t>
  </si>
  <si>
    <t>Ingresa:</t>
  </si>
  <si>
    <t>Ampliacion Repo por $2.000 millones de usd</t>
  </si>
  <si>
    <t>A dep. del Gob.</t>
  </si>
  <si>
    <t>Revision del Fondo del 15 de Junio</t>
  </si>
  <si>
    <t>El FMI hizo la primera revision y aprobo el 2° desembolso</t>
  </si>
  <si>
    <t>Desembolso por $2.000 millones de usd</t>
  </si>
  <si>
    <t xml:space="preserve">Ingresan: </t>
  </si>
  <si>
    <t xml:space="preserve">a reservas: </t>
  </si>
  <si>
    <t xml:space="preserve">cancelacion LI: </t>
  </si>
  <si>
    <t>TOTAL Activo</t>
  </si>
  <si>
    <t>TOTAL Pasivo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</si>
</sst>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409]* #,##0.00_ ;_-[$$-409]* \-#,##0.00\ ;_-[$$-409]* &quot;-&quot;??_ ;_-@_ "/>
    <numFmt numFmtId="165" formatCode="_-[$$-2C0A]\ * #,##0.00_-;\-[$$-2C0A]\ * #,##0.00_-;_-[$$-2C0A]\ * &quot;-&quot;??_-;_-@_-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  <xf numFmtId="44" fontId="0" fillId="0" borderId="0" xfId="0" applyNumberFormat="1"/>
    <xf numFmtId="0" fontId="3" fillId="0" borderId="0" xfId="0" applyFont="1"/>
    <xf numFmtId="44" fontId="0" fillId="5" borderId="0" xfId="0" applyNumberFormat="1" applyFill="1"/>
    <xf numFmtId="44" fontId="0" fillId="0" borderId="0" xfId="0" applyNumberFormat="1" applyFill="1"/>
    <xf numFmtId="164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0" borderId="1" xfId="0" applyBorder="1"/>
    <xf numFmtId="44" fontId="0" fillId="0" borderId="2" xfId="0" applyNumberFormat="1" applyBorder="1"/>
    <xf numFmtId="0" fontId="0" fillId="0" borderId="3" xfId="0" applyBorder="1"/>
    <xf numFmtId="44" fontId="0" fillId="0" borderId="4" xfId="0" applyNumberFormat="1" applyBorder="1"/>
    <xf numFmtId="0" fontId="0" fillId="0" borderId="5" xfId="0" applyBorder="1"/>
    <xf numFmtId="44" fontId="0" fillId="0" borderId="6" xfId="0" applyNumberFormat="1" applyBorder="1"/>
    <xf numFmtId="166" fontId="0" fillId="0" borderId="0" xfId="2" applyNumberFormat="1" applyFont="1"/>
    <xf numFmtId="0" fontId="2" fillId="6" borderId="0" xfId="0" applyFont="1" applyFill="1"/>
    <xf numFmtId="44" fontId="0" fillId="5" borderId="0" xfId="1" applyFont="1" applyFill="1"/>
    <xf numFmtId="0" fontId="0" fillId="0" borderId="0" xfId="0" applyFill="1" applyBorder="1"/>
    <xf numFmtId="16" fontId="0" fillId="2" borderId="0" xfId="0" applyNumberFormat="1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GitHub/VJaroszewski-econ/codigos/Codigos_resNet/df_us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9">
          <cell r="A9">
            <v>45747</v>
          </cell>
          <cell r="C9">
            <v>24986329.32976371</v>
          </cell>
          <cell r="D9">
            <v>23560539.4734024</v>
          </cell>
          <cell r="F9">
            <v>114389818.10452799</v>
          </cell>
          <cell r="H9">
            <v>7149777.4321964849</v>
          </cell>
          <cell r="J9">
            <v>20678111.356535912</v>
          </cell>
          <cell r="K9">
            <v>86934811.976254225</v>
          </cell>
        </row>
        <row r="10">
          <cell r="A10">
            <v>45754</v>
          </cell>
          <cell r="C10">
            <v>24837944.54282888</v>
          </cell>
          <cell r="D10">
            <v>23622483.41940178</v>
          </cell>
          <cell r="F10">
            <v>117583514.6018431</v>
          </cell>
          <cell r="H10">
            <v>7094779.1060631499</v>
          </cell>
          <cell r="J10">
            <v>20397747.40408013</v>
          </cell>
          <cell r="K10">
            <v>90565621.040434226</v>
          </cell>
        </row>
        <row r="11">
          <cell r="A11">
            <v>45762</v>
          </cell>
          <cell r="C11">
            <v>36776802.006573267</v>
          </cell>
          <cell r="D11">
            <v>23713298.183852829</v>
          </cell>
          <cell r="F11">
            <v>127216010.5886471</v>
          </cell>
          <cell r="H11">
            <v>18670188.630678382</v>
          </cell>
          <cell r="J11">
            <v>20480972.6778896</v>
          </cell>
          <cell r="K11">
            <v>99645272.438730672</v>
          </cell>
        </row>
        <row r="12">
          <cell r="A12">
            <v>45770</v>
          </cell>
          <cell r="C12">
            <v>38630696.261915371</v>
          </cell>
          <cell r="D12">
            <v>23778732.500668149</v>
          </cell>
          <cell r="F12">
            <v>128471030.66636971</v>
          </cell>
          <cell r="H12">
            <v>18989259.219599109</v>
          </cell>
          <cell r="J12">
            <v>31035178.469487749</v>
          </cell>
          <cell r="K12">
            <v>109742617.03875279</v>
          </cell>
        </row>
        <row r="13">
          <cell r="A13">
            <v>45777</v>
          </cell>
          <cell r="C13">
            <v>38928249.987201363</v>
          </cell>
          <cell r="D13">
            <v>23851841.655290101</v>
          </cell>
          <cell r="F13">
            <v>125912140.34300341</v>
          </cell>
          <cell r="H13">
            <v>27135114.19112628</v>
          </cell>
          <cell r="J13">
            <v>20427858.763651881</v>
          </cell>
          <cell r="K13">
            <v>107675492.7397611</v>
          </cell>
        </row>
        <row r="14">
          <cell r="A14">
            <v>45784</v>
          </cell>
          <cell r="C14">
            <v>38258331.002167307</v>
          </cell>
          <cell r="D14">
            <v>16092301.06371912</v>
          </cell>
          <cell r="F14">
            <v>122440288.1586476</v>
          </cell>
          <cell r="H14">
            <v>14628237.046380579</v>
          </cell>
          <cell r="J14">
            <v>20646282.784568701</v>
          </cell>
          <cell r="K14">
            <v>99261180.099696577</v>
          </cell>
        </row>
        <row r="15">
          <cell r="A15">
            <v>45792</v>
          </cell>
          <cell r="C15">
            <v>38346281.282254517</v>
          </cell>
          <cell r="D15">
            <v>16160499.00396301</v>
          </cell>
          <cell r="F15">
            <v>120767776.8612946</v>
          </cell>
          <cell r="H15">
            <v>13797360.444738001</v>
          </cell>
          <cell r="J15">
            <v>20919077.88199031</v>
          </cell>
          <cell r="K15">
            <v>96586562.569793046</v>
          </cell>
        </row>
        <row r="25">
          <cell r="A25">
            <v>45869</v>
          </cell>
          <cell r="C25">
            <v>38865967.038243547</v>
          </cell>
          <cell r="D25">
            <v>16821120.790559009</v>
          </cell>
          <cell r="F25">
            <v>125726390.06969281</v>
          </cell>
          <cell r="H25">
            <v>13239472.300319869</v>
          </cell>
          <cell r="J25">
            <v>22354217.314368568</v>
          </cell>
          <cell r="K25">
            <v>102981082.4137858</v>
          </cell>
          <cell r="L25">
            <v>22745307.655906979</v>
          </cell>
        </row>
        <row r="26">
          <cell r="A26">
            <v>45876</v>
          </cell>
          <cell r="C26">
            <v>41682915.941474132</v>
          </cell>
          <cell r="D26">
            <v>16880683.266779769</v>
          </cell>
          <cell r="F26">
            <v>130214309.8625007</v>
          </cell>
          <cell r="H26">
            <v>14732159.630430341</v>
          </cell>
          <cell r="J26">
            <v>22121047.675228141</v>
          </cell>
          <cell r="K26">
            <v>106788086.0228657</v>
          </cell>
          <cell r="L26">
            <v>23426223.839634981</v>
          </cell>
        </row>
        <row r="27">
          <cell r="A27">
            <v>45884</v>
          </cell>
          <cell r="C27">
            <v>41907553.714332581</v>
          </cell>
          <cell r="D27">
            <v>15328242.130655849</v>
          </cell>
          <cell r="F27">
            <v>129342928.8354886</v>
          </cell>
          <cell r="H27">
            <v>12849219.33424763</v>
          </cell>
          <cell r="J27">
            <v>22621507.95290466</v>
          </cell>
          <cell r="K27">
            <v>105846246.1644903</v>
          </cell>
          <cell r="L27">
            <v>23496682.670998279</v>
          </cell>
        </row>
        <row r="28">
          <cell r="A28">
            <v>45892</v>
          </cell>
          <cell r="C28">
            <v>41504681.015566707</v>
          </cell>
          <cell r="D28">
            <v>15389486.43267511</v>
          </cell>
          <cell r="F28">
            <v>128516752.6102971</v>
          </cell>
          <cell r="H28">
            <v>11007417.258526189</v>
          </cell>
          <cell r="J28">
            <v>22534911.27649691</v>
          </cell>
          <cell r="K28">
            <v>105728754.0316225</v>
          </cell>
          <cell r="L28">
            <v>22787998.578674529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8709-D8D5-411C-9030-5A12F882D5C2}">
  <dimension ref="A1:K34"/>
  <sheetViews>
    <sheetView tabSelected="1" topLeftCell="A2" workbookViewId="0">
      <selection activeCell="C11" sqref="C11"/>
    </sheetView>
  </sheetViews>
  <sheetFormatPr baseColWidth="10" defaultRowHeight="15" x14ac:dyDescent="0.25"/>
  <cols>
    <col min="2" max="3" width="15.5703125" bestFit="1" customWidth="1"/>
    <col min="4" max="4" width="16.7109375" bestFit="1" customWidth="1"/>
    <col min="5" max="5" width="15.5703125" bestFit="1" customWidth="1"/>
    <col min="6" max="6" width="15.5703125" customWidth="1"/>
    <col min="7" max="7" width="16.7109375" bestFit="1" customWidth="1"/>
    <col min="8" max="8" width="20.7109375" bestFit="1" customWidth="1"/>
    <col min="11" max="11" width="12" bestFit="1" customWidth="1"/>
  </cols>
  <sheetData>
    <row r="1" spans="1:11" x14ac:dyDescent="0.25">
      <c r="B1" s="21" t="s">
        <v>8</v>
      </c>
      <c r="C1" s="21"/>
      <c r="D1" s="21"/>
      <c r="E1" s="22" t="s">
        <v>7</v>
      </c>
      <c r="F1" s="22"/>
      <c r="G1" s="22"/>
      <c r="H1" s="1" t="s">
        <v>6</v>
      </c>
    </row>
    <row r="2" spans="1:11" x14ac:dyDescent="0.25">
      <c r="A2" s="4" t="s">
        <v>5</v>
      </c>
      <c r="B2" s="4" t="s">
        <v>4</v>
      </c>
      <c r="C2" s="4" t="s">
        <v>3</v>
      </c>
      <c r="D2" s="4" t="s">
        <v>23</v>
      </c>
      <c r="E2" s="4" t="s">
        <v>2</v>
      </c>
      <c r="F2" s="4" t="s">
        <v>1</v>
      </c>
      <c r="G2" s="4" t="s">
        <v>24</v>
      </c>
      <c r="H2" s="4" t="s">
        <v>0</v>
      </c>
    </row>
    <row r="3" spans="1:11" x14ac:dyDescent="0.25">
      <c r="A3" s="2">
        <f>+[1]Sheet1!A9</f>
        <v>45747</v>
      </c>
      <c r="B3" s="3">
        <f>+[1]Sheet1!C9/1000</f>
        <v>24986.32932976371</v>
      </c>
      <c r="C3" s="3">
        <f>+[1]Sheet1!D9/1000</f>
        <v>23560.539473402401</v>
      </c>
      <c r="D3" s="6">
        <f>+[1]Sheet1!$F9/1000</f>
        <v>114389.81810452799</v>
      </c>
      <c r="E3" s="3">
        <f>+[1]Sheet1!$H9/1000</f>
        <v>7149.7774321964853</v>
      </c>
      <c r="F3" s="3">
        <f>+[1]Sheet1!$J9/1000</f>
        <v>20678.111356535912</v>
      </c>
      <c r="G3" s="3">
        <f>+[1]Sheet1!$K9/1000</f>
        <v>86934.811976254219</v>
      </c>
      <c r="H3" s="3">
        <f>+D3-G3</f>
        <v>27455.006128273773</v>
      </c>
    </row>
    <row r="4" spans="1:11" x14ac:dyDescent="0.25">
      <c r="A4" s="2">
        <f>+[1]Sheet1!$A10</f>
        <v>45754</v>
      </c>
      <c r="B4" s="5">
        <f>+[1]Sheet1!$C10/1000</f>
        <v>24837.944542828882</v>
      </c>
      <c r="C4" s="3">
        <f>+[1]Sheet1!D10/1000</f>
        <v>23622.483419401779</v>
      </c>
      <c r="D4" s="6">
        <f>+[1]Sheet1!$F10/1000</f>
        <v>117583.5146018431</v>
      </c>
      <c r="E4" s="5">
        <f>+[1]Sheet1!$H10/1000</f>
        <v>7094.7791060631498</v>
      </c>
      <c r="F4" s="3">
        <f>+[1]Sheet1!$J10/1000</f>
        <v>20397.747404080132</v>
      </c>
      <c r="G4" s="3">
        <f>+[1]Sheet1!$K10/1000</f>
        <v>90565.621040434227</v>
      </c>
      <c r="H4" s="3">
        <f t="shared" ref="H4:H9" si="0">+D4-G4</f>
        <v>27017.89356140887</v>
      </c>
      <c r="I4" s="16"/>
    </row>
    <row r="5" spans="1:11" x14ac:dyDescent="0.25">
      <c r="A5" s="2">
        <f>+[1]Sheet1!$A11</f>
        <v>45762</v>
      </c>
      <c r="B5" s="5">
        <f>+[1]Sheet1!$C11/1000</f>
        <v>36776.802006573271</v>
      </c>
      <c r="C5" s="3">
        <f>+[1]Sheet1!D11/1000</f>
        <v>23713.298183852829</v>
      </c>
      <c r="D5" s="6">
        <f>+[1]Sheet1!$F11/1000</f>
        <v>127216.0105886471</v>
      </c>
      <c r="E5" s="5">
        <f>+[1]Sheet1!$H11/1000</f>
        <v>18670.188630678382</v>
      </c>
      <c r="F5" s="3">
        <f>+[1]Sheet1!$J11/1000</f>
        <v>20480.9726778896</v>
      </c>
      <c r="G5" s="3">
        <f>+[1]Sheet1!$K11/1000</f>
        <v>99645.272438730666</v>
      </c>
      <c r="H5" s="3">
        <f t="shared" si="0"/>
        <v>27570.738149916433</v>
      </c>
      <c r="I5" s="16"/>
    </row>
    <row r="6" spans="1:11" x14ac:dyDescent="0.25">
      <c r="A6" s="2">
        <f>+[1]Sheet1!$A12</f>
        <v>45770</v>
      </c>
      <c r="B6" s="3">
        <f>+[1]Sheet1!$C12/1000</f>
        <v>38630.696261915371</v>
      </c>
      <c r="C6" s="3">
        <f>+[1]Sheet1!D12/1000</f>
        <v>23778.732500668149</v>
      </c>
      <c r="D6" s="6">
        <f>+[1]Sheet1!$F12/1000</f>
        <v>128471.03066636971</v>
      </c>
      <c r="E6" s="3">
        <f>+[1]Sheet1!$H12/1000</f>
        <v>18989.259219599109</v>
      </c>
      <c r="F6" s="5">
        <f>+[1]Sheet1!$J12/1000</f>
        <v>31035.17846948775</v>
      </c>
      <c r="G6" s="3">
        <f>+[1]Sheet1!$K12/1000</f>
        <v>109742.6170387528</v>
      </c>
      <c r="H6" s="3">
        <f t="shared" si="0"/>
        <v>18728.413627616916</v>
      </c>
      <c r="I6" s="16"/>
    </row>
    <row r="7" spans="1:11" x14ac:dyDescent="0.25">
      <c r="A7" s="2">
        <f>+[1]Sheet1!$A13</f>
        <v>45777</v>
      </c>
      <c r="B7" s="3">
        <f>+[1]Sheet1!$C13/1000</f>
        <v>38928.249987201365</v>
      </c>
      <c r="C7" s="5">
        <f>+[1]Sheet1!D13/1000</f>
        <v>23851.8416552901</v>
      </c>
      <c r="D7" s="6">
        <f>+[1]Sheet1!$F13/1000</f>
        <v>125912.14034300341</v>
      </c>
      <c r="E7" s="5">
        <f>+[1]Sheet1!$H13/1000</f>
        <v>27135.114191126278</v>
      </c>
      <c r="F7" s="5">
        <f>+[1]Sheet1!$J13/1000</f>
        <v>20427.858763651882</v>
      </c>
      <c r="G7" s="3">
        <f>+[1]Sheet1!$K13/1000</f>
        <v>107675.4927397611</v>
      </c>
      <c r="H7" s="3">
        <f t="shared" si="0"/>
        <v>18236.647603242309</v>
      </c>
      <c r="I7" s="16"/>
    </row>
    <row r="8" spans="1:11" x14ac:dyDescent="0.25">
      <c r="A8" s="2">
        <f>+[1]Sheet1!$A14</f>
        <v>45784</v>
      </c>
      <c r="B8" s="3">
        <f>+[1]Sheet1!$C14/1000</f>
        <v>38258.33100216731</v>
      </c>
      <c r="C8" s="5">
        <f>+[1]Sheet1!D14/1000</f>
        <v>16092.30106371912</v>
      </c>
      <c r="D8" s="6">
        <f>+[1]Sheet1!$F14/1000</f>
        <v>122440.2881586476</v>
      </c>
      <c r="E8" s="5">
        <f>+[1]Sheet1!$H14/1000</f>
        <v>14628.23704638058</v>
      </c>
      <c r="F8" s="3">
        <f>+[1]Sheet1!$J14/1000</f>
        <v>20646.282784568702</v>
      </c>
      <c r="G8" s="3">
        <f>+[1]Sheet1!$K14/1000</f>
        <v>99261.180099696576</v>
      </c>
      <c r="H8" s="3">
        <f t="shared" si="0"/>
        <v>23179.108058951024</v>
      </c>
      <c r="I8" s="16"/>
    </row>
    <row r="9" spans="1:11" x14ac:dyDescent="0.25">
      <c r="A9" s="2">
        <f>+[1]Sheet1!$A15</f>
        <v>45792</v>
      </c>
      <c r="B9" s="3">
        <f>+[1]Sheet1!$C15/1000</f>
        <v>38346.281282254517</v>
      </c>
      <c r="C9" s="3">
        <f>+[1]Sheet1!D15/1000</f>
        <v>16160.49900396301</v>
      </c>
      <c r="D9" s="6">
        <f>+[1]Sheet1!$F15/1000</f>
        <v>120767.77686129459</v>
      </c>
      <c r="E9" s="3">
        <f>+[1]Sheet1!$H15/1000</f>
        <v>13797.360444738</v>
      </c>
      <c r="F9" s="3">
        <f>+[1]Sheet1!$J15/1000</f>
        <v>20919.07788199031</v>
      </c>
      <c r="G9" s="3">
        <f>+[1]Sheet1!$K15/1000</f>
        <v>96586.562569793052</v>
      </c>
      <c r="H9" s="3">
        <f t="shared" si="0"/>
        <v>24181.214291501543</v>
      </c>
      <c r="I9" s="16"/>
    </row>
    <row r="10" spans="1:11" x14ac:dyDescent="0.25">
      <c r="E10" s="3"/>
      <c r="F10" s="3"/>
    </row>
    <row r="11" spans="1:11" x14ac:dyDescent="0.25">
      <c r="C11" s="3"/>
      <c r="D11" s="3"/>
      <c r="F11" s="3"/>
    </row>
    <row r="12" spans="1:11" x14ac:dyDescent="0.25">
      <c r="A12" s="20">
        <v>46123</v>
      </c>
      <c r="B12" t="s">
        <v>9</v>
      </c>
      <c r="E12" s="20">
        <v>46127</v>
      </c>
      <c r="F12" t="s">
        <v>13</v>
      </c>
      <c r="K12" s="9"/>
    </row>
    <row r="13" spans="1:11" ht="15.75" thickBot="1" x14ac:dyDescent="0.3">
      <c r="B13" s="8"/>
      <c r="F13" t="s">
        <v>15</v>
      </c>
    </row>
    <row r="14" spans="1:11" ht="15.75" thickBot="1" x14ac:dyDescent="0.3">
      <c r="B14" s="10" t="s">
        <v>10</v>
      </c>
      <c r="C14" s="11">
        <f>+E5-E4</f>
        <v>11575.409524615232</v>
      </c>
      <c r="D14" s="7"/>
    </row>
    <row r="15" spans="1:11" x14ac:dyDescent="0.25">
      <c r="B15" s="12" t="s">
        <v>11</v>
      </c>
      <c r="C15" s="13">
        <f>+B5-B4</f>
        <v>11938.857463744389</v>
      </c>
      <c r="E15" s="3">
        <f>+E7-E6</f>
        <v>8145.8549715271693</v>
      </c>
      <c r="F15" s="10" t="s">
        <v>14</v>
      </c>
      <c r="G15" s="11">
        <f>+E7-E6</f>
        <v>8145.8549715271693</v>
      </c>
    </row>
    <row r="16" spans="1:11" ht="15.75" thickBot="1" x14ac:dyDescent="0.3">
      <c r="B16" s="14" t="s">
        <v>12</v>
      </c>
      <c r="C16" s="15">
        <f>C8-C7</f>
        <v>-7759.5405915709798</v>
      </c>
      <c r="E16" s="3"/>
      <c r="F16" s="14" t="s">
        <v>16</v>
      </c>
      <c r="G16" s="15">
        <f>+E8-E4</f>
        <v>7533.4579403174303</v>
      </c>
    </row>
    <row r="17" spans="1:8" x14ac:dyDescent="0.25">
      <c r="C17" s="3">
        <f>+E8-E7</f>
        <v>-12506.877144745698</v>
      </c>
      <c r="D17" s="3"/>
      <c r="E17" s="3">
        <f>3500+12100</f>
        <v>15600</v>
      </c>
    </row>
    <row r="18" spans="1:8" x14ac:dyDescent="0.25">
      <c r="D18" s="19"/>
      <c r="E18" s="3">
        <f>+E17+E4</f>
        <v>22694.77910606315</v>
      </c>
      <c r="F18" s="3"/>
    </row>
    <row r="19" spans="1:8" x14ac:dyDescent="0.25">
      <c r="C19" s="3">
        <f>+B6-B5</f>
        <v>1853.8942553421002</v>
      </c>
      <c r="E19" s="3">
        <f>+E18+C16</f>
        <v>14935.23851449217</v>
      </c>
    </row>
    <row r="20" spans="1:8" x14ac:dyDescent="0.25">
      <c r="E20" s="3">
        <f>+E19+C16</f>
        <v>7175.6979229211902</v>
      </c>
      <c r="F20" s="3">
        <f>+E8-E4</f>
        <v>7533.4579403174303</v>
      </c>
    </row>
    <row r="21" spans="1:8" x14ac:dyDescent="0.25">
      <c r="A21" s="17" t="s">
        <v>17</v>
      </c>
      <c r="B21" s="17"/>
      <c r="C21" s="17"/>
      <c r="F21" s="3">
        <f>+F20-C16</f>
        <v>15292.99853188841</v>
      </c>
    </row>
    <row r="22" spans="1:8" x14ac:dyDescent="0.25">
      <c r="B22" s="21" t="s">
        <v>8</v>
      </c>
      <c r="C22" s="21"/>
      <c r="D22" s="21"/>
      <c r="E22" s="22" t="s">
        <v>7</v>
      </c>
      <c r="F22" s="22"/>
      <c r="G22" s="22"/>
      <c r="H22" s="1" t="s">
        <v>6</v>
      </c>
    </row>
    <row r="23" spans="1:8" x14ac:dyDescent="0.25">
      <c r="A23" s="4" t="s">
        <v>5</v>
      </c>
      <c r="B23" s="4" t="s">
        <v>4</v>
      </c>
      <c r="C23" s="4" t="s">
        <v>3</v>
      </c>
      <c r="D23" s="4" t="s">
        <v>23</v>
      </c>
      <c r="E23" s="4" t="s">
        <v>2</v>
      </c>
      <c r="F23" s="4" t="s">
        <v>1</v>
      </c>
      <c r="G23" s="4" t="s">
        <v>24</v>
      </c>
      <c r="H23" s="4" t="s">
        <v>0</v>
      </c>
    </row>
    <row r="24" spans="1:8" x14ac:dyDescent="0.25">
      <c r="A24" s="2">
        <f>+[1]Sheet1!$A25</f>
        <v>45869</v>
      </c>
      <c r="B24" s="18">
        <f>+[1]Sheet1!$C25/1000</f>
        <v>38865.967038243551</v>
      </c>
      <c r="C24" s="8">
        <f>+[1]Sheet1!$D25/1000</f>
        <v>16821.120790559009</v>
      </c>
      <c r="D24" s="8">
        <f>+[1]Sheet1!$F25/1000</f>
        <v>125726.3900696928</v>
      </c>
      <c r="E24" s="18">
        <f>+[1]Sheet1!$H25/1000</f>
        <v>13239.472300319869</v>
      </c>
      <c r="F24" s="8">
        <f>+[1]Sheet1!$J25/1000</f>
        <v>22354.217314368569</v>
      </c>
      <c r="G24" s="8">
        <f>+[1]Sheet1!$K25/1000</f>
        <v>102981.0824137858</v>
      </c>
      <c r="H24" s="8">
        <f>+[1]Sheet1!$L25/1000</f>
        <v>22745.307655906978</v>
      </c>
    </row>
    <row r="25" spans="1:8" x14ac:dyDescent="0.25">
      <c r="A25" s="2">
        <f>+[1]Sheet1!$A26</f>
        <v>45876</v>
      </c>
      <c r="B25" s="18">
        <f>+[1]Sheet1!$C26/1000</f>
        <v>41682.91594147413</v>
      </c>
      <c r="C25" s="18">
        <f>+[1]Sheet1!$D26/1000</f>
        <v>16880.683266779768</v>
      </c>
      <c r="D25" s="8">
        <f>+[1]Sheet1!$F26/1000</f>
        <v>130214.3098625007</v>
      </c>
      <c r="E25" s="18">
        <f>+[1]Sheet1!$H26/1000</f>
        <v>14732.15963043034</v>
      </c>
      <c r="F25" s="8">
        <f>+[1]Sheet1!$J26/1000</f>
        <v>22121.047675228143</v>
      </c>
      <c r="G25" s="8">
        <f>+[1]Sheet1!$K26/1000</f>
        <v>106788.0860228657</v>
      </c>
      <c r="H25" s="8">
        <f>+[1]Sheet1!$L26/1000</f>
        <v>23426.223839634982</v>
      </c>
    </row>
    <row r="26" spans="1:8" x14ac:dyDescent="0.25">
      <c r="A26" s="2">
        <f>+[1]Sheet1!$A27</f>
        <v>45884</v>
      </c>
      <c r="B26" s="8">
        <f>+[1]Sheet1!$C27/1000</f>
        <v>41907.553714332578</v>
      </c>
      <c r="C26" s="18">
        <f>+[1]Sheet1!$D27/1000</f>
        <v>15328.24213065585</v>
      </c>
      <c r="D26" s="8">
        <f>+[1]Sheet1!$F27/1000</f>
        <v>129342.92883548861</v>
      </c>
      <c r="E26" s="8">
        <f>+[1]Sheet1!$H27/1000</f>
        <v>12849.219334247629</v>
      </c>
      <c r="F26" s="8">
        <f>+[1]Sheet1!$J27/1000</f>
        <v>22621.50795290466</v>
      </c>
      <c r="G26" s="8">
        <f>+[1]Sheet1!$K27/1000</f>
        <v>105846.24616449029</v>
      </c>
      <c r="H26" s="8">
        <f>+[1]Sheet1!$L27/1000</f>
        <v>23496.682670998278</v>
      </c>
    </row>
    <row r="27" spans="1:8" x14ac:dyDescent="0.25">
      <c r="A27" s="2">
        <f>+[1]Sheet1!$A28</f>
        <v>45892</v>
      </c>
      <c r="B27" s="8">
        <f>+[1]Sheet1!$C28/1000</f>
        <v>41504.681015566704</v>
      </c>
      <c r="C27" s="8">
        <f>+[1]Sheet1!$D28/1000</f>
        <v>15389.48643267511</v>
      </c>
      <c r="D27" s="8">
        <f>+[1]Sheet1!$F28/1000</f>
        <v>128516.7526102971</v>
      </c>
      <c r="E27" s="8">
        <f>+[1]Sheet1!$H28/1000</f>
        <v>11007.417258526189</v>
      </c>
      <c r="F27" s="8">
        <f>+[1]Sheet1!$J28/1000</f>
        <v>22534.91127649691</v>
      </c>
      <c r="G27" s="8">
        <f>+[1]Sheet1!$K28/1000</f>
        <v>105728.75403162251</v>
      </c>
      <c r="H27" s="8">
        <f>+[1]Sheet1!$L28/1000</f>
        <v>22787.998578674527</v>
      </c>
    </row>
    <row r="29" spans="1:8" x14ac:dyDescent="0.25">
      <c r="A29" s="20">
        <v>46234</v>
      </c>
      <c r="B29" t="s">
        <v>18</v>
      </c>
    </row>
    <row r="30" spans="1:8" x14ac:dyDescent="0.25">
      <c r="B30" t="s">
        <v>19</v>
      </c>
      <c r="E30" s="3"/>
    </row>
    <row r="31" spans="1:8" ht="15.75" thickBot="1" x14ac:dyDescent="0.3">
      <c r="C31" s="3"/>
    </row>
    <row r="32" spans="1:8" x14ac:dyDescent="0.25">
      <c r="B32" s="10" t="s">
        <v>20</v>
      </c>
      <c r="C32" s="11">
        <f>+E24-E25</f>
        <v>-1492.6873301104715</v>
      </c>
      <c r="E32" s="3"/>
    </row>
    <row r="33" spans="2:3" x14ac:dyDescent="0.25">
      <c r="B33" s="12" t="s">
        <v>21</v>
      </c>
      <c r="C33" s="13">
        <f>+B25-B24</f>
        <v>2816.9489032305792</v>
      </c>
    </row>
    <row r="34" spans="2:3" ht="15.75" thickBot="1" x14ac:dyDescent="0.3">
      <c r="B34" s="14" t="s">
        <v>22</v>
      </c>
      <c r="C34" s="15">
        <f>+C26-C25</f>
        <v>-1552.4411361239181</v>
      </c>
    </row>
  </sheetData>
  <mergeCells count="4">
    <mergeCell ref="B1:D1"/>
    <mergeCell ref="E1:G1"/>
    <mergeCell ref="B22:D22"/>
    <mergeCell ref="E22:G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2026-03-26T21:30:25Z</dcterms:created>
  <dcterms:modified xsi:type="dcterms:W3CDTF">2026-03-31T03:07:42Z</dcterms:modified>
</cp:coreProperties>
</file>