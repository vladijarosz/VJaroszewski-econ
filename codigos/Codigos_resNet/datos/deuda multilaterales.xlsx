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datos\"/>
    </mc:Choice>
  </mc:AlternateContent>
  <xr:revisionPtr revIDLastSave="0" documentId="13_ncr:1_{17D400A0-6655-4CAF-BF7D-095ABBCD66FF}" xr6:coauthVersionLast="45" xr6:coauthVersionMax="45" xr10:uidLastSave="{00000000-0000-0000-0000-000000000000}"/>
  <bookViews>
    <workbookView xWindow="-120" yWindow="-120" windowWidth="20730" windowHeight="11160" xr2:uid="{CAA6EF67-7BC3-4A65-9827-9E2B82094EBF}"/>
  </bookViews>
  <sheets>
    <sheet name="deuMult" sheetId="1" r:id="rId1"/>
    <sheet name="bopreal_1" sheetId="3" r:id="rId2"/>
    <sheet name="bopreal_2" sheetId="4" r:id="rId3"/>
    <sheet name="bopreal_3" sheetId="5" r:id="rId4"/>
    <sheet name="Hoja1" sheetId="7" r:id="rId5"/>
    <sheet name="bopreal_4" sheetId="6" r:id="rId6"/>
    <sheet name="dep y encajes" sheetId="2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" i="2" l="1"/>
  <c r="C76" i="2"/>
  <c r="B76" i="2"/>
  <c r="G75" i="2" l="1"/>
  <c r="G77" i="2"/>
  <c r="G78" i="2"/>
  <c r="G79" i="2"/>
  <c r="G80" i="2"/>
  <c r="G81" i="2"/>
  <c r="G82" i="2"/>
  <c r="G83" i="2"/>
  <c r="G84" i="2"/>
  <c r="G85" i="2"/>
  <c r="G74" i="2"/>
  <c r="D75" i="2"/>
  <c r="D77" i="2"/>
  <c r="D78" i="2"/>
  <c r="D79" i="2"/>
  <c r="D80" i="2"/>
  <c r="D81" i="2"/>
  <c r="D82" i="2"/>
  <c r="D83" i="2"/>
  <c r="D84" i="2"/>
  <c r="D85" i="2"/>
  <c r="D74" i="2"/>
  <c r="C75" i="2"/>
  <c r="C77" i="2"/>
  <c r="C78" i="2"/>
  <c r="C79" i="2"/>
  <c r="C80" i="2"/>
  <c r="C81" i="2"/>
  <c r="C82" i="2"/>
  <c r="C83" i="2"/>
  <c r="C84" i="2"/>
  <c r="C85" i="2"/>
  <c r="C74" i="2"/>
  <c r="B75" i="2" l="1"/>
  <c r="B77" i="2"/>
  <c r="B78" i="2"/>
  <c r="B79" i="2"/>
  <c r="B80" i="2"/>
  <c r="B81" i="2"/>
  <c r="B82" i="2"/>
  <c r="B83" i="2"/>
  <c r="B84" i="2"/>
  <c r="B85" i="2"/>
  <c r="B74" i="2"/>
  <c r="H77" i="2" l="1"/>
  <c r="H81" i="2"/>
  <c r="H85" i="2"/>
  <c r="H75" i="2"/>
  <c r="H76" i="2"/>
  <c r="H78" i="2"/>
  <c r="H79" i="2"/>
  <c r="H80" i="2"/>
  <c r="H82" i="2"/>
  <c r="H83" i="2"/>
  <c r="H84" i="2"/>
  <c r="H74" i="2"/>
  <c r="F78" i="2"/>
  <c r="F82" i="2"/>
  <c r="E75" i="2"/>
  <c r="E79" i="2"/>
  <c r="E83" i="2"/>
  <c r="F75" i="2"/>
  <c r="F76" i="2"/>
  <c r="F77" i="2"/>
  <c r="F79" i="2"/>
  <c r="F80" i="2"/>
  <c r="F81" i="2"/>
  <c r="F83" i="2"/>
  <c r="F84" i="2"/>
  <c r="F85" i="2"/>
  <c r="E76" i="2"/>
  <c r="E77" i="2"/>
  <c r="E78" i="2"/>
  <c r="E80" i="2"/>
  <c r="E81" i="2"/>
  <c r="E82" i="2"/>
  <c r="E84" i="2"/>
  <c r="E85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A4" i="3" l="1"/>
  <c r="A5" i="3" s="1"/>
  <c r="A6" i="3" s="1"/>
  <c r="A7" i="3" s="1"/>
  <c r="A8" i="3" s="1"/>
  <c r="A10" i="3" s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" i="2"/>
</calcChain>
</file>

<file path=xl/sharedStrings.xml><?xml version="1.0" encoding="utf-8"?>
<sst xmlns="http://schemas.openxmlformats.org/spreadsheetml/2006/main" count="18" uniqueCount="11">
  <si>
    <t>fecha</t>
  </si>
  <si>
    <t>vencimiento</t>
  </si>
  <si>
    <t>dep_Nac_ext</t>
  </si>
  <si>
    <t>encajes_ext</t>
  </si>
  <si>
    <t>tc</t>
  </si>
  <si>
    <t>dep_Nac_ext_p</t>
  </si>
  <si>
    <t>encajes_ext_p</t>
  </si>
  <si>
    <t>bopreal_1</t>
  </si>
  <si>
    <t>FFj</t>
  </si>
  <si>
    <t>otros pasivos_pesos</t>
  </si>
  <si>
    <t>otros pasivos_usd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</si>
</sst>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\ _P_t_a_-;\-* #,##0\ _P_t_a_-;_-* &quot;-&quot;\ _P_t_a_-;_-@_-"/>
    <numFmt numFmtId="165" formatCode="_ * #,##0.00_ ;_ * \-#,##0.00_ ;_ * &quot;-&quot;??_ ;_ @_ "/>
    <numFmt numFmtId="166" formatCode="_-* #,##0\ _€_-;\-* #,##0\ _€_-;_-* &quot;-&quot;\ _€_-;_-@_-"/>
    <numFmt numFmtId="167" formatCode="_-* #,##0.00\ _€_-;\-* #,##0.00\ _€_-;_-* &quot;-&quot;??\ _€_-;_-@_-"/>
    <numFmt numFmtId="168" formatCode="_-* #,##0\ _P_t_s_-;\-* #,##0\ _P_t_s_-;_-* &quot;-&quot;\ _P_t_s_-;_-@_-"/>
    <numFmt numFmtId="169" formatCode="_-* #,##0.00\ _P_t_s_-;\-* #,##0.00\ _P_t_s_-;_-* &quot;-&quot;??\ _P_t_s_-;_-@_-"/>
    <numFmt numFmtId="170" formatCode="#,##0,;\-\ #,##0,;&quot;--- &quot;"/>
    <numFmt numFmtId="171" formatCode="#,##0,,;\-\ #,##0,,;&quot;--- &quot;"/>
    <numFmt numFmtId="172" formatCode="#,##0.00_);\(#,##0.00\);&quot; --- &quot;"/>
    <numFmt numFmtId="173" formatCode="_(* #,##0.0000000_);_(* \(#,##0.0000000\);_(* &quot;-&quot;??_);_(@_)"/>
    <numFmt numFmtId="174" formatCode="_-* #,##0\ _€_-;\-* #,##0\ _€_-;_-* &quot;-&quot;??\ _€_-;_-@_-"/>
    <numFmt numFmtId="175" formatCode="#,"/>
    <numFmt numFmtId="176" formatCode="_-* #,##0\ _$_-;\-* #,##0\ _$_-;_-* &quot;-&quot;\ _$_-;_-@_-"/>
    <numFmt numFmtId="177" formatCode="_-* #,##0.00\ _P_t_a_-;\-* #,##0.00\ _P_t_a_-;_-* &quot;-&quot;??\ _P_t_a_-;_-@_-"/>
    <numFmt numFmtId="178" formatCode="_ * #,##0.0000_ ;_ * \-#,##0.0000_ ;_ * &quot;-&quot;????_ ;_ @_ "/>
    <numFmt numFmtId="179" formatCode="_-* #,##0.00\ [$€]_-;\-* #,##0.00\ [$€]_-;_-* &quot;-&quot;??\ [$€]_-;_-@_-"/>
    <numFmt numFmtId="180" formatCode="_ * #,##0.00_ ;_ * \-#,##0.00_ ;_ * &quot;-&quot;????_ ;_ @_ "/>
    <numFmt numFmtId="183" formatCode="_-* #,##0.00\ _$_-;\-* #,##0.00\ _$_-;_-* &quot;-&quot;??\ _$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sz val="11"/>
      <name val="Times New Roman"/>
      <family val="1"/>
    </font>
    <font>
      <sz val="10"/>
      <color indexed="22"/>
      <name val="MS Sans Serif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1"/>
      <name val="Book Antiqua"/>
      <family val="1"/>
    </font>
    <font>
      <u/>
      <sz val="7.5"/>
      <color indexed="12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0"/>
      <color indexed="12"/>
      <name val="Arial"/>
      <family val="2"/>
    </font>
    <font>
      <sz val="12"/>
      <name val="Arial"/>
      <family val="2"/>
    </font>
    <font>
      <sz val="10"/>
      <name val="Roboto"/>
    </font>
    <font>
      <sz val="10"/>
      <name val="Arial"/>
    </font>
  </fonts>
  <fills count="2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9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14" fillId="9" borderId="0" applyNumberFormat="0" applyBorder="0" applyAlignment="0" applyProtection="0"/>
    <xf numFmtId="0" fontId="33" fillId="22" borderId="1" applyNumberFormat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3" fontId="6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7" fillId="0" borderId="0"/>
    <xf numFmtId="0" fontId="14" fillId="6" borderId="0" applyNumberFormat="0" applyBorder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/>
    <xf numFmtId="0" fontId="19" fillId="11" borderId="1" applyNumberFormat="0" applyAlignment="0" applyProtection="0"/>
    <xf numFmtId="15" fontId="2" fillId="0" borderId="0"/>
    <xf numFmtId="0" fontId="23" fillId="0" borderId="7" applyNumberFormat="0" applyFill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" fontId="5" fillId="0" borderId="0" applyFont="0" applyFill="0" applyBorder="0" applyAlignment="0" applyProtection="0"/>
    <xf numFmtId="0" fontId="21" fillId="11" borderId="0" applyNumberFormat="0" applyBorder="0" applyAlignment="0" applyProtection="0"/>
    <xf numFmtId="0" fontId="3" fillId="4" borderId="8" applyNumberFormat="0" applyFont="0" applyAlignment="0" applyProtection="0"/>
    <xf numFmtId="0" fontId="2" fillId="4" borderId="8" applyNumberFormat="0" applyFont="0" applyAlignment="0" applyProtection="0"/>
    <xf numFmtId="172" fontId="4" fillId="0" borderId="0" applyFont="0" applyFill="0" applyBorder="0" applyAlignment="0" applyProtection="0"/>
    <xf numFmtId="175" fontId="12" fillId="0" borderId="0">
      <protection locked="0"/>
    </xf>
    <xf numFmtId="0" fontId="22" fillId="22" borderId="9" applyNumberFormat="0" applyAlignment="0" applyProtection="0"/>
    <xf numFmtId="9" fontId="2" fillId="0" borderId="0" applyFont="0" applyFill="0" applyBorder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28" fillId="0" borderId="13" applyNumberFormat="0" applyFill="0" applyAlignment="0" applyProtection="0"/>
    <xf numFmtId="0" fontId="7" fillId="0" borderId="0"/>
    <xf numFmtId="0" fontId="23" fillId="0" borderId="0" applyNumberFormat="0" applyFill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20" fillId="10" borderId="0" applyNumberFormat="0" applyBorder="0" applyAlignment="0" applyProtection="0"/>
    <xf numFmtId="0" fontId="14" fillId="9" borderId="0" applyNumberFormat="0" applyBorder="0" applyAlignment="0" applyProtection="0"/>
    <xf numFmtId="0" fontId="13" fillId="6" borderId="0" applyNumberFormat="0" applyBorder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24" fillId="0" borderId="0" applyNumberFormat="0" applyFill="0" applyBorder="0" applyAlignment="0" applyProtection="0"/>
    <xf numFmtId="0" fontId="22" fillId="22" borderId="9" applyNumberFormat="0" applyAlignment="0" applyProtection="0"/>
    <xf numFmtId="0" fontId="14" fillId="6" borderId="0" applyNumberFormat="0" applyBorder="0" applyAlignment="0" applyProtection="0"/>
    <xf numFmtId="0" fontId="13" fillId="17" borderId="0" applyNumberFormat="0" applyBorder="0" applyAlignment="0" applyProtection="0"/>
    <xf numFmtId="0" fontId="20" fillId="8" borderId="0" applyNumberFormat="0" applyBorder="0" applyAlignment="0" applyProtection="0"/>
    <xf numFmtId="0" fontId="19" fillId="11" borderId="1" applyNumberFormat="0" applyAlignment="0" applyProtection="0"/>
    <xf numFmtId="0" fontId="13" fillId="14" borderId="0" applyNumberFormat="0" applyBorder="0" applyAlignment="0" applyProtection="0"/>
    <xf numFmtId="0" fontId="23" fillId="0" borderId="7" applyNumberFormat="0" applyFill="0" applyAlignment="0" applyProtection="0"/>
    <xf numFmtId="4" fontId="5" fillId="0" borderId="0" applyFont="0" applyFill="0" applyBorder="0" applyAlignment="0" applyProtection="0"/>
    <xf numFmtId="0" fontId="21" fillId="11" borderId="0" applyNumberFormat="0" applyBorder="0" applyAlignment="0" applyProtection="0"/>
    <xf numFmtId="0" fontId="13" fillId="19" borderId="0" applyNumberFormat="0" applyBorder="0" applyAlignment="0" applyProtection="0"/>
    <xf numFmtId="0" fontId="3" fillId="4" borderId="8" applyNumberFormat="0" applyFont="0" applyAlignment="0" applyProtection="0"/>
    <xf numFmtId="0" fontId="22" fillId="22" borderId="9" applyNumberFormat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28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23" borderId="1" applyNumberFormat="0" applyAlignment="0" applyProtection="0"/>
    <xf numFmtId="0" fontId="15" fillId="23" borderId="1" applyNumberFormat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0" borderId="0"/>
    <xf numFmtId="0" fontId="1" fillId="0" borderId="0"/>
    <xf numFmtId="0" fontId="3" fillId="4" borderId="8" applyNumberFormat="0" applyFont="0" applyAlignment="0" applyProtection="0"/>
    <xf numFmtId="0" fontId="3" fillId="4" borderId="8" applyNumberFormat="0" applyFont="0" applyAlignment="0" applyProtection="0"/>
    <xf numFmtId="0" fontId="3" fillId="4" borderId="8" applyNumberFormat="0" applyFon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22" fillId="23" borderId="9" applyNumberFormat="0" applyAlignment="0" applyProtection="0"/>
    <xf numFmtId="0" fontId="22" fillId="23" borderId="9" applyNumberFormat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0" fillId="10" borderId="0" applyNumberFormat="0" applyBorder="0" applyAlignment="0" applyProtection="0"/>
    <xf numFmtId="0" fontId="16" fillId="24" borderId="2" applyNumberFormat="0" applyAlignment="0" applyProtection="0"/>
    <xf numFmtId="0" fontId="13" fillId="20" borderId="0" applyNumberFormat="0" applyBorder="0" applyAlignment="0" applyProtection="0"/>
    <xf numFmtId="4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6" borderId="0" applyNumberFormat="0" applyBorder="0" applyAlignment="0" applyProtection="0"/>
    <xf numFmtId="4" fontId="5" fillId="0" borderId="0" applyFont="0" applyFill="0" applyBorder="0" applyAlignment="0" applyProtection="0"/>
    <xf numFmtId="0" fontId="19" fillId="11" borderId="1" applyNumberFormat="0" applyAlignment="0" applyProtection="0"/>
    <xf numFmtId="0" fontId="23" fillId="0" borderId="7" applyNumberFormat="0" applyFill="0" applyAlignment="0" applyProtection="0"/>
    <xf numFmtId="4" fontId="5" fillId="0" borderId="0" applyFont="0" applyFill="0" applyBorder="0" applyAlignment="0" applyProtection="0"/>
    <xf numFmtId="0" fontId="20" fillId="10" borderId="0" applyNumberFormat="0" applyBorder="0" applyAlignment="0" applyProtection="0"/>
    <xf numFmtId="0" fontId="13" fillId="20" borderId="0" applyNumberFormat="0" applyBorder="0" applyAlignment="0" applyProtection="0"/>
    <xf numFmtId="0" fontId="13" fillId="13" borderId="0" applyNumberFormat="0" applyBorder="0" applyAlignment="0" applyProtection="0"/>
    <xf numFmtId="0" fontId="22" fillId="22" borderId="9" applyNumberFormat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6" fillId="24" borderId="2" applyNumberFormat="0" applyAlignment="0" applyProtection="0"/>
    <xf numFmtId="0" fontId="14" fillId="6" borderId="0" applyNumberFormat="0" applyBorder="0" applyAlignment="0" applyProtection="0"/>
    <xf numFmtId="0" fontId="19" fillId="11" borderId="1" applyNumberFormat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2" fillId="22" borderId="9" applyNumberFormat="0" applyAlignment="0" applyProtection="0"/>
    <xf numFmtId="0" fontId="13" fillId="13" borderId="0" applyNumberFormat="0" applyBorder="0" applyAlignment="0" applyProtection="0"/>
    <xf numFmtId="0" fontId="20" fillId="10" borderId="0" applyNumberFormat="0" applyBorder="0" applyAlignment="0" applyProtection="0"/>
    <xf numFmtId="0" fontId="23" fillId="0" borderId="7" applyNumberFormat="0" applyFill="0" applyAlignment="0" applyProtection="0"/>
    <xf numFmtId="0" fontId="19" fillId="11" borderId="1" applyNumberFormat="0" applyAlignment="0" applyProtection="0"/>
    <xf numFmtId="0" fontId="14" fillId="6" borderId="0" applyNumberFormat="0" applyBorder="0" applyAlignment="0" applyProtection="0"/>
    <xf numFmtId="0" fontId="16" fillId="24" borderId="2" applyNumberFormat="0" applyAlignment="0" applyProtection="0"/>
    <xf numFmtId="0" fontId="13" fillId="21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2" fillId="0" borderId="0" applyNumberForma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" fillId="9" borderId="0" applyNumberFormat="0" applyBorder="0" applyAlignment="0" applyProtection="0"/>
    <xf numFmtId="41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6" fillId="0" borderId="10" applyNumberFormat="0" applyFill="0" applyAlignment="0" applyProtection="0"/>
    <xf numFmtId="16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5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5" fillId="0" borderId="0"/>
    <xf numFmtId="0" fontId="37" fillId="0" borderId="0"/>
    <xf numFmtId="183" fontId="37" fillId="0" borderId="0" applyFont="0" applyFill="0" applyBorder="0" applyAlignment="0" applyProtection="0"/>
  </cellStyleXfs>
  <cellXfs count="9">
    <xf numFmtId="0" fontId="0" fillId="0" borderId="0" xfId="0"/>
    <xf numFmtId="17" fontId="0" fillId="0" borderId="0" xfId="0" applyNumberFormat="1"/>
    <xf numFmtId="2" fontId="0" fillId="0" borderId="0" xfId="0" applyNumberFormat="1"/>
    <xf numFmtId="3" fontId="36" fillId="22" borderId="0" xfId="617" applyNumberFormat="1" applyFont="1" applyFill="1"/>
    <xf numFmtId="2" fontId="0" fillId="0" borderId="0" xfId="1" applyNumberFormat="1" applyFont="1"/>
    <xf numFmtId="0" fontId="0" fillId="27" borderId="0" xfId="0" applyFill="1"/>
    <xf numFmtId="14" fontId="0" fillId="0" borderId="0" xfId="0" applyNumberFormat="1"/>
    <xf numFmtId="3" fontId="36" fillId="22" borderId="0" xfId="617" applyNumberFormat="1" applyFont="1" applyFill="1"/>
    <xf numFmtId="2" fontId="36" fillId="22" borderId="0" xfId="617" applyNumberFormat="1" applyFont="1" applyFill="1"/>
  </cellXfs>
  <cellStyles count="696">
    <cellStyle name="20% - Accent1" xfId="4" xr:uid="{DFDBF0D3-4484-4FCA-A994-E23AD0A68789}"/>
    <cellStyle name="20% - Accent2" xfId="5" xr:uid="{BDA045F4-FA20-4C4B-AE88-9B6028909DAC}"/>
    <cellStyle name="20% - Accent3" xfId="6" xr:uid="{F59C922F-E438-46CC-8F3D-D3A51F797E9A}"/>
    <cellStyle name="20% - Accent4" xfId="7" xr:uid="{6DFE0987-E8D9-4EEC-B581-61315D482A90}"/>
    <cellStyle name="20% - Accent5" xfId="8" xr:uid="{A1450853-113F-4DA7-AE10-16B5AFEA220F}"/>
    <cellStyle name="20% - Accent6" xfId="9" xr:uid="{DC18DD16-40F5-4D3E-B0E5-81EE450C0372}"/>
    <cellStyle name="20% - Énfasis1 2" xfId="110" xr:uid="{8862BA21-4997-4CF2-B836-8F17BBDE0A2E}"/>
    <cellStyle name="20% - Énfasis1 2 2" xfId="183" xr:uid="{16DC062F-9E53-41B6-879E-1A1DFBD9F0ED}"/>
    <cellStyle name="20% - Énfasis1 3" xfId="182" xr:uid="{90E2112B-2768-4B7A-8653-6455AA23F114}"/>
    <cellStyle name="20% - Énfasis1 3 2" xfId="184" xr:uid="{ACFD0F3B-16A6-45B8-9C7D-A96D35F23144}"/>
    <cellStyle name="20% - Énfasis1 4" xfId="10" xr:uid="{70D785ED-D75B-4A2C-9B87-747D56A3AF4C}"/>
    <cellStyle name="20% - Énfasis2 2" xfId="111" xr:uid="{0DD164E0-03E8-4915-B61F-DB9C804DF8EE}"/>
    <cellStyle name="20% - Énfasis2 2 2" xfId="186" xr:uid="{996D6F27-5E72-4443-8ED7-791FF7A8CA06}"/>
    <cellStyle name="20% - Énfasis2 3" xfId="185" xr:uid="{2DCB9376-49ED-41C1-B5A1-9D3FEF0A138D}"/>
    <cellStyle name="20% - Énfasis2 3 2" xfId="187" xr:uid="{C50D6F1C-FBEC-4A12-B90E-204A9755C1F9}"/>
    <cellStyle name="20% - Énfasis2 4" xfId="11" xr:uid="{053DD01F-5CCB-40F9-BA16-82EA1343905C}"/>
    <cellStyle name="20% - Énfasis3 2" xfId="112" xr:uid="{F19DF0F7-8CB0-4275-BC78-3391032D6FC3}"/>
    <cellStyle name="20% - Énfasis3 2 2" xfId="189" xr:uid="{10ECF350-5689-4E5F-90F4-7002F05FE5DC}"/>
    <cellStyle name="20% - Énfasis3 3" xfId="188" xr:uid="{A2F60F4D-9D44-4AC5-8D40-3B2BEEE41EBA}"/>
    <cellStyle name="20% - Énfasis3 3 2" xfId="190" xr:uid="{7F868199-37CA-4BAA-B9D9-A52B6EB839F3}"/>
    <cellStyle name="20% - Énfasis3 4" xfId="12" xr:uid="{9905EFC7-FC97-4EFD-A0DC-8BA3BFA0EB2C}"/>
    <cellStyle name="20% - Énfasis4 2" xfId="113" xr:uid="{60DEAC3E-1196-4A9F-B96D-772CE08C0E63}"/>
    <cellStyle name="20% - Énfasis4 2 2" xfId="192" xr:uid="{32B2C234-9656-4E85-9531-9CFF9E427043}"/>
    <cellStyle name="20% - Énfasis4 3" xfId="191" xr:uid="{54D1307D-3791-4D15-B354-DAD1444DDD7C}"/>
    <cellStyle name="20% - Énfasis4 3 2" xfId="193" xr:uid="{41790BA1-2F84-4066-B2AC-30E0DC223499}"/>
    <cellStyle name="20% - Énfasis4 4" xfId="13" xr:uid="{FFC2CB92-F528-49EA-A34F-116FD2416BC0}"/>
    <cellStyle name="20% - Énfasis5 2" xfId="114" xr:uid="{C9A8C34D-8D6B-433A-9D10-85D1F688C7BB}"/>
    <cellStyle name="20% - Énfasis5 2 2" xfId="195" xr:uid="{D11BFE35-B400-407C-827C-5FD7E17CECF6}"/>
    <cellStyle name="20% - Énfasis5 3" xfId="194" xr:uid="{DF91A8DA-6EDE-4BDC-B54E-2FFD1582577A}"/>
    <cellStyle name="20% - Énfasis5 3 2" xfId="196" xr:uid="{66B3E552-DD92-4D83-B58D-C67F779153D7}"/>
    <cellStyle name="20% - Énfasis5 4" xfId="14" xr:uid="{188DAB92-7252-420D-A9D9-A15E34244388}"/>
    <cellStyle name="20% - Énfasis6 2" xfId="115" xr:uid="{EFD96DA3-2DE6-4388-83B1-1497A4B05D44}"/>
    <cellStyle name="20% - Énfasis6 2 2" xfId="198" xr:uid="{AF95F623-B0A0-4486-ACC8-0CFAB0E63A51}"/>
    <cellStyle name="20% - Énfasis6 3" xfId="197" xr:uid="{83249DB2-44EE-43B3-AA53-A274253467E7}"/>
    <cellStyle name="20% - Énfasis6 3 2" xfId="199" xr:uid="{1E35ABAA-F418-422F-BA71-7329DFC8D4AA}"/>
    <cellStyle name="20% - Énfasis6 4" xfId="15" xr:uid="{6DFBEEC0-5029-4A92-8C67-A2D18FEABF61}"/>
    <cellStyle name="40% - Accent1" xfId="16" xr:uid="{90A8FD40-41D7-4CF4-A8C2-0EB5C7EB473E}"/>
    <cellStyle name="40% - Accent2" xfId="17" xr:uid="{C17CC765-E3B2-4D5B-8C30-59D83395D95C}"/>
    <cellStyle name="40% - Accent3" xfId="18" xr:uid="{D67C0FDB-CC04-4DB8-BA10-8EF26CFDB5D1}"/>
    <cellStyle name="40% - Accent4" xfId="19" xr:uid="{2B7778C7-4AAB-49A8-A28F-1843122C0E03}"/>
    <cellStyle name="40% - Accent5" xfId="20" xr:uid="{B189E0CC-792E-45B6-AD7E-66CE455E91BE}"/>
    <cellStyle name="40% - Accent6" xfId="21" xr:uid="{5626E3BC-7A47-407D-B84D-B51F1117A56B}"/>
    <cellStyle name="40% - Énfasis1 2" xfId="120" xr:uid="{A2E7D668-B98E-49CD-94A9-4D95760636DF}"/>
    <cellStyle name="40% - Énfasis1 2 2" xfId="201" xr:uid="{D91D0859-485E-41B5-8BA1-C5D2BDBB7CF1}"/>
    <cellStyle name="40% - Énfasis1 3" xfId="200" xr:uid="{6BEE6B2B-3FF4-481F-9735-7F245DFD24CE}"/>
    <cellStyle name="40% - Énfasis1 3 2" xfId="202" xr:uid="{BDAC43E2-177D-4DD3-91F7-1F977D6C4654}"/>
    <cellStyle name="40% - Énfasis1 4" xfId="22" xr:uid="{B0D774FA-148A-4DEF-8469-7937A6EDA806}"/>
    <cellStyle name="40% - Énfasis2 2" xfId="121" xr:uid="{89E31762-9A31-4F91-AF66-07690E43896E}"/>
    <cellStyle name="40% - Énfasis2 2 2" xfId="204" xr:uid="{ABBF7B43-C2E4-49C4-8330-1CBABFA48CBE}"/>
    <cellStyle name="40% - Énfasis2 3" xfId="203" xr:uid="{2649CE72-EB10-4245-AFEF-7A9F59F8E23A}"/>
    <cellStyle name="40% - Énfasis2 3 2" xfId="205" xr:uid="{43E13A4E-1043-4DFB-AE52-CDF9F68241AB}"/>
    <cellStyle name="40% - Énfasis2 4" xfId="23" xr:uid="{A22329C2-6FB9-4449-B154-BD9B08C8CFBF}"/>
    <cellStyle name="40% - Énfasis3 2" xfId="122" xr:uid="{6384E38B-164D-4DCA-A3FB-36EA457CDC0A}"/>
    <cellStyle name="40% - Énfasis3 2 2" xfId="207" xr:uid="{1F24C929-3A89-48C6-87DC-54CF73AD9000}"/>
    <cellStyle name="40% - Énfasis3 3" xfId="206" xr:uid="{4BBC5E22-09DE-4CE4-8D2D-0AFA2D7660CD}"/>
    <cellStyle name="40% - Énfasis3 3 2" xfId="208" xr:uid="{94044CC3-74C9-4B80-8C83-AC388A8EB2F2}"/>
    <cellStyle name="40% - Énfasis3 4" xfId="24" xr:uid="{045D3F14-5989-4534-9403-A0A073B6AE20}"/>
    <cellStyle name="40% - Énfasis4 2" xfId="123" xr:uid="{D133AEC2-C35A-4452-ACAB-CDB5A97EA2A1}"/>
    <cellStyle name="40% - Énfasis4 2 2" xfId="210" xr:uid="{6C3845DE-FD34-4D13-B17B-9F9A8F659C42}"/>
    <cellStyle name="40% - Énfasis4 3" xfId="209" xr:uid="{05232885-7D75-4931-9450-3EE32A9B77B9}"/>
    <cellStyle name="40% - Énfasis4 3 2" xfId="211" xr:uid="{498567B5-02A1-494E-BEB0-0F31B6535695}"/>
    <cellStyle name="40% - Énfasis4 4" xfId="25" xr:uid="{625A93D0-961F-4D78-8CAF-499486032EB4}"/>
    <cellStyle name="40% - Énfasis5 2" xfId="124" xr:uid="{7AB0A097-4803-4AC0-B848-6154B91EBDFB}"/>
    <cellStyle name="40% - Énfasis5 2 2" xfId="213" xr:uid="{9D0D60A2-832F-476C-BF55-7DF15EC2505F}"/>
    <cellStyle name="40% - Énfasis5 3" xfId="212" xr:uid="{BD470921-D9F8-4D73-B55D-56C206543AD1}"/>
    <cellStyle name="40% - Énfasis5 3 2" xfId="214" xr:uid="{A3CECBC2-2A1D-4B59-B292-4C24BBC94D1F}"/>
    <cellStyle name="40% - Énfasis5 4" xfId="26" xr:uid="{7F842ADF-C905-42E6-82AA-F97F6839F196}"/>
    <cellStyle name="40% - Énfasis6 2" xfId="125" xr:uid="{6FCAC9B4-07CA-479C-8CAC-F87C143BE6B0}"/>
    <cellStyle name="40% - Énfasis6 2 2" xfId="216" xr:uid="{F057DB71-D8DE-4DDF-9789-E020D4290A42}"/>
    <cellStyle name="40% - Énfasis6 3" xfId="215" xr:uid="{F77B1AC9-DF64-4BC1-B86B-3ACEB8014231}"/>
    <cellStyle name="40% - Énfasis6 3 2" xfId="217" xr:uid="{B3FE1EC8-7B1E-4385-A93E-4441046F2E0C}"/>
    <cellStyle name="40% - Énfasis6 4" xfId="27" xr:uid="{5FD24A72-BD88-4101-B950-7D81403E4791}"/>
    <cellStyle name="60% - Accent1" xfId="28" xr:uid="{1AB7BE0F-D31C-4901-A022-349780F34935}"/>
    <cellStyle name="60% - Accent1 2" xfId="126" xr:uid="{64D5DD51-B121-4577-9394-B0D435A353D7}"/>
    <cellStyle name="60% - Accent1 3" xfId="147" xr:uid="{2C4291FE-4DD0-41C1-98B9-F88B4B7EA1F8}"/>
    <cellStyle name="60% - Accent1 4" xfId="337" xr:uid="{17E5C120-5B88-4E52-89E4-8804F448D0ED}"/>
    <cellStyle name="60% - Accent1 5" xfId="346" xr:uid="{67E74B04-B9AB-4AF3-8BBA-15F518EFDC73}"/>
    <cellStyle name="60% - Accent2" xfId="29" xr:uid="{78EC093E-A5FF-47FF-83DC-1DB799403692}"/>
    <cellStyle name="60% - Accent2 2" xfId="127" xr:uid="{4010AC9E-CD99-4632-8857-F44634226386}"/>
    <cellStyle name="60% - Accent2 3" xfId="144" xr:uid="{6BEA8A0E-641E-487E-9526-143D413B341A}"/>
    <cellStyle name="60% - Accent2 4" xfId="362" xr:uid="{E7AD3778-EB54-4F54-B9AD-C917C0643F60}"/>
    <cellStyle name="60% - Accent2 5" xfId="366" xr:uid="{353CA93A-B95B-474C-9ABF-7C3C1286727C}"/>
    <cellStyle name="60% - Accent3" xfId="30" xr:uid="{2FA964CB-42DA-4ECF-BBFB-4DAD7DD9F75F}"/>
    <cellStyle name="60% - Accent3 2" xfId="128" xr:uid="{BC1842C8-6A47-4C33-B5F4-D2FDC0216456}"/>
    <cellStyle name="60% - Accent3 3" xfId="119" xr:uid="{B03DE4AF-9927-4FEE-A1A2-5000FE265428}"/>
    <cellStyle name="60% - Accent3 4" xfId="360" xr:uid="{060F952A-2BB6-4773-ACA5-01BB17265C7D}"/>
    <cellStyle name="60% - Accent3 5" xfId="364" xr:uid="{B4FDA3EC-EC77-4706-B74B-897DA6C4960E}"/>
    <cellStyle name="60% - Accent4" xfId="31" xr:uid="{A23D5228-9609-429C-9C5A-085468480BA2}"/>
    <cellStyle name="60% - Accent4 2" xfId="129" xr:uid="{2DD1E037-C974-4009-8970-DAE1DEB11143}"/>
    <cellStyle name="60% - Accent4 3" xfId="118" xr:uid="{5DE2A5CF-D2E3-46FD-8DA3-C30F74811C1C}"/>
    <cellStyle name="60% - Accent4 4" xfId="361" xr:uid="{4A43D8C1-2CA5-435A-8A57-92ADF66C5948}"/>
    <cellStyle name="60% - Accent4 5" xfId="365" xr:uid="{80226A0F-6E64-4E4D-8742-74EFC0A2D99A}"/>
    <cellStyle name="60% - Accent5" xfId="32" xr:uid="{44DC0BF1-B555-4D06-97E1-C93F9C49E30E}"/>
    <cellStyle name="60% - Accent5 2" xfId="130" xr:uid="{5E3DE9E8-A65A-47C1-A6CE-2EF519BEAB2A}"/>
    <cellStyle name="60% - Accent5 3" xfId="117" xr:uid="{95CCCA15-570E-4593-8F93-CBB893C9A3F7}"/>
    <cellStyle name="60% - Accent5 4" xfId="336" xr:uid="{AE1DB404-1AC2-4565-847E-B4B7682FCFF4}"/>
    <cellStyle name="60% - Accent5 5" xfId="347" xr:uid="{C17FB16F-30B4-4A82-BB50-CB685DCCDC93}"/>
    <cellStyle name="60% - Accent6" xfId="33" xr:uid="{1A8D0CB6-C09B-4C10-A871-3080B24BDA5A}"/>
    <cellStyle name="60% - Accent6 2" xfId="131" xr:uid="{5D003225-F105-47EC-9E52-8179F193181C}"/>
    <cellStyle name="60% - Accent6 3" xfId="116" xr:uid="{0E6405C7-8B6A-4742-9D47-56A8E97F0556}"/>
    <cellStyle name="60% - Accent6 4" xfId="359" xr:uid="{57F742D4-C2CD-42F2-81E7-C459B6B61CB4}"/>
    <cellStyle name="60% - Accent6 5" xfId="363" xr:uid="{FE79F565-B059-4DB2-AC82-96C36478CFE7}"/>
    <cellStyle name="60% - Énfasis1 2" xfId="132" xr:uid="{AE001DB1-9542-4D01-97EC-B498DC84744F}"/>
    <cellStyle name="60% - Énfasis1 2 2" xfId="219" xr:uid="{DD914975-E413-41FC-A12C-0A801799AA62}"/>
    <cellStyle name="60% - Énfasis1 3" xfId="218" xr:uid="{3D3E8775-15F8-437A-80B2-96B8BC16CDD6}"/>
    <cellStyle name="60% - Énfasis1 3 2" xfId="220" xr:uid="{0DA3A924-BA66-40AE-A5A9-F6CA74278E29}"/>
    <cellStyle name="60% - Énfasis1 4" xfId="34" xr:uid="{AB5CF4FE-068B-436E-A3AF-030F291EF18F}"/>
    <cellStyle name="60% - Énfasis2 2" xfId="133" xr:uid="{272D5914-9119-400A-ACDE-CA0B96AE30E4}"/>
    <cellStyle name="60% - Énfasis2 2 2" xfId="222" xr:uid="{5AB5872D-604B-4B21-8A28-696DD73B3A29}"/>
    <cellStyle name="60% - Énfasis2 3" xfId="221" xr:uid="{80E448C8-6B0A-4F53-BFDC-8B1BC8D3206B}"/>
    <cellStyle name="60% - Énfasis2 3 2" xfId="223" xr:uid="{7F11790A-F045-4044-A9FF-FA05E300E01B}"/>
    <cellStyle name="60% - Énfasis2 4" xfId="35" xr:uid="{4B406063-00EB-4251-A56E-11D77E624F97}"/>
    <cellStyle name="60% - Énfasis3 2" xfId="134" xr:uid="{4151CCD7-AC3E-4127-9756-812C262024F2}"/>
    <cellStyle name="60% - Énfasis3 2 2" xfId="225" xr:uid="{38032F47-DD11-441C-ACE6-52C2122F95D3}"/>
    <cellStyle name="60% - Énfasis3 3" xfId="224" xr:uid="{B468B6C4-16D9-44AF-8870-7A18060EFF79}"/>
    <cellStyle name="60% - Énfasis3 3 2" xfId="226" xr:uid="{8678441D-A87C-4A7D-9647-C099C8EF6438}"/>
    <cellStyle name="60% - Énfasis3 4" xfId="36" xr:uid="{E27EA5B9-F848-4AE4-BA0A-66D0A464841E}"/>
    <cellStyle name="60% - Énfasis4 2" xfId="135" xr:uid="{6700088D-F130-4315-B04F-714BA375EFCF}"/>
    <cellStyle name="60% - Énfasis4 2 2" xfId="228" xr:uid="{5C492022-B9F6-4833-B3B2-D614571D7EDC}"/>
    <cellStyle name="60% - Énfasis4 3" xfId="227" xr:uid="{300DEC45-DCFB-4538-AEA8-FBA54444EBFF}"/>
    <cellStyle name="60% - Énfasis4 3 2" xfId="229" xr:uid="{7262D8F8-F0A5-46B3-B112-C178C6003F2C}"/>
    <cellStyle name="60% - Énfasis4 4" xfId="37" xr:uid="{A1716660-C439-4392-8D61-03060E8F63DA}"/>
    <cellStyle name="60% - Énfasis5 2" xfId="136" xr:uid="{6CBF1DE4-AE7E-40C1-BE03-03ACCEB77204}"/>
    <cellStyle name="60% - Énfasis5 2 2" xfId="231" xr:uid="{ED6206DD-4AD5-4A10-A4EA-5C6637B5420D}"/>
    <cellStyle name="60% - Énfasis5 3" xfId="230" xr:uid="{C59E1DEF-9237-4F3E-8AAE-885F47F1FC64}"/>
    <cellStyle name="60% - Énfasis5 3 2" xfId="232" xr:uid="{632D5B91-A2D5-4046-B2A9-B959C5E9D907}"/>
    <cellStyle name="60% - Énfasis5 4" xfId="38" xr:uid="{B06B3CA8-0A40-42AE-8A67-06BB02F9612C}"/>
    <cellStyle name="60% - Énfasis6 2" xfId="137" xr:uid="{D7DC7008-4D8D-4C46-BBC8-146F33E1332C}"/>
    <cellStyle name="60% - Énfasis6 2 2" xfId="234" xr:uid="{35234D47-B3DC-41F1-9E52-217FC3BF313D}"/>
    <cellStyle name="60% - Énfasis6 3" xfId="233" xr:uid="{5EECF381-E298-4802-979F-50CE52DB30A6}"/>
    <cellStyle name="60% - Énfasis6 3 2" xfId="235" xr:uid="{4D75AD4B-63DA-4A2E-BD6A-D1D8CED49ED7}"/>
    <cellStyle name="60% - Énfasis6 4" xfId="39" xr:uid="{47C57952-D412-41E0-833E-5B9F74560374}"/>
    <cellStyle name="Accent1" xfId="40" xr:uid="{8E28A4F5-51F0-41BA-9650-C64B4E1BE7E6}"/>
    <cellStyle name="Accent1 2" xfId="138" xr:uid="{320C4E01-C0D9-43B1-ADFA-ADDF931A05BD}"/>
    <cellStyle name="Accent1 3" xfId="109" xr:uid="{599695D2-C3F8-4CF4-9F08-C00CDEE7F370}"/>
    <cellStyle name="Accent1 4" xfId="358" xr:uid="{2A6F9801-8488-4509-9CC1-A4B6CB3DA12B}"/>
    <cellStyle name="Accent1 5" xfId="170" xr:uid="{0A212E84-9D17-45AC-B990-D1D9C4C92AD5}"/>
    <cellStyle name="Accent2" xfId="41" xr:uid="{24F61AEE-B2E5-4E75-B645-7DDF1E94B4EC}"/>
    <cellStyle name="Accent2 2" xfId="139" xr:uid="{62873313-998F-4DCA-94AE-D2AC069D947C}"/>
    <cellStyle name="Accent2 3" xfId="108" xr:uid="{F0E0AA2C-5504-47DB-B5C9-DF5A26280EB7}"/>
    <cellStyle name="Accent2 4" xfId="357" xr:uid="{AA882E21-F42F-4562-B431-29D7B01972C3}"/>
    <cellStyle name="Accent2 5" xfId="166" xr:uid="{1F2C0172-5576-4F35-95BC-9D763DF921E5}"/>
    <cellStyle name="Accent3" xfId="42" xr:uid="{1917222B-B8AC-431F-A3FC-CD2C6CA49570}"/>
    <cellStyle name="Accent3 2" xfId="140" xr:uid="{F277598F-3209-4779-A4F9-9E5130F232DA}"/>
    <cellStyle name="Accent3 3" xfId="316" xr:uid="{2AD93752-DDD3-4AB7-A427-0499C06EB7E4}"/>
    <cellStyle name="Accent3 4" xfId="334" xr:uid="{8048CF38-A629-47BB-889B-EC522E7E21CF}"/>
    <cellStyle name="Accent3 5" xfId="349" xr:uid="{3D5C15E4-2535-4B9C-B9A9-EE4FCE34CECA}"/>
    <cellStyle name="Accent4" xfId="43" xr:uid="{F0013176-49F0-417A-813F-29F1690536FC}"/>
    <cellStyle name="Accent4 2" xfId="141" xr:uid="{C1EFCD13-C841-4086-ABE7-F96820320C85}"/>
    <cellStyle name="Accent4 3" xfId="317" xr:uid="{46053FD7-0098-4D33-AF39-E759CDF11526}"/>
    <cellStyle name="Accent4 4" xfId="333" xr:uid="{FA1569AB-03A5-42B2-B1B7-618344E2CEE2}"/>
    <cellStyle name="Accent4 5" xfId="322" xr:uid="{A8B9E691-3873-491C-9EC4-053104BA5CDA}"/>
    <cellStyle name="Accent5" xfId="44" xr:uid="{D4B4E930-6A49-49D3-9928-AC2D29C1618A}"/>
    <cellStyle name="Accent5 2" xfId="142" xr:uid="{261C0FC0-80A0-4C12-B19F-389AC1C2E225}"/>
    <cellStyle name="Accent5 3" xfId="318" xr:uid="{99F6CB3F-83C7-4C0C-BD52-A328F8B95464}"/>
    <cellStyle name="Accent5 4" xfId="356" xr:uid="{80670EC9-9DF8-4C98-AA3A-189F0C673560}"/>
    <cellStyle name="Accent5 5" xfId="163" xr:uid="{936C14E9-95C7-462B-9B5E-CA1BB68F0CD8}"/>
    <cellStyle name="Accent6" xfId="45" xr:uid="{884D52A4-6C79-42F1-8501-59C34CD64D36}"/>
    <cellStyle name="Accent6 2" xfId="143" xr:uid="{614B732E-944A-40D9-89E7-40DDF5DC8CE1}"/>
    <cellStyle name="Accent6 3" xfId="319" xr:uid="{7860472D-F943-49B4-A7D9-87A1AF319745}"/>
    <cellStyle name="Accent6 4" xfId="355" xr:uid="{C0C02B07-B7B9-4795-87D6-46A0EC1A177F}"/>
    <cellStyle name="Accent6 5" xfId="339" xr:uid="{1ACE02D9-F967-4839-B4E0-C5E5CE944CFA}"/>
    <cellStyle name="ANCLAS,REZONES Y SUS PARTES,DE FUNDICION,DE HIERRO O DE ACERO" xfId="46" xr:uid="{3D2820EE-61F3-4D86-90CB-01B123813B6D}"/>
    <cellStyle name="ANCLAS,REZONES Y SUS PARTES,DE FUNDICION,DE HIERRO O DE ACERO 2" xfId="373" xr:uid="{43CC2984-DAAA-4940-9D3E-C13E47FE141C}"/>
    <cellStyle name="ANCLAS,REZONES Y SUS PARTES,DE FUNDICION,DE HIERRO O DE ACERO 2 2" xfId="2" xr:uid="{5BC46067-B256-4E3D-9DD5-1FF523E56B7A}"/>
    <cellStyle name="ANCLAS,REZONES Y SUS PARTES,DE FUNDICION,DE HIERRO O DE ACERO 2 3" xfId="511" xr:uid="{9F9B14E7-FE06-4E4B-BF10-18375B38855E}"/>
    <cellStyle name="ANCLAS,REZONES Y SUS PARTES,DE FUNDICION,DE HIERRO O DE ACERO 3" xfId="512" xr:uid="{2E5D37C9-9ACF-4A52-A664-156FD019E410}"/>
    <cellStyle name="Bad" xfId="47" xr:uid="{629C96DD-F693-4FF3-B1C0-5453C959EFA0}"/>
    <cellStyle name="Bad 2" xfId="145" xr:uid="{CD235834-7377-4B7C-ADC8-AF1148ACD184}"/>
    <cellStyle name="Bad 3" xfId="320" xr:uid="{C89DA353-4261-46DC-B639-B198211F3165}"/>
    <cellStyle name="Bad 4" xfId="332" xr:uid="{BE7EFACE-84C3-4903-A492-461C24B05517}"/>
    <cellStyle name="Bad 5" xfId="350" xr:uid="{A0B2FF45-F336-4792-987C-FD871F87D5A0}"/>
    <cellStyle name="Buena 2" xfId="146" xr:uid="{90896E3F-A00B-4C87-A7F0-0BA3AF1BBF97}"/>
    <cellStyle name="Buena 2 2" xfId="237" xr:uid="{7ADB5423-D367-4318-B700-0DEABF5B0CC2}"/>
    <cellStyle name="Buena 3" xfId="236" xr:uid="{31054833-431B-48A0-B54B-AC507A3B6DB8}"/>
    <cellStyle name="Buena 3 2" xfId="238" xr:uid="{78F516A0-0328-45E5-A155-BC23BD40F1CE}"/>
    <cellStyle name="Buena 4" xfId="513" xr:uid="{424E05D3-3B2A-476C-BFB1-53810E5DA30D}"/>
    <cellStyle name="Bueno 2" xfId="48" xr:uid="{3ADB81AB-ED8E-4AB2-83A8-7AB3EB8BD3CA}"/>
    <cellStyle name="Calculation" xfId="49" xr:uid="{EE05CA12-E58D-48BC-856E-F9942E86E755}"/>
    <cellStyle name="Cálculo 2" xfId="148" xr:uid="{C99AE092-B150-4F13-BE7E-0004B34ECB5E}"/>
    <cellStyle name="Cálculo 2 2" xfId="240" xr:uid="{318B5517-2DE1-491D-9CC5-82C41B8AF3A0}"/>
    <cellStyle name="Cálculo 3" xfId="239" xr:uid="{A9F77106-93BF-463C-97D4-61FBDC2AAFC0}"/>
    <cellStyle name="Cálculo 3 2" xfId="241" xr:uid="{491260B2-1798-4005-B345-5100A1145DA7}"/>
    <cellStyle name="Cálculo 4" xfId="50" xr:uid="{9AFADBED-EAF9-4163-BA14-A5380E1660D9}"/>
    <cellStyle name="Cambiar to&amp;do" xfId="617" xr:uid="{7FB7AEAA-EDF5-4E7E-B451-426E368405D0}"/>
    <cellStyle name="Celda de comprobación 2" xfId="149" xr:uid="{50A53D55-E504-4873-9793-91674F292372}"/>
    <cellStyle name="Celda de comprobación 2 2" xfId="243" xr:uid="{039E7C80-8DEF-4455-ABA2-758BAA430356}"/>
    <cellStyle name="Celda de comprobación 3" xfId="242" xr:uid="{507AA4DD-0A0E-4356-B1AC-9EFE77A08E46}"/>
    <cellStyle name="Celda de comprobación 3 2" xfId="244" xr:uid="{6A01C40F-8F51-43A3-828C-B5686162F860}"/>
    <cellStyle name="Celda de comprobación 4" xfId="51" xr:uid="{8515FC58-2ED1-40CB-A6B6-C7C54CCFFBB7}"/>
    <cellStyle name="Celda vinculada 2" xfId="150" xr:uid="{BF29B8DF-88D5-4314-BBC9-FACE675B4F02}"/>
    <cellStyle name="Celda vinculada 2 2" xfId="246" xr:uid="{F17E4FC6-8E74-486F-BD47-FFEE08DFA396}"/>
    <cellStyle name="Celda vinculada 3" xfId="245" xr:uid="{C40D545D-072A-47D2-8FCE-970875855E49}"/>
    <cellStyle name="Celda vinculada 3 2" xfId="247" xr:uid="{D3C1B133-7986-4FAD-A825-B17630E0A59F}"/>
    <cellStyle name="Celda vinculada 4" xfId="52" xr:uid="{08F38DF2-5D58-4F19-9994-028E31DF37C5}"/>
    <cellStyle name="Check Cell" xfId="53" xr:uid="{A60AE59A-63B4-4324-ABD8-1F0C80649677}"/>
    <cellStyle name="Check Cell 2" xfId="151" xr:uid="{548D225F-5FED-49A2-AE2D-E6761454938F}"/>
    <cellStyle name="Check Cell 3" xfId="321" xr:uid="{47CFF3C5-2BA1-4646-B888-ECDFC08AEABD}"/>
    <cellStyle name="Check Cell 4" xfId="354" xr:uid="{E6F58386-0290-44D6-B2FC-31343A89F959}"/>
    <cellStyle name="Check Cell 5" xfId="340" xr:uid="{4DF7A964-0759-439A-AD83-638C0D24F58E}"/>
    <cellStyle name="Comma [0]_hojas adicionales" xfId="248" xr:uid="{0CA5A653-019C-4AF7-B1AC-40C8D8D771B8}"/>
    <cellStyle name="Comma_aaa Stock Deuda Provincias I 2006" xfId="249" xr:uid="{42091C2F-8A8D-4EDA-8CC0-ACB1594DB92D}"/>
    <cellStyle name="Comma0" xfId="54" xr:uid="{4434A1BA-33B6-412C-8AA6-8041166856B5}"/>
    <cellStyle name="Currency [0]_aaa Stock Deuda Provincias I 2006" xfId="250" xr:uid="{53205D8A-7CAC-461F-9BB0-556975B7AD5E}"/>
    <cellStyle name="Currency_aaa Stock Deuda Provincias I 2006" xfId="251" xr:uid="{9BD13AAE-A541-4322-81B4-DFA154B4F832}"/>
    <cellStyle name="Currency0" xfId="55" xr:uid="{93545A56-9886-4C8A-92F9-140A729C09DF}"/>
    <cellStyle name="En miles" xfId="56" xr:uid="{D6C2285E-2566-4523-8AF7-3D34DDFDD5A2}"/>
    <cellStyle name="En millones" xfId="57" xr:uid="{6A9274A8-3E83-4212-8CFD-E7823C79B406}"/>
    <cellStyle name="Encabezado 1 2" xfId="102" xr:uid="{27A05E54-5737-475E-8CC5-EEC35F2BFCA2}"/>
    <cellStyle name="Encabezado 4 2" xfId="152" xr:uid="{F7DBF306-EF21-470D-815A-1EB5A82C704E}"/>
    <cellStyle name="Encabezado 4 2 2" xfId="253" xr:uid="{61761836-ABA1-4AD8-98D8-EA1FC214FBF7}"/>
    <cellStyle name="Encabezado 4 3" xfId="252" xr:uid="{9A89589E-5FA1-4A32-8B8A-E7AB4A5C0260}"/>
    <cellStyle name="Encabezado 4 3 2" xfId="254" xr:uid="{9A78DE44-BB9D-4E05-A547-BF0C96B5ECD8}"/>
    <cellStyle name="Encabezado 4 4" xfId="58" xr:uid="{BF3E4FAB-DED1-4893-B30F-0538BD2D86F2}"/>
    <cellStyle name="Énfasis1 2" xfId="153" xr:uid="{043E06C2-A835-4B95-9C10-9BB8EE619EC2}"/>
    <cellStyle name="Énfasis1 2 2" xfId="256" xr:uid="{1492CE78-8510-4318-A001-6437C11931DC}"/>
    <cellStyle name="Énfasis1 3" xfId="255" xr:uid="{180359AE-9D32-4EE7-888A-0E4BD41145CB}"/>
    <cellStyle name="Énfasis1 3 2" xfId="257" xr:uid="{38E8B3CE-785B-43AD-BEA5-2833B48DBE5D}"/>
    <cellStyle name="Énfasis1 4" xfId="59" xr:uid="{AD270A34-7A44-46A0-85A2-3AD802205643}"/>
    <cellStyle name="Énfasis2 2" xfId="154" xr:uid="{0F419DCE-8C32-475F-83E9-DBE3E0BE0D46}"/>
    <cellStyle name="Énfasis2 2 2" xfId="259" xr:uid="{31970576-05BB-4A86-9F6F-079E038A4250}"/>
    <cellStyle name="Énfasis2 3" xfId="258" xr:uid="{88F2A410-A920-4B2F-8F9A-BEDFAE5A35C5}"/>
    <cellStyle name="Énfasis2 3 2" xfId="260" xr:uid="{82242FF2-DA58-401D-B03F-D689EA2207D9}"/>
    <cellStyle name="Énfasis2 4" xfId="60" xr:uid="{F9A553F2-CC6A-43A0-B22B-CE99AF75630A}"/>
    <cellStyle name="Énfasis3 2" xfId="155" xr:uid="{CB531F0F-75FF-42DC-B48C-014C66267E9C}"/>
    <cellStyle name="Énfasis3 2 2" xfId="262" xr:uid="{74E3814F-3874-4F92-A3C2-81774DA32832}"/>
    <cellStyle name="Énfasis3 3" xfId="261" xr:uid="{25A0194D-E1B0-45DC-970C-FD92510F9D1A}"/>
    <cellStyle name="Énfasis3 3 2" xfId="263" xr:uid="{6C139F25-6390-42CC-A4D0-B4B815024728}"/>
    <cellStyle name="Énfasis3 4" xfId="61" xr:uid="{E5356A41-F2B3-4492-8F28-700F41B975B9}"/>
    <cellStyle name="Énfasis4 2" xfId="156" xr:uid="{EC511D2B-A0E8-4A9A-A389-E8FB6424C673}"/>
    <cellStyle name="Énfasis4 2 2" xfId="265" xr:uid="{E12F0204-DA21-46A1-A22F-CE54B36F36CA}"/>
    <cellStyle name="Énfasis4 3" xfId="264" xr:uid="{30E8FE7A-30DA-4FDA-9E0F-344A9356F194}"/>
    <cellStyle name="Énfasis4 3 2" xfId="266" xr:uid="{43F048CE-AE67-41A1-A350-098B26BCCA1E}"/>
    <cellStyle name="Énfasis4 4" xfId="62" xr:uid="{094437EA-4A95-4A5F-AEF5-FEC3EC265294}"/>
    <cellStyle name="Énfasis5 2" xfId="157" xr:uid="{F4727A3B-FB8F-4F46-81FC-D31A3C54536F}"/>
    <cellStyle name="Énfasis5 2 2" xfId="268" xr:uid="{45E456B3-DB3C-4E18-9AEF-C7231776563D}"/>
    <cellStyle name="Énfasis5 3" xfId="267" xr:uid="{16278511-8E22-4370-A99E-4D9C3CC0033B}"/>
    <cellStyle name="Énfasis5 3 2" xfId="269" xr:uid="{0925180D-C2D7-452F-A12E-1DEA5E9575C9}"/>
    <cellStyle name="Énfasis5 4" xfId="63" xr:uid="{1C6AD72D-0DB8-44F4-8F28-04E40A036F16}"/>
    <cellStyle name="Énfasis6 2" xfId="158" xr:uid="{0EDCAF74-4803-49D1-A7FA-DCABA3665E22}"/>
    <cellStyle name="Énfasis6 2 2" xfId="271" xr:uid="{2D8B79E2-B347-4734-8228-1DBA3DBC94DB}"/>
    <cellStyle name="Énfasis6 3" xfId="270" xr:uid="{8073217C-115B-492F-A062-E70E44A8D931}"/>
    <cellStyle name="Énfasis6 3 2" xfId="272" xr:uid="{B5327A55-3780-4B7F-A0B9-2B255BC07086}"/>
    <cellStyle name="Énfasis6 4" xfId="64" xr:uid="{C4D95071-A964-427F-A511-41C6323CDCE1}"/>
    <cellStyle name="Entrada 2" xfId="159" xr:uid="{A037295F-EDC0-4F1A-BB13-EEFC4377449A}"/>
    <cellStyle name="Entrada 2 2" xfId="274" xr:uid="{C3148E38-EE60-4771-8851-C2FBBA8EAED5}"/>
    <cellStyle name="Entrada 3" xfId="273" xr:uid="{4AF38A11-D897-4E14-9A23-36B26D36C267}"/>
    <cellStyle name="Entrada 3 2" xfId="275" xr:uid="{70499E57-6A22-49A0-A759-13758A9AF935}"/>
    <cellStyle name="Entrada 4" xfId="65" xr:uid="{8C221FE6-2F62-42E4-BF5E-DB0DF5AF9954}"/>
    <cellStyle name="Euro" xfId="66" xr:uid="{063F4030-E36B-421C-9517-EB29C1B83FBE}"/>
    <cellStyle name="Euro 2" xfId="376" xr:uid="{3EFC18B9-4EA6-4736-964B-C552AADC11AF}"/>
    <cellStyle name="Euro 2 2" xfId="377" xr:uid="{D0E7F307-6B19-4D39-8302-495611257670}"/>
    <cellStyle name="Euro 2 2 2" xfId="378" xr:uid="{F1C51AC5-CC12-48B1-975E-2815C1AEBCD2}"/>
    <cellStyle name="Euro 3" xfId="379" xr:uid="{CCE78A9F-A355-4216-87EF-B6187C63929B}"/>
    <cellStyle name="Explanatory Text" xfId="67" xr:uid="{1142100E-DA76-4C92-8213-39186B1C0781}"/>
    <cellStyle name="Explanatory Text 2" xfId="160" xr:uid="{3966C9DF-D24A-42FE-9D03-5680AD586F49}"/>
    <cellStyle name="Explanatory Text 3" xfId="325" xr:uid="{A242D22C-9EDB-4C8A-9D23-BB007297DDF2}"/>
    <cellStyle name="Explanatory Text 4" xfId="326" xr:uid="{12666D27-2079-4EC9-A963-65B4AE2B9DBE}"/>
    <cellStyle name="Explanatory Text 5" xfId="324" xr:uid="{A265E91F-C660-4F40-88B1-B4E73BB6BC8D}"/>
    <cellStyle name="F2" xfId="68" xr:uid="{F3D71592-6B54-4F4F-AFB9-7BAFD4CD1404}"/>
    <cellStyle name="F3" xfId="69" xr:uid="{1A4DEB73-7523-46F9-B3FE-34EC47AA7122}"/>
    <cellStyle name="F4" xfId="70" xr:uid="{EB25839E-7F08-479E-8CFB-E1D9C2F57B23}"/>
    <cellStyle name="F5" xfId="71" xr:uid="{9CCD2929-E76D-4E00-874E-7CCCECC073AE}"/>
    <cellStyle name="F6" xfId="72" xr:uid="{8CDF6746-599F-450D-A257-2C24CBEDE290}"/>
    <cellStyle name="F7" xfId="73" xr:uid="{AD0D85CD-A155-4409-85F1-82660BD30786}"/>
    <cellStyle name="F8" xfId="74" xr:uid="{CE5B164F-712C-4280-ADFE-56C36A9498FA}"/>
    <cellStyle name="facha" xfId="75" xr:uid="{4FD12D9E-AA8B-4415-9CCE-0523FA249533}"/>
    <cellStyle name="Followed Hyperlink_aaa Stock Deuda Provincias I 2006" xfId="276" xr:uid="{20777846-94CF-4629-B0E8-F6911D9E0E5C}"/>
    <cellStyle name="Good" xfId="76" xr:uid="{616EE525-0CB7-4223-A664-CD142691AF62}"/>
    <cellStyle name="Good 2" xfId="162" xr:uid="{FDABCC65-AA97-4D81-ADFF-568A9293A3AC}"/>
    <cellStyle name="Good 3" xfId="327" xr:uid="{578B875A-C874-44E4-9644-6EB8A55A0B3B}"/>
    <cellStyle name="Good 4" xfId="353" xr:uid="{47857FFE-A541-4D08-B597-E3CD340FBD64}"/>
    <cellStyle name="Good 5" xfId="341" xr:uid="{8C579B48-2DF7-4592-8C38-F6552096479E}"/>
    <cellStyle name="Heading 1" xfId="77" xr:uid="{47F12F40-6861-47DC-A4CF-2A3AC4773585}"/>
    <cellStyle name="Heading 2" xfId="78" xr:uid="{AEEE5411-6D2A-44D5-ADE4-CE4EA813F5BA}"/>
    <cellStyle name="Heading 3" xfId="79" xr:uid="{3DDA35C4-3870-4806-8B55-6478EB999FFD}"/>
    <cellStyle name="Heading 4" xfId="80" xr:uid="{5EC857B4-4374-4562-9C25-51FE1F4A59D1}"/>
    <cellStyle name="Hipervínculo 2" xfId="81" xr:uid="{117A06C4-FF62-4A61-8A55-AA79F9A9DB1C}"/>
    <cellStyle name="Hyperlink" xfId="525" xr:uid="{D1CD87FF-01E3-4648-8EFD-BF1AD9069D8F}"/>
    <cellStyle name="Hyperlink 2" xfId="526" xr:uid="{6BFD1639-3659-4B0F-841C-087C1D18422B}"/>
    <cellStyle name="Hyperlink_aaa Stock Deuda Provincias I 2006" xfId="82" xr:uid="{5DDAC745-5FE6-4608-934B-C23964424139}"/>
    <cellStyle name="Incorrecto 2" xfId="164" xr:uid="{13BD21F7-A234-4E5F-A2A8-98EBFDA3FFA9}"/>
    <cellStyle name="Incorrecto 2 2" xfId="278" xr:uid="{40983525-4EE8-485B-96D7-48FEDA7C1310}"/>
    <cellStyle name="Incorrecto 3" xfId="277" xr:uid="{03267A66-8B20-4D82-A6E0-63B2941E2B45}"/>
    <cellStyle name="Incorrecto 3 2" xfId="279" xr:uid="{A02C67E9-64C1-44BA-9CCA-2FA88EAD2571}"/>
    <cellStyle name="Incorrecto 4" xfId="83" xr:uid="{F6AEBE15-5167-4D5B-A030-D314F3A68086}"/>
    <cellStyle name="Input" xfId="84" xr:uid="{4ADE96BC-0C3F-409F-AABD-242941CCA42E}"/>
    <cellStyle name="Input 2" xfId="165" xr:uid="{5C55D787-AA26-4B80-B173-E7A1E5A62174}"/>
    <cellStyle name="Input 3" xfId="329" xr:uid="{4D6394FB-76DC-4313-A593-996259D5E386}"/>
    <cellStyle name="Input 4" xfId="352" xr:uid="{B97CE5B1-95DB-47D4-9136-0094623E5717}"/>
    <cellStyle name="Input 5" xfId="342" xr:uid="{6AB8158E-0850-4EEC-A88E-D4DB24947FD4}"/>
    <cellStyle name="jo[" xfId="85" xr:uid="{A84668EA-9B54-451A-8356-50FFFCDD5E0B}"/>
    <cellStyle name="Linked Cell" xfId="86" xr:uid="{D622C05F-6151-4C43-826F-9B1A4425311E}"/>
    <cellStyle name="Linked Cell 2" xfId="167" xr:uid="{82DAA5E6-7D6E-4C05-B46D-C50D8B98A5FC}"/>
    <cellStyle name="Linked Cell 3" xfId="330" xr:uid="{4A4E7ABE-3141-4BF5-A7D2-BDE6F16CF8B1}"/>
    <cellStyle name="Linked Cell 4" xfId="351" xr:uid="{0245BD43-298A-41CF-9E44-7F331E97E1F7}"/>
    <cellStyle name="Linked Cell 5" xfId="343" xr:uid="{49A56563-FEC0-4D9A-97EC-73297CAB8A6A}"/>
    <cellStyle name="Millares [0] 2" xfId="368" xr:uid="{BCE2BE71-984D-4C56-8DA1-3D2982989F6C}"/>
    <cellStyle name="Millares [0] 2 2" xfId="380" xr:uid="{167C3921-75F7-4723-A82F-45863CCCE6A3}"/>
    <cellStyle name="Millares [0] 2 2 2" xfId="381" xr:uid="{9B9C8348-E4A5-4EC8-8010-756C40C4B6E1}"/>
    <cellStyle name="Millares [0] 2 2 2 2" xfId="382" xr:uid="{CE4CFA2D-DEF2-4C44-ADD0-30BAA5F9D344}"/>
    <cellStyle name="Millares [0] 2 2 3" xfId="383" xr:uid="{7A1E8863-BB5B-495C-A27C-3D1954AE490B}"/>
    <cellStyle name="Millares [0] 2 2 4" xfId="450" xr:uid="{0FFDDCA0-5AEE-4321-8D8B-7F29A2843418}"/>
    <cellStyle name="Millares [0] 2 3" xfId="384" xr:uid="{C0360184-571D-4CCB-AA93-C28853D296B9}"/>
    <cellStyle name="Millares [0] 2 4" xfId="514" xr:uid="{8010213F-2E74-4C41-BCAC-2DADAAB31DED}"/>
    <cellStyle name="Millares [0] 3" xfId="385" xr:uid="{8D973110-FA6A-4261-8E4A-4CCE6FD299B0}"/>
    <cellStyle name="Millares [0] 3 2" xfId="438" xr:uid="{D86E538C-19D5-4781-A657-AA409A13290E}"/>
    <cellStyle name="Millares [0] 4" xfId="432" xr:uid="{B25CE2F2-4919-41E7-A532-ECB56FA4FDEF}"/>
    <cellStyle name="Millares [0] 4 2" xfId="475" xr:uid="{1E2A78CF-DB6C-49CE-A4F0-083D46CFDDFC}"/>
    <cellStyle name="Millares [0] 4 2 2" xfId="573" xr:uid="{023D2FDE-DDA5-4E48-8916-074C08245CDD}"/>
    <cellStyle name="Millares [0] 4 2 3" xfId="663" xr:uid="{031DE116-2C97-4AB3-9840-EA705A9722AB}"/>
    <cellStyle name="Millares [0] 4 3" xfId="538" xr:uid="{479C8522-5A7D-4068-8593-859E5840D26F}"/>
    <cellStyle name="Millares [0] 4 4" xfId="628" xr:uid="{03975A50-465D-4601-90E6-2801307D7192}"/>
    <cellStyle name="Millares [0] 5" xfId="441" xr:uid="{263B12C5-B19B-41D5-BF4B-5EC8CCD87E9F}"/>
    <cellStyle name="Millares [0] 5 2" xfId="482" xr:uid="{FFCD7AFF-C1ED-4294-9164-1AE58BA08401}"/>
    <cellStyle name="Millares [0] 5 2 2" xfId="580" xr:uid="{EF07B903-8E8B-49BF-801E-E6EB7F9B77CF}"/>
    <cellStyle name="Millares [0] 5 2 3" xfId="670" xr:uid="{3DD52386-DCCD-4E47-A721-4F34EBBA1F9A}"/>
    <cellStyle name="Millares [0] 5 3" xfId="545" xr:uid="{3FA0E402-5761-4E50-87CA-CA4E76979A92}"/>
    <cellStyle name="Millares [0] 5 4" xfId="635" xr:uid="{904BDCC5-DC27-47C9-A8AA-A49A5D176A43}"/>
    <cellStyle name="Millares [0] 6" xfId="88" xr:uid="{D085384D-15F8-4B2A-8169-D35FE9879DFA}"/>
    <cellStyle name="Millares [0] 6 2" xfId="505" xr:uid="{36CFEB2D-F74E-4F5B-A9C6-536457CFBE6B}"/>
    <cellStyle name="Millares [0] 7" xfId="506" xr:uid="{87F1B103-6ADA-4A86-8508-0AB1945D60EE}"/>
    <cellStyle name="Millares [0] 8" xfId="428" xr:uid="{9BD97FF4-FDD0-4126-B80B-2B2259595712}"/>
    <cellStyle name="Millares [0] 9" xfId="515" xr:uid="{A86831F0-64C8-4032-A6BD-213B1D96411A}"/>
    <cellStyle name="Millares [2]" xfId="89" xr:uid="{D2697E3E-DDD7-4E0F-B0A9-C94DD0370902}"/>
    <cellStyle name="Millares [2] 2" xfId="168" xr:uid="{89DEA0A3-A80F-4F56-AA33-3F897FC16C3E}"/>
    <cellStyle name="Millares [2] 3" xfId="331" xr:uid="{6BC9E531-2A50-4FB9-89C3-08010B9931F1}"/>
    <cellStyle name="Millares [2] 4" xfId="323" xr:uid="{89DA98A4-5488-4187-A32D-E3D293E53BE2}"/>
    <cellStyle name="Millares [2] 5" xfId="328" xr:uid="{BF03798D-E8D9-4208-AD6C-EEA1358C7FC1}"/>
    <cellStyle name="Millares 10" xfId="431" xr:uid="{542E8152-BB01-471F-9C78-65589873865D}"/>
    <cellStyle name="Millares 10 2" xfId="474" xr:uid="{CDC6D7D0-348D-4305-8B71-A052886E5989}"/>
    <cellStyle name="Millares 10 2 2" xfId="572" xr:uid="{BBDD1C20-477E-4B03-B95B-2585DF8489D5}"/>
    <cellStyle name="Millares 10 2 3" xfId="662" xr:uid="{CDF63DAB-CF89-426B-9C11-322B77A455F3}"/>
    <cellStyle name="Millares 10 3" xfId="537" xr:uid="{4064FF32-0333-4C12-9E59-C170A6E06231}"/>
    <cellStyle name="Millares 10 4" xfId="627" xr:uid="{75962900-2721-4A4F-A86D-D2651150E121}"/>
    <cellStyle name="Millares 11" xfId="440" xr:uid="{7230BEFF-305F-4B3F-AF78-028431F6D633}"/>
    <cellStyle name="Millares 11 2" xfId="481" xr:uid="{77B9C1F8-A48D-4B93-A98F-18E75D249CDF}"/>
    <cellStyle name="Millares 11 2 2" xfId="579" xr:uid="{52393011-AF05-4672-9DD3-1F91FB089F5F}"/>
    <cellStyle name="Millares 11 2 3" xfId="669" xr:uid="{AEF2846F-A691-4F8F-9E88-08B51CD46825}"/>
    <cellStyle name="Millares 11 3" xfId="544" xr:uid="{223B62C6-0740-4194-B930-8E4120039C33}"/>
    <cellStyle name="Millares 11 4" xfId="634" xr:uid="{2EBE1A09-FC28-42EA-A095-C1CC6AA2AAA9}"/>
    <cellStyle name="Millares 12" xfId="447" xr:uid="{52245741-FFF5-4E33-8361-50F1854E8647}"/>
    <cellStyle name="Millares 12 2" xfId="488" xr:uid="{D0B22FD7-C0C3-4A74-BD69-B1AD79BB1F31}"/>
    <cellStyle name="Millares 12 2 2" xfId="586" xr:uid="{62B2741B-FF39-49D9-9812-7DFA18739188}"/>
    <cellStyle name="Millares 12 2 3" xfId="676" xr:uid="{93A794DF-599D-4D00-A7B2-237A0BDBEBBF}"/>
    <cellStyle name="Millares 12 3" xfId="551" xr:uid="{A14E4BCC-95C3-451B-8314-B35B8CC0B124}"/>
    <cellStyle name="Millares 12 4" xfId="641" xr:uid="{63807D0C-504C-4035-8680-ED93631363C7}"/>
    <cellStyle name="Millares 13" xfId="454" xr:uid="{D3C742FD-9108-4608-8A6A-5FF4D96A56F7}"/>
    <cellStyle name="Millares 13 2" xfId="490" xr:uid="{8DEE0A7B-7FFD-4200-B346-ADFD98E344CE}"/>
    <cellStyle name="Millares 13 2 2" xfId="588" xr:uid="{757FAF5E-6A79-4E6B-93F7-35FD3B2A1A4B}"/>
    <cellStyle name="Millares 13 2 3" xfId="678" xr:uid="{31FDDB34-C3C9-4F69-9DCB-29B90EB69358}"/>
    <cellStyle name="Millares 13 3" xfId="553" xr:uid="{4519D2E4-99B8-41CE-B35E-CA041F6AB2BB}"/>
    <cellStyle name="Millares 13 4" xfId="643" xr:uid="{5B0CA7C7-ED11-48BA-B046-4B32A459698B}"/>
    <cellStyle name="Millares 14" xfId="452" xr:uid="{95107FF3-9B2F-4851-B187-3179E63B76A0}"/>
    <cellStyle name="Millares 15" xfId="375" xr:uid="{9A5CD6FD-52DF-4759-9D3C-44D207ABD202}"/>
    <cellStyle name="Millares 16" xfId="446" xr:uid="{7E864C29-ACAF-49A1-8320-4FEA06969CE2}"/>
    <cellStyle name="Millares 16 2" xfId="487" xr:uid="{26FA8C87-4A43-4AD1-90CA-579BDAEA286B}"/>
    <cellStyle name="Millares 16 2 2" xfId="585" xr:uid="{B8C6BC94-8912-4138-AE72-3509E22626F9}"/>
    <cellStyle name="Millares 16 2 3" xfId="675" xr:uid="{D3767407-800A-4423-B08D-50A6592A632C}"/>
    <cellStyle name="Millares 16 3" xfId="550" xr:uid="{0B29662B-9CCA-4C40-AAE8-F83CC49E6DC3}"/>
    <cellStyle name="Millares 16 4" xfId="640" xr:uid="{83D9C527-E327-434B-BB1F-18EABD077B25}"/>
    <cellStyle name="Millares 17" xfId="429" xr:uid="{ED0C2397-15DF-4C0F-BC31-FB3997FBA78F}"/>
    <cellStyle name="Millares 18" xfId="442" xr:uid="{7B6D1DFD-7171-40AF-B06C-8A4D6B6A4C1C}"/>
    <cellStyle name="Millares 18 2" xfId="483" xr:uid="{E95C5905-9557-40FC-BBC6-673CC62C464F}"/>
    <cellStyle name="Millares 18 2 2" xfId="581" xr:uid="{19EAA8D5-1341-40D2-A451-EE74F410FC26}"/>
    <cellStyle name="Millares 18 2 3" xfId="671" xr:uid="{6B2FBE9B-D5C4-43CA-B05E-B0F53131BED4}"/>
    <cellStyle name="Millares 18 3" xfId="546" xr:uid="{B772875D-72C8-485A-9B0C-A7FBBB75D797}"/>
    <cellStyle name="Millares 18 4" xfId="636" xr:uid="{47E7ED29-6C2F-41E4-A9B0-EBE292AF7113}"/>
    <cellStyle name="Millares 19" xfId="87" xr:uid="{B8048490-0A14-4625-946A-56FC086C136A}"/>
    <cellStyle name="Millares 19 2" xfId="516" xr:uid="{97364910-D56F-4F7B-91DB-F43DC1AE76D8}"/>
    <cellStyle name="Millares 19 2 2" xfId="598" xr:uid="{5756BAB3-B8B7-4648-8E38-8077D228A152}"/>
    <cellStyle name="Millares 19 2 3" xfId="688" xr:uid="{726F9369-44C6-4D22-9032-44A7CB45F501}"/>
    <cellStyle name="Millares 19 3" xfId="524" xr:uid="{231FC462-DA72-424F-993C-D55BA8FAC783}"/>
    <cellStyle name="Millares 19 3 2" xfId="602" xr:uid="{4375D791-EC31-4FE9-84B9-1989F835A593}"/>
    <cellStyle name="Millares 19 3 3" xfId="692" xr:uid="{8B624D06-DEA1-46E9-B131-6331973AB78C}"/>
    <cellStyle name="Millares 19 4" xfId="507" xr:uid="{9557E545-990E-4978-ADC0-EC48D2180DF7}"/>
    <cellStyle name="Millares 2" xfId="369" xr:uid="{4C31B2BC-FDCC-4EBC-868E-25FFD19BFECF}"/>
    <cellStyle name="Millares 2 2" xfId="386" xr:uid="{0C79F1AC-1457-4DA3-8CBE-7B8F8A877FE4}"/>
    <cellStyle name="Millares 2 2 2" xfId="387" xr:uid="{CFBB7CE1-686C-467B-A3AD-C0479B5CB54C}"/>
    <cellStyle name="Millares 2 2 2 2" xfId="388" xr:uid="{C3FD2F02-0A64-418D-B2BC-793D9BDECB67}"/>
    <cellStyle name="Millares 2 2 2 2 2" xfId="389" xr:uid="{5C5D0454-54FA-4622-9CA0-0109B9A45793}"/>
    <cellStyle name="Millares 2 2 3" xfId="390" xr:uid="{DA625070-6F5D-4C1F-A904-2E275FD25471}"/>
    <cellStyle name="Millares 2 2 4" xfId="453" xr:uid="{D1A346A5-9FCF-461E-A095-EA6A35FE3DD9}"/>
    <cellStyle name="Millares 2 3" xfId="391" xr:uid="{BA92B960-73E8-4CEC-BFAF-A5A85440C86A}"/>
    <cellStyle name="Millares 2 4" xfId="392" xr:uid="{3A0865DD-37D2-4055-865C-DA436DB7C1DD}"/>
    <cellStyle name="Millares 2 5" xfId="393" xr:uid="{7CE15375-25EB-44BD-B83D-0061A2BF9553}"/>
    <cellStyle name="Millares 2 6" xfId="394" xr:uid="{E56E3E89-F728-4F91-BA35-E0231839E302}"/>
    <cellStyle name="Millares 2_A.1.4" xfId="500" xr:uid="{9D893C5F-D170-4E6F-B430-A4BF1EB22A39}"/>
    <cellStyle name="Millares 20" xfId="508" xr:uid="{0503F221-5C92-4CE8-AA75-CFB61AB97A46}"/>
    <cellStyle name="Millares 21" xfId="509" xr:uid="{B19792BD-610D-4405-B5FF-50AE42018A60}"/>
    <cellStyle name="Millares 22" xfId="517" xr:uid="{82825A0F-33C4-430A-976D-08A5370FD88C}"/>
    <cellStyle name="Millares 22 2" xfId="599" xr:uid="{15042C30-50CC-44A2-AC02-7715118B8F7D}"/>
    <cellStyle name="Millares 22 3" xfId="689" xr:uid="{B3759FFA-38AF-4F27-BC9A-954EC1655430}"/>
    <cellStyle name="Millares 23" xfId="518" xr:uid="{89C8D3A8-B1DF-4FEC-B9FF-0AE7F198F100}"/>
    <cellStyle name="Millares 24" xfId="519" xr:uid="{C1AD363E-30BC-4B6C-997F-B6BB4A12CDCC}"/>
    <cellStyle name="Millares 24 2" xfId="600" xr:uid="{C4E52B07-5117-481B-A19B-EB6BA7FD65B6}"/>
    <cellStyle name="Millares 24 3" xfId="690" xr:uid="{4F814E20-D917-4B35-8928-4E4B851E3C38}"/>
    <cellStyle name="Millares 25" xfId="520" xr:uid="{F30A3CAC-5FFC-41D8-9349-1F7DA2E59205}"/>
    <cellStyle name="Millares 25 2" xfId="601" xr:uid="{512BB2DA-EF17-4EBA-A83D-F851B7E4064C}"/>
    <cellStyle name="Millares 25 3" xfId="691" xr:uid="{D283C700-7149-4244-9897-599276F86E80}"/>
    <cellStyle name="Millares 26" xfId="502" xr:uid="{BA69208C-233B-4E5B-A12E-1C89D68F1C22}"/>
    <cellStyle name="Millares 27" xfId="527" xr:uid="{40EEA3F6-58D7-4F03-8C9B-0CFBDD91AB23}"/>
    <cellStyle name="Millares 28" xfId="504" xr:uid="{E3B08351-B4B8-4308-83BB-DD92D1A7C4D3}"/>
    <cellStyle name="Millares 29" xfId="503" xr:uid="{93E4FBDF-9D23-4747-A4A5-EE3DA18FBDEB}"/>
    <cellStyle name="Millares 3" xfId="372" xr:uid="{447DE311-8DA4-4B13-8262-568BAD7BC744}"/>
    <cellStyle name="Millares 3 2" xfId="433" xr:uid="{992CA962-8EE5-4090-B8A6-50FF5C238749}"/>
    <cellStyle name="Millares 3 2 2" xfId="476" xr:uid="{A0D51BDA-144D-413C-9BA0-CCA4F6DFAD05}"/>
    <cellStyle name="Millares 3 2 2 2" xfId="574" xr:uid="{5C9B7A5B-7640-4EF0-A2E1-71110E733E1A}"/>
    <cellStyle name="Millares 3 2 2 3" xfId="664" xr:uid="{0121A3DA-A9C2-4CFF-AC79-AA7DA8D5A2A8}"/>
    <cellStyle name="Millares 3 2 3" xfId="539" xr:uid="{4A48747F-2DB1-4A82-B795-27875052BE8A}"/>
    <cellStyle name="Millares 3 2 4" xfId="629" xr:uid="{DAA42A9D-E389-4E65-B42D-4BCA4AA7DB5E}"/>
    <cellStyle name="Millares 3 3" xfId="443" xr:uid="{B2A86695-2FBB-4575-BE17-5F513F114B1C}"/>
    <cellStyle name="Millares 3 3 2" xfId="484" xr:uid="{D7FD0EDE-1085-4071-8073-96E74B7FCEB8}"/>
    <cellStyle name="Millares 3 3 2 2" xfId="582" xr:uid="{3B3D4A45-B6DE-44B5-84AD-B1E54FD450BC}"/>
    <cellStyle name="Millares 3 3 2 3" xfId="672" xr:uid="{F65C1838-CDB7-43F3-98B4-4DBC4A44F409}"/>
    <cellStyle name="Millares 3 3 3" xfId="547" xr:uid="{C1CD02D5-7EBD-4088-BE75-C97A54417B1B}"/>
    <cellStyle name="Millares 3 3 4" xfId="637" xr:uid="{FC20C035-98E4-4CE2-9A8A-18F99F1CABA7}"/>
    <cellStyle name="Millares 3 4" xfId="456" xr:uid="{731BBAF1-09CB-4DC7-B5CE-D307486D0238}"/>
    <cellStyle name="Millares 3 4 2" xfId="492" xr:uid="{252FDAEF-56AB-481C-885F-D13EB5DA2BBD}"/>
    <cellStyle name="Millares 3 4 2 2" xfId="590" xr:uid="{6B8865CA-6F78-4860-B8B5-35D05D809299}"/>
    <cellStyle name="Millares 3 4 2 3" xfId="680" xr:uid="{BC27345E-6788-4299-A28E-DC86415416A3}"/>
    <cellStyle name="Millares 3 4 3" xfId="555" xr:uid="{4295D248-A9B4-475E-911B-2F38259BD91F}"/>
    <cellStyle name="Millares 3 4 4" xfId="645" xr:uid="{D5CC9A30-D419-47EE-A024-E87151E3276F}"/>
    <cellStyle name="Millares 3 5" xfId="467" xr:uid="{4F6C77C6-E358-47FA-AF47-7338B52EEC99}"/>
    <cellStyle name="Millares 3 5 2" xfId="565" xr:uid="{B14EDB7E-11AE-4F21-BCB7-9671637A6825}"/>
    <cellStyle name="Millares 3 5 3" xfId="655" xr:uid="{95BA5A6F-54C2-4FCD-BC7E-08D60223CD83}"/>
    <cellStyle name="Millares 3 6" xfId="530" xr:uid="{9EFF1FF7-3067-4E63-90CB-541A8A4316ED}"/>
    <cellStyle name="Millares 3 7" xfId="604" xr:uid="{C3C71062-F860-427C-A3AD-24356A43B0EB}"/>
    <cellStyle name="Millares 3 8" xfId="610" xr:uid="{12421CD4-D2E1-4F8E-A03B-756114F51852}"/>
    <cellStyle name="Millares 3 9" xfId="620" xr:uid="{B9AF58B9-C805-4C76-A37F-3F1FB3D55438}"/>
    <cellStyle name="Millares 30" xfId="616" xr:uid="{1C7E8DE5-2C4F-459E-AFFF-9C5B770DB13A}"/>
    <cellStyle name="Millares 31" xfId="523" xr:uid="{5066AF68-AF36-4771-9331-229B5EE63AF9}"/>
    <cellStyle name="Millares 32" xfId="615" xr:uid="{401DC6F3-D789-4CEB-9CA6-9E17BA34B7B4}"/>
    <cellStyle name="Millares 33" xfId="695" xr:uid="{5EF916D8-E4C2-466C-B2D1-B3159206AB20}"/>
    <cellStyle name="Millares 4" xfId="374" xr:uid="{F44147E2-BC36-4A31-8EB3-0A7E91028DEC}"/>
    <cellStyle name="Millares 4 2" xfId="395" xr:uid="{C948C39B-3D93-4DDC-9302-DAFE446E9F33}"/>
    <cellStyle name="Millares 4 2 2" xfId="396" xr:uid="{39E20D72-F0A3-478A-B334-53A4CCD65248}"/>
    <cellStyle name="Millares 4 2 2 2" xfId="397" xr:uid="{997C1E8F-2DBD-4173-98DA-A6623B33278E}"/>
    <cellStyle name="Millares 4 3" xfId="398" xr:uid="{6997A829-CF23-403B-BE2C-6158BE73B459}"/>
    <cellStyle name="Millares 5" xfId="399" xr:uid="{E55F4795-3D1D-4B7F-BF92-D10173CDC0F8}"/>
    <cellStyle name="Millares 5 10" xfId="621" xr:uid="{B2976D16-1688-4163-B86F-C86F55190704}"/>
    <cellStyle name="Millares 5 2" xfId="400" xr:uid="{40C61042-71A9-4489-B4B3-082271E39BD1}"/>
    <cellStyle name="Millares 5 2 2" xfId="401" xr:uid="{D1989779-1496-4A06-B9B8-086C8E4D9664}"/>
    <cellStyle name="Millares 5 2 2 2" xfId="402" xr:uid="{73274995-6E34-46BE-B780-1C10588366E1}"/>
    <cellStyle name="Millares 5 3" xfId="403" xr:uid="{CE775DB2-7F26-436A-ABE8-90E354F9E030}"/>
    <cellStyle name="Millares 5 4" xfId="437" xr:uid="{BE49593E-E71B-483F-A4BA-403E009D9683}"/>
    <cellStyle name="Millares 5 5" xfId="460" xr:uid="{3C52AF17-FC21-4402-A1CF-3B17C9F3FE75}"/>
    <cellStyle name="Millares 5 5 2" xfId="495" xr:uid="{C3B41C32-78AA-47D0-8619-FDC59498D990}"/>
    <cellStyle name="Millares 5 5 2 2" xfId="593" xr:uid="{50EFEDEB-8494-4D2F-8563-B7CB804D3760}"/>
    <cellStyle name="Millares 5 5 2 3" xfId="683" xr:uid="{55545B80-A83C-41DC-8640-74FC92416400}"/>
    <cellStyle name="Millares 5 5 3" xfId="558" xr:uid="{91381EB2-4091-470B-BAF1-B6C6EBB78251}"/>
    <cellStyle name="Millares 5 5 4" xfId="648" xr:uid="{9089C9E8-4704-4FD3-B75F-E277C9F68510}"/>
    <cellStyle name="Millares 5 6" xfId="468" xr:uid="{450FBE1F-2633-499C-9A93-DD23637CCDB5}"/>
    <cellStyle name="Millares 5 6 2" xfId="566" xr:uid="{0A10E804-E0B5-4AEB-B149-A722DC2D0297}"/>
    <cellStyle name="Millares 5 6 3" xfId="656" xr:uid="{A7F9B03E-F626-4627-BF2A-707E606AEF63}"/>
    <cellStyle name="Millares 5 7" xfId="531" xr:uid="{F48D66CA-4EE1-414E-874B-8BEA88A9207F}"/>
    <cellStyle name="Millares 5 8" xfId="608" xr:uid="{CC531120-45EF-4F6B-BA3A-2DD389636BF0}"/>
    <cellStyle name="Millares 5 9" xfId="614" xr:uid="{9C62EF56-B4AC-47E8-8F65-46D5F6304D0B}"/>
    <cellStyle name="Millares 6" xfId="404" xr:uid="{55D001C0-CE36-4485-AF9C-DA59E279EA87}"/>
    <cellStyle name="Millares 6 2" xfId="405" xr:uid="{77C794FE-6E48-47A3-853D-D5CEDE15492A}"/>
    <cellStyle name="Millares 6 3" xfId="607" xr:uid="{6302CFF3-0124-4412-AA7C-3FD26C9B43B4}"/>
    <cellStyle name="Millares 6 4" xfId="613" xr:uid="{22A3C063-843C-4443-AB28-4E5261DC0DF3}"/>
    <cellStyle name="Millares 7" xfId="406" xr:uid="{4F74E575-9968-4B35-8232-B5AE4C5D7717}"/>
    <cellStyle name="Millares 7 2" xfId="407" xr:uid="{1A61C8FA-F59D-41A7-9857-A8F184FCFD20}"/>
    <cellStyle name="Millares 7 3" xfId="408" xr:uid="{1EA2A0DA-FBDA-42F3-B981-99265CD4B3D6}"/>
    <cellStyle name="Millares 7 3 2" xfId="461" xr:uid="{3C42E487-3C30-45DA-9EAB-0601FA95B768}"/>
    <cellStyle name="Millares 7 3 2 2" xfId="496" xr:uid="{8CA9F1AD-175A-4E1E-8055-4F408F93DC8C}"/>
    <cellStyle name="Millares 7 3 2 2 2" xfId="594" xr:uid="{3EA37585-75D9-4345-9CB3-3E71FC9C0557}"/>
    <cellStyle name="Millares 7 3 2 2 3" xfId="684" xr:uid="{9D6855F6-F505-4D3D-8AB4-DD12456C6603}"/>
    <cellStyle name="Millares 7 3 2 3" xfId="559" xr:uid="{2FA8EB10-08A7-469C-BD53-14E01471E5A8}"/>
    <cellStyle name="Millares 7 3 2 4" xfId="649" xr:uid="{ABAB3E23-7135-4B57-9F78-5ED461330993}"/>
    <cellStyle name="Millares 7 3 3" xfId="469" xr:uid="{4AF4E7ED-6A1A-48EC-AD9E-7386211682C7}"/>
    <cellStyle name="Millares 7 3 3 2" xfId="567" xr:uid="{71B2C884-97E5-445E-8807-4FC2F7D65D0E}"/>
    <cellStyle name="Millares 7 3 3 3" xfId="657" xr:uid="{5BC9C809-1569-47FA-9808-02C231A67C36}"/>
    <cellStyle name="Millares 7 3 4" xfId="532" xr:uid="{01E523DB-35D2-45FF-9D51-658E45C6AEFE}"/>
    <cellStyle name="Millares 7 3 5" xfId="622" xr:uid="{AC188D30-551A-4E08-BA2D-A944AAFB1B90}"/>
    <cellStyle name="Millares 8" xfId="409" xr:uid="{1E9DA9A4-DF80-4176-BC57-B86B99B4E369}"/>
    <cellStyle name="Millares 9" xfId="410" xr:uid="{270AAC55-A8E4-4ABC-8026-2F01AF87A56E}"/>
    <cellStyle name="Moneda" xfId="1" builtinId="4"/>
    <cellStyle name="Neutral 2" xfId="169" xr:uid="{C2F8F502-076F-478E-A5FB-EE520BEE9288}"/>
    <cellStyle name="Neutral 2 2" xfId="281" xr:uid="{135E4965-6B0D-4AFA-895F-5A332A0F40AB}"/>
    <cellStyle name="Neutral 3" xfId="280" xr:uid="{34FA459A-EF66-4E9E-B739-9188A0C56999}"/>
    <cellStyle name="Neutral 3 2" xfId="282" xr:uid="{911C2D6C-C7B8-4F26-8E93-C52838BDBFF7}"/>
    <cellStyle name="Neutral 4" xfId="90" xr:uid="{AC1C6C3A-AF93-4EF5-91D3-FC6206600BCB}"/>
    <cellStyle name="Normal" xfId="0" builtinId="0"/>
    <cellStyle name="Normal 10" xfId="430" xr:uid="{7FEFEBD9-42F1-48FA-9182-32F03C3FDD22}"/>
    <cellStyle name="Normal 10 2" xfId="459" xr:uid="{FF834C85-7658-42FD-AD2C-3BBF15001A1C}"/>
    <cellStyle name="Normal 10 3" xfId="473" xr:uid="{EC0BA1B9-27E2-4780-8BCD-A0260661E905}"/>
    <cellStyle name="Normal 10 3 2" xfId="571" xr:uid="{DDB51F86-6B9B-4326-8C2A-9C7AF8E8E4ED}"/>
    <cellStyle name="Normal 10 3 3" xfId="661" xr:uid="{EE80310F-C5B7-41E3-9A88-12A0F7BA75DB}"/>
    <cellStyle name="Normal 10 4" xfId="536" xr:uid="{1079DBD0-DF9B-4376-A837-A3279BDE50AA}"/>
    <cellStyle name="Normal 10 5" xfId="626" xr:uid="{18A85395-ED2C-4ABE-B4E0-FB585900ED1C}"/>
    <cellStyle name="Normal 11" xfId="411" xr:uid="{B4B07AD5-E166-4644-92F1-588C2FD8221F}"/>
    <cellStyle name="Normal 12" xfId="439" xr:uid="{180DB3CB-D07C-4152-A185-17542F4A032F}"/>
    <cellStyle name="Normal 12 2" xfId="480" xr:uid="{E6C03360-41DD-4222-9A36-0737E9CE4B48}"/>
    <cellStyle name="Normal 12 2 2" xfId="578" xr:uid="{82999BAB-E05F-45BC-A5CA-EC7BCCA6679E}"/>
    <cellStyle name="Normal 12 2 3" xfId="668" xr:uid="{C1505E2C-7B43-4BEE-92C6-F82C1749019B}"/>
    <cellStyle name="Normal 12 3" xfId="543" xr:uid="{6F2AD2FB-9279-4685-BF51-B00AEF543FBA}"/>
    <cellStyle name="Normal 12 4" xfId="633" xr:uid="{712816A4-BA32-4A19-8F59-99A03020ABAA}"/>
    <cellStyle name="Normal 13" xfId="455" xr:uid="{BFDDDAA3-0787-445D-9BDE-CF77557C382E}"/>
    <cellStyle name="Normal 13 2" xfId="491" xr:uid="{F972BB7E-7806-44A8-9210-641996C5C5F0}"/>
    <cellStyle name="Normal 13 2 2" xfId="589" xr:uid="{E62087C8-1FF4-4F40-9692-8E3FE36C2524}"/>
    <cellStyle name="Normal 13 2 3" xfId="679" xr:uid="{C46914A7-4DB6-440B-808C-027279FF0589}"/>
    <cellStyle name="Normal 13 3" xfId="554" xr:uid="{E6C05B8F-A9FF-4D48-9D39-A13DE7368C65}"/>
    <cellStyle name="Normal 13 4" xfId="644" xr:uid="{AC1580F9-F009-45F2-B03B-D6D959B1CCE4}"/>
    <cellStyle name="Normal 14" xfId="3" xr:uid="{3DA346A9-512C-46A8-BD2D-B3A9D8357817}"/>
    <cellStyle name="Normal 14 2" xfId="603" xr:uid="{5817A0F9-75FC-4D3B-A3B9-F575F93FABC3}"/>
    <cellStyle name="Normal 15" xfId="609" xr:uid="{2B243177-1FD6-4BEA-8FE9-BCCE1950F431}"/>
    <cellStyle name="Normal 16" xfId="693" xr:uid="{5797D2F4-48C7-44B8-87E5-BCE010DE1228}"/>
    <cellStyle name="Normal 17" xfId="694" xr:uid="{7AF4D6E0-0280-4C92-B5DE-5D6C70C756A8}"/>
    <cellStyle name="Normal 2" xfId="367" xr:uid="{6357C82D-B62E-4901-96BD-1BC1A87D7E95}"/>
    <cellStyle name="Normal 2 2" xfId="412" xr:uid="{DF8D4D17-FFAC-448A-BB73-00FC5A7504CB}"/>
    <cellStyle name="Normal 2 2 2" xfId="449" xr:uid="{46E544CE-DBC0-4AE1-AD15-12342BBA24EC}"/>
    <cellStyle name="Normal 2 2 3" xfId="462" xr:uid="{90FD41C0-0504-4EB4-874A-AE8902659D82}"/>
    <cellStyle name="Normal 2 2 3 2" xfId="497" xr:uid="{E9E3C3CF-314C-4632-8DE8-FF463606CB0A}"/>
    <cellStyle name="Normal 2 2 3 2 2" xfId="595" xr:uid="{C6FB4F32-C381-470E-96FA-8DFFA5753A7E}"/>
    <cellStyle name="Normal 2 2 3 2 3" xfId="685" xr:uid="{C2A7CDA4-1589-41EF-B638-E5800F6E94F6}"/>
    <cellStyle name="Normal 2 2 3 3" xfId="560" xr:uid="{6C18E4B8-C370-42F3-BF21-C384BD0DB727}"/>
    <cellStyle name="Normal 2 2 3 4" xfId="650" xr:uid="{86C63E34-4ED9-4FFF-9DAA-739CD3D8235B}"/>
    <cellStyle name="Normal 2 2 4" xfId="470" xr:uid="{C23440B0-68D9-463A-8B3E-98EF1BA8925B}"/>
    <cellStyle name="Normal 2 2 4 2" xfId="568" xr:uid="{823EE5C2-E814-4B5F-A5DD-3AF7D5A7D230}"/>
    <cellStyle name="Normal 2 2 4 3" xfId="658" xr:uid="{FA1F85B4-4D1E-4361-BAD7-3425858C233F}"/>
    <cellStyle name="Normal 2 2 5" xfId="533" xr:uid="{3A5161AC-219E-4386-BD78-95A7669509A4}"/>
    <cellStyle name="Normal 2 2 6" xfId="623" xr:uid="{7D2339B7-0045-4652-AA91-025EED4D5E31}"/>
    <cellStyle name="Normal 2 3" xfId="413" xr:uid="{BAF7D871-D0FC-451E-90BD-04C5248CA62A}"/>
    <cellStyle name="Normal 2 3 2" xfId="463" xr:uid="{068274B5-B167-471B-8AD3-19E003E2FCA6}"/>
    <cellStyle name="Normal 2 3 2 2" xfId="498" xr:uid="{0781093A-00BA-419A-8A3E-CE04ACBA9914}"/>
    <cellStyle name="Normal 2 3 2 2 2" xfId="596" xr:uid="{657F3F1F-3CCC-46C4-B124-7B6D99591487}"/>
    <cellStyle name="Normal 2 3 2 2 3" xfId="686" xr:uid="{5E3B3DDF-C9A9-4561-B951-08BC286FB22C}"/>
    <cellStyle name="Normal 2 3 2 3" xfId="561" xr:uid="{FD703677-1545-4075-930F-FA97C4682AE6}"/>
    <cellStyle name="Normal 2 3 2 4" xfId="651" xr:uid="{46C87C02-33A7-45F3-BE7A-CA0015B221BA}"/>
    <cellStyle name="Normal 2 3 3" xfId="471" xr:uid="{5292A07F-96CF-4FEE-B0B8-C35A8BF40F91}"/>
    <cellStyle name="Normal 2 3 3 2" xfId="569" xr:uid="{B69928F1-C6D1-4365-91D7-A6822AD8ABD1}"/>
    <cellStyle name="Normal 2 3 3 3" xfId="659" xr:uid="{B0E3C7CB-8EC3-47E5-8B04-A48533E8F8AF}"/>
    <cellStyle name="Normal 2 3 4" xfId="534" xr:uid="{72B4AE5F-7D9C-415F-9CC5-89FDD5D10498}"/>
    <cellStyle name="Normal 2 3 5" xfId="624" xr:uid="{BE3BE58A-244D-4CF4-9F6B-3453EF232E09}"/>
    <cellStyle name="Normal 3" xfId="370" xr:uid="{711334FB-F38F-4FA2-8DD7-7F0B4DDD6C03}"/>
    <cellStyle name="Normal 3 2" xfId="451" xr:uid="{1F3B5CAA-90C5-47C0-8596-222409B179C0}"/>
    <cellStyle name="Normal 3 3" xfId="521" xr:uid="{F0D47247-DA9B-4E7F-BCF0-F807F65CCE40}"/>
    <cellStyle name="Normal 3_A.1.4" xfId="501" xr:uid="{9EC52EE6-4B45-48B3-A923-352E14E9247B}"/>
    <cellStyle name="Normal 4" xfId="414" xr:uid="{B0E8270F-BF8A-449D-B643-C10C45BE4EA8}"/>
    <cellStyle name="Normal 5" xfId="283" xr:uid="{29AB8307-17C9-4D65-A22F-8FA6B73B355E}"/>
    <cellStyle name="Normal 5 10" xfId="611" xr:uid="{00AFC455-C557-41AB-827E-F4827BBE5701}"/>
    <cellStyle name="Normal 5 11" xfId="618" xr:uid="{D1FCDF1C-3E31-4932-8471-62C5D50D371C}"/>
    <cellStyle name="Normal 5 2" xfId="415" xr:uid="{54F4C014-4F7B-4723-9393-34E9D9B1EB75}"/>
    <cellStyle name="Normal 5 2 2" xfId="416" xr:uid="{DEF28B55-52EE-4BFE-9105-A783EC4608D9}"/>
    <cellStyle name="Normal 5 2 2 2" xfId="417" xr:uid="{FA16A074-620F-4730-8802-FB8AFDBA6E43}"/>
    <cellStyle name="Normal 5 3" xfId="418" xr:uid="{19C14563-DD76-43E6-8566-A465023AA645}"/>
    <cellStyle name="Normal 5 4" xfId="434" xr:uid="{DD89A7A4-0BB2-4184-818B-4285CCECB120}"/>
    <cellStyle name="Normal 5 4 2" xfId="477" xr:uid="{3CEFBE2E-25E9-417A-B71A-A28F276F9207}"/>
    <cellStyle name="Normal 5 4 2 2" xfId="575" xr:uid="{806D3250-FE03-47E4-B895-28E536DCC754}"/>
    <cellStyle name="Normal 5 4 2 3" xfId="665" xr:uid="{B338C727-E645-487E-BA0D-6812B38BB245}"/>
    <cellStyle name="Normal 5 4 3" xfId="540" xr:uid="{D3D430F0-7050-4643-9AE8-68D588A8ED42}"/>
    <cellStyle name="Normal 5 4 4" xfId="630" xr:uid="{7FC9B8A7-3BAB-4567-B9A8-CD2302DA1909}"/>
    <cellStyle name="Normal 5 5" xfId="444" xr:uid="{0B9BB9C9-FEDF-4FD9-9301-6D25E6A97290}"/>
    <cellStyle name="Normal 5 5 2" xfId="485" xr:uid="{D2DDB5DB-BCDB-46F5-B827-76F58A1097F1}"/>
    <cellStyle name="Normal 5 5 2 2" xfId="583" xr:uid="{FF81CBA4-6DA4-4C5E-8BE3-3F971259B43E}"/>
    <cellStyle name="Normal 5 5 2 3" xfId="673" xr:uid="{6DB22586-4FF3-41EE-95CA-F64C27EB945A}"/>
    <cellStyle name="Normal 5 5 3" xfId="548" xr:uid="{F9AEE8D6-5313-4B7A-8EBF-6A381660EA6B}"/>
    <cellStyle name="Normal 5 5 4" xfId="638" xr:uid="{BB168423-E165-44E0-93D1-5E05918ABAFB}"/>
    <cellStyle name="Normal 5 6" xfId="457" xr:uid="{DBD8CD8F-79EF-457D-9FCB-37067CBA0D25}"/>
    <cellStyle name="Normal 5 6 2" xfId="493" xr:uid="{5EA0DEB2-0F05-4B79-A346-A0212D3998CD}"/>
    <cellStyle name="Normal 5 6 2 2" xfId="591" xr:uid="{CAFEAF53-93F2-4C38-B389-17092690B07A}"/>
    <cellStyle name="Normal 5 6 2 3" xfId="681" xr:uid="{93DDA850-4202-4F96-8E1E-45A49AB47981}"/>
    <cellStyle name="Normal 5 6 3" xfId="556" xr:uid="{CD008319-1FDD-4BA2-9F51-B0C2B8EF7525}"/>
    <cellStyle name="Normal 5 6 4" xfId="646" xr:uid="{A81E14E5-B51D-4256-A12F-A0527C6424B6}"/>
    <cellStyle name="Normal 5 7" xfId="465" xr:uid="{A5624160-DE4C-41DD-AEF0-083FC51738CA}"/>
    <cellStyle name="Normal 5 7 2" xfId="563" xr:uid="{97526FCC-F895-4E4F-91B1-E0040FA98F74}"/>
    <cellStyle name="Normal 5 7 3" xfId="653" xr:uid="{36087484-09A5-4680-A2E2-042B9029385F}"/>
    <cellStyle name="Normal 5 8" xfId="528" xr:uid="{E8302E42-26EB-4516-9C74-D1254E88F057}"/>
    <cellStyle name="Normal 5 9" xfId="605" xr:uid="{5D2B2C7E-3DE7-4D25-B47F-8EEBE989DBB4}"/>
    <cellStyle name="Normal 5_CUADRO 8 - Bonos y Prestamos Garantizados en Pesos 2do. Trim-15 (A 1.8) Mari en construcción" xfId="419" xr:uid="{D8474B90-DC34-46A5-82B0-713789F370FA}"/>
    <cellStyle name="Normal 6" xfId="420" xr:uid="{4CB7D413-54AB-4A04-AB76-48F11010ECF5}"/>
    <cellStyle name="Normal 7" xfId="284" xr:uid="{84B001F2-AE9E-430D-8FAC-DFBE77E875CA}"/>
    <cellStyle name="Normal 7 2" xfId="435" xr:uid="{ACF0D901-532F-4F69-AB8B-C35119FEFD0C}"/>
    <cellStyle name="Normal 7 2 2" xfId="478" xr:uid="{5CCEFB02-35AA-4383-9FD8-BC4DDC28B86C}"/>
    <cellStyle name="Normal 7 2 2 2" xfId="576" xr:uid="{7B008155-C403-4543-B680-27718A723F1C}"/>
    <cellStyle name="Normal 7 2 2 3" xfId="666" xr:uid="{3180029E-AA36-477B-B605-C81EE1641903}"/>
    <cellStyle name="Normal 7 2 3" xfId="541" xr:uid="{2E6DF965-8698-4AA2-A8A2-B85D0863B3ED}"/>
    <cellStyle name="Normal 7 2 4" xfId="631" xr:uid="{322DA137-4DB9-4873-9F0E-F1DD72816C62}"/>
    <cellStyle name="Normal 7 3" xfId="445" xr:uid="{A2F51719-65A8-4876-9D57-4DF7AECBA678}"/>
    <cellStyle name="Normal 7 3 2" xfId="486" xr:uid="{A42552B9-FAAD-41FB-A631-5FE4E1414CD0}"/>
    <cellStyle name="Normal 7 3 2 2" xfId="584" xr:uid="{B9623C39-9B1E-41AF-9929-C576CD63F22D}"/>
    <cellStyle name="Normal 7 3 2 3" xfId="674" xr:uid="{CF4A2E40-0EE2-4A03-A014-0040514ABBDA}"/>
    <cellStyle name="Normal 7 3 3" xfId="549" xr:uid="{76934E94-EA23-4B2E-B5F3-BB0EA0AC5B85}"/>
    <cellStyle name="Normal 7 3 4" xfId="639" xr:uid="{EAFCD9DD-26A5-441C-8B8D-65234F91A98E}"/>
    <cellStyle name="Normal 7 4" xfId="458" xr:uid="{EE468B9F-B905-4310-ABC9-4502DBA70028}"/>
    <cellStyle name="Normal 7 4 2" xfId="494" xr:uid="{A41F21ED-C773-40DF-AA62-4D8DE05F68A0}"/>
    <cellStyle name="Normal 7 4 2 2" xfId="592" xr:uid="{4CCAA95B-0AE7-427C-B056-FC2149CC8DF4}"/>
    <cellStyle name="Normal 7 4 2 3" xfId="682" xr:uid="{D9B54B39-4F44-436B-91E5-B89CB98B88DE}"/>
    <cellStyle name="Normal 7 4 3" xfId="557" xr:uid="{97035F53-D1D7-4212-AC7C-F2626521E366}"/>
    <cellStyle name="Normal 7 4 4" xfId="647" xr:uid="{937C5044-E55A-45F7-A9CE-9F70F75BF548}"/>
    <cellStyle name="Normal 7 5" xfId="466" xr:uid="{2C09D0E6-B40D-4BC7-8837-2079CA530E1C}"/>
    <cellStyle name="Normal 7 5 2" xfId="564" xr:uid="{3B8B95AA-ED62-41FB-A365-E66D837EB59E}"/>
    <cellStyle name="Normal 7 5 3" xfId="654" xr:uid="{8D452B47-03CD-408C-BA17-7F22310A3A45}"/>
    <cellStyle name="Normal 7 6" xfId="529" xr:uid="{83D9E8E3-8073-4723-8172-F8EDE6FFA6F8}"/>
    <cellStyle name="Normal 7 7" xfId="606" xr:uid="{E726A96B-7114-4E89-A9AB-2C3BE66AB468}"/>
    <cellStyle name="Normal 7 8" xfId="612" xr:uid="{E81DAFAE-3D1A-4BEC-8ACA-E461F1F74B4D}"/>
    <cellStyle name="Normal 7 9" xfId="619" xr:uid="{7ADB93E9-4B31-4A64-A975-37EBB5E4FD15}"/>
    <cellStyle name="Normal 8" xfId="421" xr:uid="{00F54EDB-76B5-49FB-AD34-A061E4AEC0AA}"/>
    <cellStyle name="Normal 8 2" xfId="422" xr:uid="{18169F78-4A1B-47D1-B221-5E5DF9BDECF2}"/>
    <cellStyle name="Normal 9" xfId="423" xr:uid="{D2765A08-E13A-4200-8F50-FBF27DEF55ED}"/>
    <cellStyle name="Normal 9 2" xfId="464" xr:uid="{D36EC90E-1514-4EBF-A5C4-AAF53847BAA5}"/>
    <cellStyle name="Normal 9 2 2" xfId="499" xr:uid="{1E10AC3E-69EF-4CD7-9EC8-8AA6605F3834}"/>
    <cellStyle name="Normal 9 2 2 2" xfId="597" xr:uid="{4BC598F6-936E-430B-88BD-8D5B0AB0316E}"/>
    <cellStyle name="Normal 9 2 2 3" xfId="687" xr:uid="{902C3978-BBDD-442E-BAF0-A02521B7C1EC}"/>
    <cellStyle name="Normal 9 2 3" xfId="562" xr:uid="{9A6C2CB6-90E0-4C60-8F91-98F33FC3B950}"/>
    <cellStyle name="Normal 9 2 4" xfId="652" xr:uid="{BB1BA461-E8C8-4536-9682-C8C295EE3EE1}"/>
    <cellStyle name="Normal 9 3" xfId="472" xr:uid="{F49AACC4-782B-456F-9054-B58B9DFAE3B1}"/>
    <cellStyle name="Normal 9 3 2" xfId="570" xr:uid="{D7F29C1E-B7D9-47ED-B06D-BC2D434EFD03}"/>
    <cellStyle name="Normal 9 3 3" xfId="660" xr:uid="{7EFF4E74-F2AC-4216-A3EF-E9ACABE36DF5}"/>
    <cellStyle name="Normal 9 4" xfId="535" xr:uid="{84567A62-8B5B-49B5-BC74-5236C51B8C5B}"/>
    <cellStyle name="Normal 9 5" xfId="625" xr:uid="{36E235D4-DAA8-4B9C-A4BC-EA54CE36F0C6}"/>
    <cellStyle name="Notas 2" xfId="171" xr:uid="{8BB494B6-ED2B-4868-A05B-54F8822D4252}"/>
    <cellStyle name="Notas 2 2" xfId="286" xr:uid="{F68A4453-3567-4FCD-AA5B-8A778A3ADDDC}"/>
    <cellStyle name="Notas 3" xfId="285" xr:uid="{F9C40E93-7050-47AF-A11E-4EB1CB159BF9}"/>
    <cellStyle name="Notas 3 2" xfId="287" xr:uid="{FE2D8D23-6E17-4EE4-BC68-69FF1BC8BF7F}"/>
    <cellStyle name="Notas 4" xfId="91" xr:uid="{CD2717B1-7D2A-4C1C-B14B-F22319613343}"/>
    <cellStyle name="Note" xfId="92" xr:uid="{29B861A0-8F13-4E93-B846-AE4BBE798032}"/>
    <cellStyle name="Nulos" xfId="93" xr:uid="{7D6910B9-C58A-438D-8CA8-E3EC868B8DE4}"/>
    <cellStyle name="Nulos 2" xfId="288" xr:uid="{8BCC3555-CB26-4D64-84B9-5215FB504F62}"/>
    <cellStyle name="Nulos 2 2" xfId="289" xr:uid="{E534EEBA-062F-45C3-9193-4203EB04934B}"/>
    <cellStyle name="Nulos 3" xfId="290" xr:uid="{87B66FC4-95AE-4842-87AB-085DAB572C77}"/>
    <cellStyle name="Nulos 4" xfId="291" xr:uid="{E9A40EE2-8F81-4CDD-B6BE-7F827DC5263B}"/>
    <cellStyle name="Oficio" xfId="94" xr:uid="{80ABE36B-BAC7-41BB-8761-3EEA250E90DE}"/>
    <cellStyle name="Output" xfId="95" xr:uid="{5A5F2EEB-F997-49FD-95A2-53CB55D94EA9}"/>
    <cellStyle name="Output 2" xfId="172" xr:uid="{458F1821-C556-4743-B0B8-DAE38F5CEB4D}"/>
    <cellStyle name="Output 3" xfId="335" xr:uid="{AD0FE177-E9EE-4162-BB68-3489AA7AA2FA}"/>
    <cellStyle name="Output 4" xfId="348" xr:uid="{BB2A96CB-2B95-4A29-9A55-3B1030730873}"/>
    <cellStyle name="Output 5" xfId="161" xr:uid="{F22A5528-3407-4B5F-8D81-6206C24611BB}"/>
    <cellStyle name="Porcentaje 2" xfId="371" xr:uid="{1BBC80E6-E4F4-410F-91F0-B352A9FB19A9}"/>
    <cellStyle name="Porcentaje 2 2" xfId="424" xr:uid="{88DA07A5-25B6-401A-8AFC-9828C07C7792}"/>
    <cellStyle name="Porcentaje 2 2 2" xfId="425" xr:uid="{7C93839A-22FF-423E-AB41-7CFFAA7BCA83}"/>
    <cellStyle name="Porcentaje 2 2 2 2" xfId="426" xr:uid="{39952909-60B3-4CB2-9CAA-D2A81985407F}"/>
    <cellStyle name="Porcentaje 2 3" xfId="427" xr:uid="{A217DAC7-7893-4ADA-B281-A8629A412316}"/>
    <cellStyle name="Porcentaje 3" xfId="436" xr:uid="{5DD4F1C0-BA75-4F54-A045-BBFCE1D2384E}"/>
    <cellStyle name="Porcentaje 3 2" xfId="479" xr:uid="{BD01DB38-1252-4C00-B959-348D959F3DA3}"/>
    <cellStyle name="Porcentaje 3 2 2" xfId="577" xr:uid="{422B5AAD-7CBB-4867-AB7F-E294D49877A5}"/>
    <cellStyle name="Porcentaje 3 2 3" xfId="667" xr:uid="{A0475556-E933-4532-8822-45A0DF10241B}"/>
    <cellStyle name="Porcentaje 3 3" xfId="542" xr:uid="{979745E9-D80B-4ECA-AE1E-EFCFE150C817}"/>
    <cellStyle name="Porcentaje 3 4" xfId="632" xr:uid="{4EDEF8AC-7F3D-434B-8463-955E8211EC4D}"/>
    <cellStyle name="Porcentaje 4" xfId="448" xr:uid="{59F991EC-456C-4302-A632-6E2A0B04ADB3}"/>
    <cellStyle name="Porcentaje 4 2" xfId="489" xr:uid="{791A5D60-3330-4A87-A0C0-718CA27620E3}"/>
    <cellStyle name="Porcentaje 4 2 2" xfId="587" xr:uid="{54031DF9-0A6A-4AEF-A4AF-3C7C570A0E6C}"/>
    <cellStyle name="Porcentaje 4 2 3" xfId="677" xr:uid="{B67E910E-4AF9-49A0-92D6-536514D523CC}"/>
    <cellStyle name="Porcentaje 4 3" xfId="552" xr:uid="{253375C8-1138-4F4B-84E6-3F7B43C657F9}"/>
    <cellStyle name="Porcentaje 4 4" xfId="642" xr:uid="{F86F3715-46B7-4F1D-9589-7ED1945B0A95}"/>
    <cellStyle name="Porcentual" xfId="96" xr:uid="{BD780ADB-7E6D-4ECD-A9FF-420F553608B0}"/>
    <cellStyle name="Porcentual 2" xfId="510" xr:uid="{37CB6C72-73B5-4DF2-AC97-2AA8ECF7A8A2}"/>
    <cellStyle name="Salida 2" xfId="173" xr:uid="{EF15A6C5-1966-4ED9-8C9D-251F26DE0B7B}"/>
    <cellStyle name="Salida 2 2" xfId="293" xr:uid="{BAF14E9C-AEF7-4C5A-A20E-8C862065D730}"/>
    <cellStyle name="Salida 3" xfId="292" xr:uid="{526E5008-BA2B-4B75-9939-7AE3187D62AD}"/>
    <cellStyle name="Salida 3 2" xfId="294" xr:uid="{EB634CDB-3879-4C98-9CBE-6B9879851C1B}"/>
    <cellStyle name="Salida 4" xfId="97" xr:uid="{59E3DE18-8460-4B47-9121-D68F59D621F4}"/>
    <cellStyle name="Texto de advertencia 2" xfId="174" xr:uid="{081FCF40-0A62-49F8-8F27-02426E31BC7B}"/>
    <cellStyle name="Texto de advertencia 2 2" xfId="296" xr:uid="{81A61DAF-3E4E-4A71-93F0-33595D5B0B5F}"/>
    <cellStyle name="Texto de advertencia 3" xfId="295" xr:uid="{1AB7E294-00C9-4749-974D-8F18CA26E435}"/>
    <cellStyle name="Texto de advertencia 3 2" xfId="297" xr:uid="{377D39A4-DE37-4051-A5D0-E2E6BC61CD0E}"/>
    <cellStyle name="Texto de advertencia 4" xfId="98" xr:uid="{9DE610DB-4EB5-4991-A46B-5765527A3405}"/>
    <cellStyle name="Texto explicativo 2" xfId="175" xr:uid="{F518A16B-71E2-426B-9BDC-E415C8C0F1E9}"/>
    <cellStyle name="Texto explicativo 2 2" xfId="299" xr:uid="{53D28BDB-7D80-4CE4-8B4A-0CC8B10E6AAF}"/>
    <cellStyle name="Texto explicativo 3" xfId="298" xr:uid="{BBFFD94B-EE92-4DF4-88A7-FFC6B52D413C}"/>
    <cellStyle name="Texto explicativo 3 2" xfId="300" xr:uid="{50398247-876E-4801-BB62-0894FD3E06D3}"/>
    <cellStyle name="Texto explicativo 4" xfId="99" xr:uid="{1B1BEFEC-F72A-4762-A11F-9A64C90CF024}"/>
    <cellStyle name="Title" xfId="100" xr:uid="{6774712F-5B57-4A16-BFC3-F21A8EA3C3FD}"/>
    <cellStyle name="Título 1 2" xfId="177" xr:uid="{3B7C203A-6C7F-4112-BFFC-75EF37A0D23D}"/>
    <cellStyle name="Título 1 2 2" xfId="303" xr:uid="{339F22BF-D654-4532-8C28-FA2437AF3069}"/>
    <cellStyle name="Título 1 3" xfId="302" xr:uid="{9A61CB7B-680B-4167-94B3-F7380F2C9143}"/>
    <cellStyle name="Título 1 3 2" xfId="304" xr:uid="{EB42A303-20EC-44F2-92B7-3A059580738C}"/>
    <cellStyle name="Título 1 4" xfId="522" xr:uid="{CF9FD33E-AA0C-425E-B969-317E05E14807}"/>
    <cellStyle name="Título 2 2" xfId="178" xr:uid="{4D438565-B2C2-4C58-A11E-A3333069B50A}"/>
    <cellStyle name="Título 2 2 2" xfId="306" xr:uid="{3CDC8D11-FA16-47F6-844E-268CD536C65F}"/>
    <cellStyle name="Título 2 3" xfId="305" xr:uid="{63FCF76A-13DE-4C6E-BA94-A3CABD592FC2}"/>
    <cellStyle name="Título 2 3 2" xfId="307" xr:uid="{BC2A39CF-602E-4B34-A5BB-F479E9B0C45F}"/>
    <cellStyle name="Título 2 4" xfId="103" xr:uid="{872E52AA-C26A-4F18-8C45-AC37D9F6DF71}"/>
    <cellStyle name="Título 3 2" xfId="179" xr:uid="{EF3091BA-FACC-4C1D-89FE-F6614C70F08D}"/>
    <cellStyle name="Título 3 2 2" xfId="309" xr:uid="{B1AFF9CC-8F19-4614-8699-CC0F9E695289}"/>
    <cellStyle name="Título 3 3" xfId="308" xr:uid="{E2F934DF-95F5-4A13-AFFE-28DE8D57918D}"/>
    <cellStyle name="Título 3 3 2" xfId="310" xr:uid="{E5E69425-00BC-4C79-B49B-04533E09AC77}"/>
    <cellStyle name="Título 3 4" xfId="104" xr:uid="{24723915-AD8D-4DE3-AC40-7635CA2B5B1D}"/>
    <cellStyle name="Título 4" xfId="176" xr:uid="{20E4FB2C-1DE4-4627-8547-3B5A79529FB4}"/>
    <cellStyle name="Título 4 2" xfId="311" xr:uid="{7656C115-D669-485A-89FD-6E54C40ED106}"/>
    <cellStyle name="Título 5" xfId="301" xr:uid="{AD4E2844-27F0-4B64-9592-CE58F9B7E911}"/>
    <cellStyle name="Título 5 2" xfId="312" xr:uid="{3CDFC529-0E76-4505-BD1B-93AADBFDC497}"/>
    <cellStyle name="Título 6" xfId="101" xr:uid="{13B1F3B7-E326-4055-91F2-5DD2D3D3D727}"/>
    <cellStyle name="Total 2" xfId="180" xr:uid="{AE91BDAB-32E5-446D-BDE5-A77C327821F6}"/>
    <cellStyle name="Total 2 2" xfId="314" xr:uid="{26871799-62DE-4E9D-8FE2-62AE28A2B36F}"/>
    <cellStyle name="Total 3" xfId="313" xr:uid="{C5C36EDB-7D2F-4732-897F-575C8D99820D}"/>
    <cellStyle name="Total 3 2" xfId="315" xr:uid="{608F6F5B-D5ED-40A1-A044-44344C3CAF5A}"/>
    <cellStyle name="Total 4" xfId="105" xr:uid="{91DB72FF-395F-4C69-9848-0ED10692449E}"/>
    <cellStyle name="vaca" xfId="106" xr:uid="{F3B91868-DBDF-455D-A527-E961D8EBB8FE}"/>
    <cellStyle name="Warning Text" xfId="107" xr:uid="{0FCBFE72-02FA-44B1-B086-030604F7A327}"/>
    <cellStyle name="Warning Text 2" xfId="181" xr:uid="{BF97FC55-8E4F-40F8-AE9C-6438FA303AA0}"/>
    <cellStyle name="Warning Text 3" xfId="338" xr:uid="{71A73B16-3B84-4C9F-BA05-9CF0917F4ECF}"/>
    <cellStyle name="Warning Text 4" xfId="345" xr:uid="{A6DEA6AD-9F08-4FEE-B772-5FFB0CDDF009}"/>
    <cellStyle name="Warning Text 5" xfId="344" xr:uid="{32D924F7-5099-455B-93AD-E7D596D51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lbcrhis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s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.C.R.A."/>
      <sheetName val="Observaciones"/>
    </sheetNames>
    <sheetDataSet>
      <sheetData sheetId="0">
        <row r="1146">
          <cell r="L1146">
            <v>-41152534525</v>
          </cell>
          <cell r="AD1146">
            <v>761825004.98491001</v>
          </cell>
          <cell r="AH1146">
            <v>24998687967</v>
          </cell>
          <cell r="AQ1146">
            <v>1447.6657</v>
          </cell>
        </row>
        <row r="1147">
          <cell r="L1147">
            <v>-39961109838</v>
          </cell>
          <cell r="AD1147">
            <v>750684127.72127998</v>
          </cell>
          <cell r="AH1147">
            <v>23925899640</v>
          </cell>
          <cell r="AQ1147">
            <v>1408.9662000000001</v>
          </cell>
        </row>
        <row r="1149">
          <cell r="L1149" t="str">
            <v/>
          </cell>
          <cell r="AD1149" t="str">
            <v/>
          </cell>
          <cell r="AH1149" t="str">
            <v/>
          </cell>
          <cell r="AQ1149">
            <v>0</v>
          </cell>
        </row>
        <row r="1150">
          <cell r="L1150" t="str">
            <v/>
          </cell>
          <cell r="AD1150" t="str">
            <v/>
          </cell>
          <cell r="AH1150" t="str">
            <v/>
          </cell>
          <cell r="AQ1150">
            <v>0</v>
          </cell>
        </row>
        <row r="1151">
          <cell r="L1151" t="str">
            <v/>
          </cell>
          <cell r="AD1151" t="str">
            <v/>
          </cell>
          <cell r="AH1151" t="str">
            <v/>
          </cell>
          <cell r="AQ1151">
            <v>0</v>
          </cell>
        </row>
        <row r="1152">
          <cell r="L1152" t="str">
            <v/>
          </cell>
          <cell r="AD1152" t="str">
            <v/>
          </cell>
          <cell r="AH1152" t="str">
            <v/>
          </cell>
          <cell r="AQ1152">
            <v>0</v>
          </cell>
        </row>
        <row r="1153">
          <cell r="L1153" t="str">
            <v/>
          </cell>
          <cell r="AD1153" t="str">
            <v/>
          </cell>
          <cell r="AH1153" t="str">
            <v/>
          </cell>
          <cell r="AQ1153">
            <v>0</v>
          </cell>
        </row>
        <row r="1154">
          <cell r="L1154" t="str">
            <v/>
          </cell>
          <cell r="AD1154" t="str">
            <v/>
          </cell>
          <cell r="AH1154" t="str">
            <v/>
          </cell>
          <cell r="AQ1154">
            <v>0</v>
          </cell>
        </row>
        <row r="1155">
          <cell r="L1155" t="str">
            <v/>
          </cell>
          <cell r="AD1155" t="str">
            <v/>
          </cell>
          <cell r="AH1155" t="str">
            <v/>
          </cell>
          <cell r="AQ1155">
            <v>0</v>
          </cell>
        </row>
        <row r="1156">
          <cell r="L1156" t="str">
            <v/>
          </cell>
          <cell r="AD1156" t="str">
            <v/>
          </cell>
          <cell r="AH1156" t="str">
            <v/>
          </cell>
          <cell r="AQ1156">
            <v>0</v>
          </cell>
        </row>
        <row r="1157">
          <cell r="L1157" t="str">
            <v/>
          </cell>
          <cell r="AD1157" t="str">
            <v/>
          </cell>
          <cell r="AH1157" t="str">
            <v/>
          </cell>
          <cell r="AQ1157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ie_diaria"/>
      <sheetName val="Observaciones"/>
    </sheetNames>
    <sheetDataSet>
      <sheetData sheetId="0">
        <row r="87">
          <cell r="O87">
            <v>23019231</v>
          </cell>
          <cell r="AG87">
            <v>615900.29197823</v>
          </cell>
          <cell r="AI87">
            <v>1391.6886999999999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2723-8919-495A-B1B4-D8E3685529BC}">
  <dimension ref="A1:B82"/>
  <sheetViews>
    <sheetView tabSelected="1" topLeftCell="A67" workbookViewId="0">
      <selection activeCell="B82" sqref="B82"/>
    </sheetView>
  </sheetViews>
  <sheetFormatPr baseColWidth="10" defaultRowHeight="15"/>
  <cols>
    <col min="2" max="2" width="13" style="2" bestFit="1" customWidth="1"/>
    <col min="3" max="3" width="15.28515625" bestFit="1" customWidth="1"/>
    <col min="4" max="4" width="31.7109375" bestFit="1" customWidth="1"/>
    <col min="5" max="5" width="15.28515625" bestFit="1" customWidth="1"/>
    <col min="6" max="6" width="13.5703125" bestFit="1" customWidth="1"/>
    <col min="7" max="7" width="11.5703125" customWidth="1"/>
  </cols>
  <sheetData>
    <row r="1" spans="1:2">
      <c r="A1" t="s">
        <v>0</v>
      </c>
      <c r="B1" s="2" t="s">
        <v>1</v>
      </c>
    </row>
    <row r="2" spans="1:2">
      <c r="A2" s="1">
        <v>43831</v>
      </c>
      <c r="B2" s="4">
        <v>150366.36496000001</v>
      </c>
    </row>
    <row r="3" spans="1:2">
      <c r="A3" s="1">
        <v>43862</v>
      </c>
      <c r="B3" s="2">
        <v>559541.10299000004</v>
      </c>
    </row>
    <row r="4" spans="1:2">
      <c r="A4" s="1">
        <v>43891</v>
      </c>
      <c r="B4" s="2">
        <v>382375.57380000001</v>
      </c>
    </row>
    <row r="5" spans="1:2">
      <c r="A5" s="1">
        <v>43922</v>
      </c>
      <c r="B5" s="2">
        <v>164138.24229000005</v>
      </c>
    </row>
    <row r="6" spans="1:2">
      <c r="A6" s="1">
        <v>43952</v>
      </c>
      <c r="B6" s="2">
        <v>627987.90380999993</v>
      </c>
    </row>
    <row r="7" spans="1:2">
      <c r="A7" s="1">
        <v>43983</v>
      </c>
      <c r="B7" s="2">
        <v>222718.34548999992</v>
      </c>
    </row>
    <row r="8" spans="1:2">
      <c r="A8" s="1">
        <v>44013</v>
      </c>
      <c r="B8" s="2">
        <v>146707.22134000002</v>
      </c>
    </row>
    <row r="9" spans="1:2">
      <c r="A9" s="1">
        <v>44044</v>
      </c>
      <c r="B9" s="2">
        <v>575745.89030999993</v>
      </c>
    </row>
    <row r="10" spans="1:2">
      <c r="A10" s="1">
        <v>44075</v>
      </c>
      <c r="B10" s="2">
        <v>351966.65969999996</v>
      </c>
    </row>
    <row r="11" spans="1:2">
      <c r="A11" s="1">
        <v>44105</v>
      </c>
      <c r="B11" s="2">
        <v>159560.06303000002</v>
      </c>
    </row>
    <row r="12" spans="1:2">
      <c r="A12" s="1">
        <v>44136</v>
      </c>
      <c r="B12" s="2">
        <v>635040.78720999986</v>
      </c>
    </row>
    <row r="13" spans="1:2">
      <c r="A13" s="1">
        <v>44166</v>
      </c>
      <c r="B13" s="2">
        <v>216318.80684999996</v>
      </c>
    </row>
    <row r="14" spans="1:2">
      <c r="A14" s="1">
        <v>44197</v>
      </c>
      <c r="B14" s="2">
        <v>144374.71946000002</v>
      </c>
    </row>
    <row r="15" spans="1:2">
      <c r="A15" s="1">
        <v>44228</v>
      </c>
      <c r="B15" s="2">
        <v>481510.43783000007</v>
      </c>
    </row>
    <row r="16" spans="1:2">
      <c r="A16" s="1">
        <v>44256</v>
      </c>
      <c r="B16" s="2">
        <v>348290.11707999994</v>
      </c>
    </row>
    <row r="17" spans="1:2">
      <c r="A17" s="1">
        <v>44287</v>
      </c>
      <c r="B17" s="2">
        <v>145646.05575</v>
      </c>
    </row>
    <row r="18" spans="1:2">
      <c r="A18" s="1">
        <v>44317</v>
      </c>
      <c r="B18" s="2">
        <v>511608.33070999995</v>
      </c>
    </row>
    <row r="19" spans="1:2">
      <c r="A19" s="1">
        <v>44348</v>
      </c>
      <c r="B19" s="2">
        <v>185510.92555999992</v>
      </c>
    </row>
    <row r="20" spans="1:2">
      <c r="A20" s="1">
        <v>44378</v>
      </c>
      <c r="B20" s="2">
        <v>160973.04450000002</v>
      </c>
    </row>
    <row r="21" spans="1:2">
      <c r="A21" s="1">
        <v>44409</v>
      </c>
      <c r="B21" s="2">
        <v>508150.40736999997</v>
      </c>
    </row>
    <row r="22" spans="1:2">
      <c r="A22" s="1">
        <v>44440</v>
      </c>
      <c r="B22" s="2">
        <v>2255248.8545200005</v>
      </c>
    </row>
    <row r="23" spans="1:2">
      <c r="A23" s="1">
        <v>44470</v>
      </c>
      <c r="B23" s="2">
        <v>136858.67285</v>
      </c>
    </row>
    <row r="24" spans="1:2">
      <c r="A24" s="1">
        <v>44501</v>
      </c>
      <c r="B24" s="2">
        <v>607848.33993999998</v>
      </c>
    </row>
    <row r="25" spans="1:2">
      <c r="A25" s="1">
        <v>44531</v>
      </c>
      <c r="B25" s="2">
        <v>2078145.1240400001</v>
      </c>
    </row>
    <row r="26" spans="1:2">
      <c r="A26" s="1">
        <v>44562</v>
      </c>
      <c r="B26" s="2">
        <v>855069.85637563327</v>
      </c>
    </row>
    <row r="27" spans="1:2">
      <c r="A27" s="1">
        <v>44593</v>
      </c>
      <c r="B27" s="2">
        <v>530620.06697596028</v>
      </c>
    </row>
    <row r="28" spans="1:2">
      <c r="A28" s="1">
        <v>44621</v>
      </c>
      <c r="B28" s="2">
        <v>3146810.9769258182</v>
      </c>
    </row>
    <row r="29" spans="1:2">
      <c r="A29" s="1">
        <v>44652</v>
      </c>
      <c r="B29" s="2">
        <v>859876.55345174251</v>
      </c>
    </row>
    <row r="30" spans="1:2">
      <c r="A30" s="1">
        <v>44682</v>
      </c>
      <c r="B30" s="2">
        <v>524691.66232171876</v>
      </c>
    </row>
    <row r="31" spans="1:2">
      <c r="A31" s="1">
        <v>44713</v>
      </c>
      <c r="B31" s="2">
        <v>3008574.8563510538</v>
      </c>
    </row>
    <row r="32" spans="1:2">
      <c r="A32" s="1">
        <v>44743</v>
      </c>
      <c r="B32" s="2">
        <v>2206737.670650789</v>
      </c>
    </row>
    <row r="33" spans="1:2">
      <c r="A33" s="1">
        <v>44774</v>
      </c>
      <c r="B33" s="2">
        <v>459733.70973005582</v>
      </c>
    </row>
    <row r="34" spans="1:2">
      <c r="A34" s="1">
        <v>44805</v>
      </c>
      <c r="B34" s="2">
        <v>3147279.7922058185</v>
      </c>
    </row>
    <row r="35" spans="1:2">
      <c r="A35" s="1">
        <v>44835</v>
      </c>
      <c r="B35" s="2">
        <v>2916078.4031682857</v>
      </c>
    </row>
    <row r="36" spans="1:2">
      <c r="A36" s="1">
        <v>44866</v>
      </c>
      <c r="B36" s="2">
        <v>445882.56633223372</v>
      </c>
    </row>
    <row r="37" spans="1:2">
      <c r="A37" s="1">
        <v>44896</v>
      </c>
      <c r="B37" s="2">
        <v>2986593.4158957787</v>
      </c>
    </row>
    <row r="38" spans="1:2">
      <c r="A38" s="1">
        <v>44927</v>
      </c>
      <c r="B38" s="2">
        <v>2783136.6759246048</v>
      </c>
    </row>
    <row r="39" spans="1:2">
      <c r="A39" s="1">
        <v>44958</v>
      </c>
      <c r="B39" s="2">
        <v>891433.09087429754</v>
      </c>
    </row>
    <row r="40" spans="1:2">
      <c r="A40" s="1">
        <v>44986</v>
      </c>
      <c r="B40" s="2">
        <v>3188770.5354170133</v>
      </c>
    </row>
    <row r="41" spans="1:2">
      <c r="A41" s="1">
        <v>45017</v>
      </c>
      <c r="B41" s="2">
        <v>2896971.569840346</v>
      </c>
    </row>
    <row r="42" spans="1:2">
      <c r="A42" s="1">
        <v>45047</v>
      </c>
      <c r="B42" s="2">
        <v>951431.05360147636</v>
      </c>
    </row>
    <row r="43" spans="1:2">
      <c r="A43" s="1">
        <v>45078</v>
      </c>
      <c r="B43" s="2">
        <v>2920881.6022732598</v>
      </c>
    </row>
    <row r="44" spans="1:2">
      <c r="A44" s="1">
        <v>45108</v>
      </c>
      <c r="B44" s="2">
        <v>2791506.3420896041</v>
      </c>
    </row>
    <row r="45" spans="1:2">
      <c r="A45" s="1">
        <v>45139</v>
      </c>
      <c r="B45" s="2">
        <v>778215.35422776267</v>
      </c>
    </row>
    <row r="46" spans="1:2">
      <c r="A46" s="1">
        <v>45170</v>
      </c>
      <c r="B46" s="2">
        <v>1421355.8523594395</v>
      </c>
    </row>
    <row r="47" spans="1:2">
      <c r="A47" s="1">
        <v>45200</v>
      </c>
      <c r="B47" s="2">
        <v>2898844.801251791</v>
      </c>
    </row>
    <row r="48" spans="1:2">
      <c r="A48" s="1">
        <v>45231</v>
      </c>
      <c r="B48" s="2">
        <v>817526.95724329981</v>
      </c>
    </row>
    <row r="49" spans="1:2">
      <c r="A49" s="1">
        <v>45261</v>
      </c>
      <c r="B49" s="2">
        <v>1148218.8615455166</v>
      </c>
    </row>
    <row r="50" spans="1:2">
      <c r="A50" s="1">
        <v>45292</v>
      </c>
      <c r="B50" s="2">
        <v>2149200.6073232163</v>
      </c>
    </row>
    <row r="51" spans="1:2">
      <c r="A51" s="1">
        <v>45323</v>
      </c>
      <c r="B51" s="2">
        <v>1033048.3238891165</v>
      </c>
    </row>
    <row r="52" spans="1:2">
      <c r="A52" s="1">
        <v>45352</v>
      </c>
      <c r="B52" s="2">
        <v>572751.94284899998</v>
      </c>
    </row>
    <row r="53" spans="1:2">
      <c r="A53" s="1">
        <v>45383</v>
      </c>
      <c r="B53" s="2">
        <v>2242674.8647797443</v>
      </c>
    </row>
    <row r="54" spans="1:2">
      <c r="A54" s="1">
        <v>45413</v>
      </c>
      <c r="B54" s="2">
        <v>1197174.6137971708</v>
      </c>
    </row>
    <row r="55" spans="1:2">
      <c r="A55" s="1">
        <v>45444</v>
      </c>
      <c r="B55" s="2">
        <v>262606.27513545169</v>
      </c>
    </row>
    <row r="56" spans="1:2">
      <c r="A56" s="1">
        <v>45474</v>
      </c>
      <c r="B56" s="2">
        <v>826852.93822094658</v>
      </c>
    </row>
    <row r="57" spans="1:2">
      <c r="A57" s="1">
        <v>45505</v>
      </c>
      <c r="B57" s="2">
        <v>1022792.108210622</v>
      </c>
    </row>
    <row r="58" spans="1:2">
      <c r="A58" s="1">
        <v>45536</v>
      </c>
      <c r="B58" s="2">
        <v>596895.84385600011</v>
      </c>
    </row>
    <row r="59" spans="1:2">
      <c r="A59" s="1">
        <v>45566</v>
      </c>
      <c r="B59" s="2">
        <v>314060.52796960453</v>
      </c>
    </row>
    <row r="60" spans="1:2">
      <c r="A60" s="1">
        <v>45597</v>
      </c>
      <c r="B60" s="2">
        <v>1170923.5664016495</v>
      </c>
    </row>
    <row r="61" spans="1:2">
      <c r="A61" s="1">
        <v>45627</v>
      </c>
      <c r="B61" s="2">
        <v>257873.98271114199</v>
      </c>
    </row>
    <row r="62" spans="1:2">
      <c r="A62" s="1">
        <v>45658</v>
      </c>
      <c r="B62" s="2">
        <v>178530.67572</v>
      </c>
    </row>
    <row r="63" spans="1:2">
      <c r="A63" s="1">
        <v>45689</v>
      </c>
      <c r="B63" s="2">
        <v>1004336.6320171846</v>
      </c>
    </row>
    <row r="64" spans="1:2">
      <c r="A64" s="1">
        <v>45717</v>
      </c>
      <c r="B64" s="2">
        <v>587424.83931999991</v>
      </c>
    </row>
    <row r="65" spans="1:2">
      <c r="A65" s="1">
        <v>45748</v>
      </c>
      <c r="B65" s="2">
        <v>303853.69722000009</v>
      </c>
    </row>
    <row r="66" spans="1:2">
      <c r="A66" s="1">
        <v>45778</v>
      </c>
      <c r="B66" s="2">
        <v>1003972.7819980568</v>
      </c>
    </row>
    <row r="67" spans="1:2">
      <c r="A67" s="1">
        <v>45809</v>
      </c>
      <c r="B67" s="2">
        <v>261285.52240741384</v>
      </c>
    </row>
    <row r="68" spans="1:2">
      <c r="A68" s="1">
        <v>45839</v>
      </c>
      <c r="B68" s="2">
        <v>196132.64727694067</v>
      </c>
    </row>
    <row r="69" spans="1:2">
      <c r="A69" s="1">
        <v>45870</v>
      </c>
      <c r="B69" s="2">
        <v>1025734.3009509479</v>
      </c>
    </row>
    <row r="70" spans="1:2">
      <c r="A70" s="1">
        <v>45901</v>
      </c>
      <c r="B70" s="2">
        <v>689635.24267282337</v>
      </c>
    </row>
    <row r="71" spans="1:2">
      <c r="A71" s="1">
        <v>45931</v>
      </c>
      <c r="B71" s="2">
        <v>372165.59053000004</v>
      </c>
    </row>
    <row r="72" spans="1:2">
      <c r="A72" s="1">
        <v>45962</v>
      </c>
      <c r="B72" s="2">
        <v>1228045.7374903793</v>
      </c>
    </row>
    <row r="73" spans="1:2">
      <c r="A73" s="1">
        <v>45992</v>
      </c>
      <c r="B73" s="2">
        <v>254219.7061228994</v>
      </c>
    </row>
    <row r="74" spans="1:2">
      <c r="A74" s="1">
        <v>46023</v>
      </c>
      <c r="B74" s="2">
        <v>246427.05755499998</v>
      </c>
    </row>
    <row r="75" spans="1:2">
      <c r="A75" s="1">
        <v>46054</v>
      </c>
      <c r="B75" s="2">
        <v>983904.43339084182</v>
      </c>
    </row>
    <row r="76" spans="1:2">
      <c r="A76" s="1">
        <v>46082</v>
      </c>
      <c r="B76" s="2">
        <v>666552.44081699988</v>
      </c>
    </row>
    <row r="77" spans="1:2">
      <c r="A77" s="1">
        <v>46113</v>
      </c>
      <c r="B77" s="2">
        <v>378082.55555000005</v>
      </c>
    </row>
    <row r="78" spans="1:2">
      <c r="A78" s="1">
        <v>46143</v>
      </c>
      <c r="B78" s="2">
        <v>1216214.4027732052</v>
      </c>
    </row>
    <row r="79" spans="1:2">
      <c r="A79" s="1">
        <v>46174</v>
      </c>
      <c r="B79" s="2">
        <v>250923.92890878793</v>
      </c>
    </row>
    <row r="80" spans="1:2">
      <c r="A80" s="1">
        <v>46204</v>
      </c>
      <c r="B80" s="2">
        <v>244886.94664499999</v>
      </c>
    </row>
    <row r="81" spans="1:2">
      <c r="A81" s="1">
        <v>46235</v>
      </c>
      <c r="B81" s="2">
        <v>978458.03183084168</v>
      </c>
    </row>
    <row r="82" spans="1:2">
      <c r="A82" s="1">
        <v>46266</v>
      </c>
      <c r="B82" s="2">
        <v>1448390.6074067971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CFD8-1C39-424F-A292-390C10723097}">
  <dimension ref="A1:B11"/>
  <sheetViews>
    <sheetView workbookViewId="0">
      <selection activeCell="B7" sqref="B7"/>
    </sheetView>
  </sheetViews>
  <sheetFormatPr baseColWidth="10" defaultRowHeight="15"/>
  <sheetData>
    <row r="1" spans="1:2">
      <c r="A1" s="5" t="s">
        <v>0</v>
      </c>
      <c r="B1" t="s">
        <v>7</v>
      </c>
    </row>
    <row r="2" spans="1:2">
      <c r="A2" s="6">
        <v>45296</v>
      </c>
      <c r="B2">
        <v>0</v>
      </c>
    </row>
    <row r="3" spans="1:2">
      <c r="A3" s="6">
        <v>45566</v>
      </c>
      <c r="B3">
        <v>250</v>
      </c>
    </row>
    <row r="4" spans="1:2">
      <c r="A4" s="6">
        <f>+A3+180</f>
        <v>45746</v>
      </c>
      <c r="B4">
        <v>250</v>
      </c>
    </row>
    <row r="5" spans="1:2">
      <c r="A5" s="6">
        <f t="shared" ref="A5:A8" si="0">+A4+180</f>
        <v>45926</v>
      </c>
      <c r="B5">
        <v>250</v>
      </c>
    </row>
    <row r="6" spans="1:2">
      <c r="A6" s="6">
        <f t="shared" si="0"/>
        <v>46106</v>
      </c>
      <c r="B6">
        <v>250</v>
      </c>
    </row>
    <row r="7" spans="1:2">
      <c r="A7" s="6">
        <f t="shared" si="0"/>
        <v>46286</v>
      </c>
      <c r="B7">
        <v>250</v>
      </c>
    </row>
    <row r="8" spans="1:2">
      <c r="A8" s="6">
        <f t="shared" si="0"/>
        <v>46466</v>
      </c>
      <c r="B8">
        <v>250</v>
      </c>
    </row>
    <row r="9" spans="1:2">
      <c r="A9" s="6">
        <v>46478</v>
      </c>
      <c r="B9">
        <v>2750</v>
      </c>
    </row>
    <row r="10" spans="1:2">
      <c r="A10" s="6">
        <f>+A8+180</f>
        <v>46646</v>
      </c>
      <c r="B10">
        <v>125</v>
      </c>
    </row>
    <row r="11" spans="1:2">
      <c r="A11" s="6">
        <v>46661</v>
      </c>
      <c r="B11">
        <v>2625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10BA-9103-4DE8-81D0-8B7B80A597F5}">
  <dimension ref="A1:B14"/>
  <sheetViews>
    <sheetView workbookViewId="0">
      <selection activeCell="E18" sqref="E18"/>
    </sheetView>
  </sheetViews>
  <sheetFormatPr baseColWidth="10" defaultRowHeight="15"/>
  <cols>
    <col min="1" max="1" width="11.42578125" style="6"/>
  </cols>
  <sheetData>
    <row r="1" spans="1:2">
      <c r="A1" s="6" t="s">
        <v>0</v>
      </c>
      <c r="B1" t="s">
        <v>8</v>
      </c>
    </row>
    <row r="2" spans="1:2">
      <c r="A2" s="6">
        <v>45338</v>
      </c>
      <c r="B2">
        <v>0</v>
      </c>
    </row>
    <row r="3" spans="1:2">
      <c r="A3" s="6">
        <v>45503</v>
      </c>
      <c r="B3">
        <v>166.66666666666666</v>
      </c>
    </row>
    <row r="4" spans="1:2">
      <c r="A4" s="6">
        <v>45534</v>
      </c>
      <c r="B4">
        <v>166.66666666666666</v>
      </c>
    </row>
    <row r="5" spans="1:2">
      <c r="A5" s="6">
        <v>45565</v>
      </c>
      <c r="B5">
        <v>166.66666666666666</v>
      </c>
    </row>
    <row r="6" spans="1:2">
      <c r="A6" s="6">
        <v>45595</v>
      </c>
      <c r="B6">
        <v>166.66666666666666</v>
      </c>
    </row>
    <row r="7" spans="1:2">
      <c r="A7" s="6">
        <v>45626</v>
      </c>
      <c r="B7">
        <v>166.66666666666666</v>
      </c>
    </row>
    <row r="8" spans="1:2">
      <c r="A8" s="6">
        <v>45656</v>
      </c>
      <c r="B8">
        <v>166.66666666666666</v>
      </c>
    </row>
    <row r="9" spans="1:2">
      <c r="A9" s="6">
        <v>45687</v>
      </c>
      <c r="B9">
        <v>166.66666666666666</v>
      </c>
    </row>
    <row r="10" spans="1:2">
      <c r="A10" s="6">
        <v>45716</v>
      </c>
      <c r="B10">
        <v>166.66666666666666</v>
      </c>
    </row>
    <row r="11" spans="1:2">
      <c r="A11" s="6">
        <v>45746</v>
      </c>
      <c r="B11">
        <v>166.66666666666666</v>
      </c>
    </row>
    <row r="12" spans="1:2">
      <c r="A12" s="6">
        <v>45777</v>
      </c>
      <c r="B12">
        <v>166.66666666666666</v>
      </c>
    </row>
    <row r="13" spans="1:2">
      <c r="A13" s="6">
        <v>45807</v>
      </c>
      <c r="B13">
        <v>166.66666666666666</v>
      </c>
    </row>
    <row r="14" spans="1:2">
      <c r="A14" s="6">
        <v>45838</v>
      </c>
      <c r="B14">
        <v>166.66666666666666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4684-C238-4F28-813B-72F0E2928739}">
  <dimension ref="A1:B10"/>
  <sheetViews>
    <sheetView workbookViewId="0">
      <selection activeCell="F5" sqref="F5"/>
    </sheetView>
  </sheetViews>
  <sheetFormatPr baseColWidth="10" defaultRowHeight="15"/>
  <cols>
    <col min="1" max="1" width="11.42578125" style="6"/>
  </cols>
  <sheetData>
    <row r="1" spans="1:2">
      <c r="A1" s="6" t="s">
        <v>0</v>
      </c>
      <c r="B1" t="s">
        <v>8</v>
      </c>
    </row>
    <row r="2" spans="1:2">
      <c r="A2" s="6">
        <v>45296</v>
      </c>
      <c r="B2">
        <v>0</v>
      </c>
    </row>
    <row r="3" spans="1:2">
      <c r="A3" s="6">
        <v>45534</v>
      </c>
      <c r="B3">
        <v>150</v>
      </c>
    </row>
    <row r="4" spans="1:2">
      <c r="A4" s="6">
        <v>45626</v>
      </c>
      <c r="B4">
        <v>150</v>
      </c>
    </row>
    <row r="5" spans="1:2">
      <c r="A5" s="6">
        <v>45716</v>
      </c>
      <c r="B5">
        <v>150</v>
      </c>
    </row>
    <row r="6" spans="1:2">
      <c r="A6" s="6">
        <v>45807</v>
      </c>
      <c r="B6">
        <v>150</v>
      </c>
    </row>
    <row r="7" spans="1:2">
      <c r="A7" s="6">
        <v>45899</v>
      </c>
      <c r="B7">
        <v>150</v>
      </c>
    </row>
    <row r="8" spans="1:2">
      <c r="A8" s="6">
        <v>45991</v>
      </c>
      <c r="B8">
        <v>1150</v>
      </c>
    </row>
    <row r="9" spans="1:2">
      <c r="A9" s="6">
        <v>46081</v>
      </c>
      <c r="B9">
        <v>1100</v>
      </c>
    </row>
    <row r="10" spans="1:2">
      <c r="A10" s="6">
        <v>46173</v>
      </c>
      <c r="B10">
        <v>1050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C800-A606-4B5A-9D13-301E65E92F23}">
  <dimension ref="B2:B74"/>
  <sheetViews>
    <sheetView workbookViewId="0">
      <selection activeCell="B2" sqref="B2:B74"/>
    </sheetView>
  </sheetViews>
  <sheetFormatPr baseColWidth="10" defaultRowHeight="15"/>
  <cols>
    <col min="2" max="2" width="14.28515625" bestFit="1" customWidth="1"/>
  </cols>
  <sheetData>
    <row r="2" spans="2:2">
      <c r="B2" s="7">
        <v>-1370126479</v>
      </c>
    </row>
    <row r="3" spans="2:2">
      <c r="B3" s="7">
        <v>-1398669254</v>
      </c>
    </row>
    <row r="4" spans="2:2">
      <c r="B4" s="7">
        <v>-1398672138</v>
      </c>
    </row>
    <row r="5" spans="2:2">
      <c r="B5" s="7">
        <v>-1456348285</v>
      </c>
    </row>
    <row r="6" spans="2:2">
      <c r="B6" s="7">
        <v>-1480395610</v>
      </c>
    </row>
    <row r="7" spans="2:2">
      <c r="B7" s="7">
        <v>-1570166301</v>
      </c>
    </row>
    <row r="8" spans="2:2">
      <c r="B8" s="7">
        <v>-1630595666</v>
      </c>
    </row>
    <row r="9" spans="2:2">
      <c r="B9" s="7">
        <v>-1698040394</v>
      </c>
    </row>
    <row r="10" spans="2:2">
      <c r="B10" s="7">
        <v>-1755571380</v>
      </c>
    </row>
    <row r="11" spans="2:2">
      <c r="B11" s="7">
        <v>-1827682802</v>
      </c>
    </row>
    <row r="12" spans="2:2">
      <c r="B12" s="7">
        <v>-1924834725</v>
      </c>
    </row>
    <row r="13" spans="2:2">
      <c r="B13" s="7">
        <v>-2005793007</v>
      </c>
    </row>
    <row r="14" spans="2:2">
      <c r="B14" s="7">
        <v>-2107814326</v>
      </c>
    </row>
    <row r="15" spans="2:2">
      <c r="B15" s="7">
        <v>-2155790324</v>
      </c>
    </row>
    <row r="16" spans="2:2">
      <c r="B16" s="7">
        <v>-2184083594</v>
      </c>
    </row>
    <row r="17" spans="2:2">
      <c r="B17" s="7">
        <v>-2244730982</v>
      </c>
    </row>
    <row r="18" spans="2:2">
      <c r="B18" s="7">
        <v>-2303428723</v>
      </c>
    </row>
    <row r="19" spans="2:2">
      <c r="B19" s="7">
        <v>-2304840509</v>
      </c>
    </row>
    <row r="20" spans="2:2">
      <c r="B20" s="7">
        <v>-2323205080</v>
      </c>
    </row>
    <row r="21" spans="2:2">
      <c r="B21" s="7">
        <v>-2348721188</v>
      </c>
    </row>
    <row r="22" spans="2:2">
      <c r="B22" s="7">
        <v>-2376401423</v>
      </c>
    </row>
    <row r="23" spans="2:2">
      <c r="B23" s="7">
        <v>-2412832643</v>
      </c>
    </row>
    <row r="24" spans="2:2">
      <c r="B24" s="7">
        <v>-2454292859</v>
      </c>
    </row>
    <row r="25" spans="2:2">
      <c r="B25" s="7">
        <v>-2501811794</v>
      </c>
    </row>
    <row r="26" spans="2:2">
      <c r="B26" s="7">
        <v>-2594244558</v>
      </c>
    </row>
    <row r="27" spans="2:2">
      <c r="B27" s="7">
        <v>-2668953662</v>
      </c>
    </row>
    <row r="28" spans="2:2">
      <c r="B28" s="7">
        <v>-2747515678</v>
      </c>
    </row>
    <row r="29" spans="2:2">
      <c r="B29" s="7">
        <v>-2755125787</v>
      </c>
    </row>
    <row r="30" spans="2:2">
      <c r="B30" s="7">
        <v>-2844009869</v>
      </c>
    </row>
    <row r="31" spans="2:2">
      <c r="B31" s="7">
        <v>-2951536249</v>
      </c>
    </row>
    <row r="32" spans="2:2">
      <c r="B32" s="7">
        <v>-3075803621</v>
      </c>
    </row>
    <row r="33" spans="2:2">
      <c r="B33" s="7">
        <v>-3191142284</v>
      </c>
    </row>
    <row r="34" spans="2:2">
      <c r="B34" s="7">
        <v>-3299789538</v>
      </c>
    </row>
    <row r="35" spans="2:2">
      <c r="B35" s="7">
        <v>-3442662236</v>
      </c>
    </row>
    <row r="36" spans="2:2">
      <c r="B36" s="7">
        <v>-3760365387</v>
      </c>
    </row>
    <row r="37" spans="2:2">
      <c r="B37" s="7">
        <v>-4081800986</v>
      </c>
    </row>
    <row r="38" spans="2:2">
      <c r="B38" s="7">
        <v>-4385938691</v>
      </c>
    </row>
    <row r="39" spans="2:2">
      <c r="B39" s="7">
        <v>-4519830301</v>
      </c>
    </row>
    <row r="40" spans="2:2">
      <c r="B40" s="7">
        <v>-4837637964</v>
      </c>
    </row>
    <row r="41" spans="2:2">
      <c r="B41" s="7">
        <v>-5136193016</v>
      </c>
    </row>
    <row r="42" spans="2:2">
      <c r="B42" s="7">
        <v>-5390670085</v>
      </c>
    </row>
    <row r="43" spans="2:2">
      <c r="B43" s="7">
        <v>-5698423171</v>
      </c>
    </row>
    <row r="44" spans="2:2">
      <c r="B44" s="7">
        <v>-6454178750</v>
      </c>
    </row>
    <row r="45" spans="2:2">
      <c r="B45" s="7">
        <v>-7743279051</v>
      </c>
    </row>
    <row r="46" spans="2:2">
      <c r="B46" s="7">
        <v>-7720718742</v>
      </c>
    </row>
    <row r="47" spans="2:2">
      <c r="B47" s="7">
        <v>-7716849790</v>
      </c>
    </row>
    <row r="48" spans="2:2">
      <c r="B48" s="7">
        <v>-8075104898</v>
      </c>
    </row>
    <row r="49" spans="2:2">
      <c r="B49" s="7">
        <v>-17625718258</v>
      </c>
    </row>
    <row r="50" spans="2:2">
      <c r="B50" s="7">
        <v>-17769502740</v>
      </c>
    </row>
    <row r="51" spans="2:2">
      <c r="B51" s="7">
        <v>-17496481022</v>
      </c>
    </row>
    <row r="52" spans="2:2">
      <c r="B52" s="7">
        <v>-16951485555</v>
      </c>
    </row>
    <row r="53" spans="2:2">
      <c r="B53" s="7">
        <v>-16986341389</v>
      </c>
    </row>
    <row r="54" spans="2:2">
      <c r="B54" s="7">
        <v>-17326595692</v>
      </c>
    </row>
    <row r="55" spans="2:2">
      <c r="B55" s="7">
        <v>-17484978386</v>
      </c>
    </row>
    <row r="56" spans="2:2">
      <c r="B56" s="7">
        <v>-17937111126</v>
      </c>
    </row>
    <row r="57" spans="2:2">
      <c r="B57" s="7">
        <v>-18621380627</v>
      </c>
    </row>
    <row r="58" spans="2:2">
      <c r="B58" s="7">
        <v>-19204084771</v>
      </c>
    </row>
    <row r="59" spans="2:2">
      <c r="B59" s="7">
        <v>-19347818824</v>
      </c>
    </row>
    <row r="60" spans="2:2">
      <c r="B60" s="7">
        <v>-19380981932</v>
      </c>
    </row>
    <row r="61" spans="2:2">
      <c r="B61" s="7">
        <v>-19617869753</v>
      </c>
    </row>
    <row r="62" spans="2:2">
      <c r="B62" s="7">
        <v>-21216656323</v>
      </c>
    </row>
    <row r="63" spans="2:2">
      <c r="B63" s="7">
        <v>-21334490010</v>
      </c>
    </row>
    <row r="64" spans="2:2">
      <c r="B64" s="7">
        <v>-21627605139</v>
      </c>
    </row>
    <row r="65" spans="2:2">
      <c r="B65" s="7">
        <v>-23601983312</v>
      </c>
    </row>
    <row r="66" spans="2:2">
      <c r="B66" s="7">
        <v>-24263323980</v>
      </c>
    </row>
    <row r="67" spans="2:2">
      <c r="B67" s="7">
        <v>-26767080944</v>
      </c>
    </row>
    <row r="68" spans="2:2">
      <c r="B68" s="7">
        <v>-30118504542</v>
      </c>
    </row>
    <row r="69" spans="2:2">
      <c r="B69" s="7">
        <v>-29738133453</v>
      </c>
    </row>
    <row r="70" spans="2:2">
      <c r="B70" s="7">
        <v>-30797118125</v>
      </c>
    </row>
    <row r="71" spans="2:2">
      <c r="B71" s="7">
        <v>-32468820360</v>
      </c>
    </row>
    <row r="72" spans="2:2">
      <c r="B72" s="7">
        <v>-32797173611</v>
      </c>
    </row>
    <row r="73" spans="2:2">
      <c r="B73" s="7">
        <v>-37044056094</v>
      </c>
    </row>
    <row r="74" spans="2:2">
      <c r="B74" s="7">
        <v>-41152534525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D83E-DB14-4B92-98F5-FBCBC28443B2}">
  <dimension ref="A1:B9"/>
  <sheetViews>
    <sheetView workbookViewId="0">
      <selection activeCell="F13" sqref="F13"/>
    </sheetView>
  </sheetViews>
  <sheetFormatPr baseColWidth="10" defaultRowHeight="15"/>
  <cols>
    <col min="1" max="1" width="11.42578125" style="6"/>
  </cols>
  <sheetData>
    <row r="1" spans="1:2">
      <c r="A1" s="6" t="s">
        <v>0</v>
      </c>
      <c r="B1" t="s">
        <v>8</v>
      </c>
    </row>
    <row r="2" spans="1:2">
      <c r="A2" s="6">
        <v>45832</v>
      </c>
      <c r="B2">
        <v>13.5</v>
      </c>
    </row>
    <row r="3" spans="1:2">
      <c r="A3" s="6">
        <v>45961</v>
      </c>
      <c r="B3">
        <v>13.5</v>
      </c>
    </row>
    <row r="4" spans="1:2">
      <c r="A4" s="6">
        <v>46142</v>
      </c>
      <c r="B4">
        <v>13.5</v>
      </c>
    </row>
    <row r="5" spans="1:2">
      <c r="A5" s="6">
        <v>46326</v>
      </c>
      <c r="B5">
        <v>13.5</v>
      </c>
    </row>
    <row r="6" spans="1:2">
      <c r="A6" s="6">
        <v>46507</v>
      </c>
      <c r="B6">
        <v>13.5</v>
      </c>
    </row>
    <row r="7" spans="1:2">
      <c r="A7" s="6">
        <v>46691</v>
      </c>
      <c r="B7">
        <v>13.5</v>
      </c>
    </row>
    <row r="8" spans="1:2">
      <c r="A8" s="6">
        <v>46873</v>
      </c>
      <c r="B8">
        <v>13.5</v>
      </c>
    </row>
    <row r="9" spans="1:2">
      <c r="A9" s="6">
        <v>47057</v>
      </c>
      <c r="B9">
        <v>913.5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6B90-32E5-4EC9-AB59-9078B62DF326}">
  <dimension ref="A1:H85"/>
  <sheetViews>
    <sheetView topLeftCell="A67" zoomScaleNormal="100" workbookViewId="0">
      <selection activeCell="G77" sqref="G77"/>
    </sheetView>
  </sheetViews>
  <sheetFormatPr baseColWidth="10" defaultRowHeight="15"/>
  <cols>
    <col min="2" max="2" width="14.7109375" bestFit="1" customWidth="1"/>
    <col min="3" max="3" width="13.7109375" bestFit="1" customWidth="1"/>
    <col min="4" max="4" width="7.5703125" style="2" bestFit="1" customWidth="1"/>
    <col min="5" max="5" width="12.5703125" bestFit="1" customWidth="1"/>
    <col min="6" max="6" width="12" bestFit="1" customWidth="1"/>
    <col min="7" max="7" width="18.85546875" style="2" bestFit="1" customWidth="1"/>
    <col min="8" max="8" width="16.85546875" style="2" bestFit="1" customWidth="1"/>
  </cols>
  <sheetData>
    <row r="1" spans="1:8">
      <c r="A1" t="s">
        <v>0</v>
      </c>
      <c r="B1" t="s">
        <v>5</v>
      </c>
      <c r="C1" t="s">
        <v>6</v>
      </c>
      <c r="D1" s="2" t="s">
        <v>4</v>
      </c>
      <c r="E1" t="s">
        <v>2</v>
      </c>
      <c r="F1" t="s">
        <v>3</v>
      </c>
      <c r="G1" s="2" t="s">
        <v>9</v>
      </c>
      <c r="H1" s="2" t="s">
        <v>10</v>
      </c>
    </row>
    <row r="2" spans="1:8">
      <c r="A2" s="1">
        <v>43831</v>
      </c>
      <c r="B2" s="3">
        <v>4621146.1624400001</v>
      </c>
      <c r="C2" s="3">
        <v>600823521</v>
      </c>
      <c r="D2" s="8">
        <v>60.331200000000003</v>
      </c>
      <c r="E2">
        <f>+B2/D2</f>
        <v>76596.291180019616</v>
      </c>
      <c r="F2">
        <f>+C2/D2</f>
        <v>9958753.0332564246</v>
      </c>
      <c r="G2" s="8">
        <v>-1370126479</v>
      </c>
      <c r="H2" s="2">
        <f>+-G2/(D2*1000)</f>
        <v>22710.081665871057</v>
      </c>
    </row>
    <row r="3" spans="1:8">
      <c r="A3" s="1">
        <v>43862</v>
      </c>
      <c r="B3" s="3">
        <v>3854504.9322700002</v>
      </c>
      <c r="C3" s="3">
        <v>661055139</v>
      </c>
      <c r="D3" s="8">
        <v>62.207999999999998</v>
      </c>
      <c r="E3">
        <f t="shared" ref="E3:E66" si="0">+B3/D3</f>
        <v>61961.56334024563</v>
      </c>
      <c r="F3">
        <f t="shared" ref="F3:F66" si="1">+C3/D3</f>
        <v>10626529.369212963</v>
      </c>
      <c r="G3" s="8">
        <v>-1398669254</v>
      </c>
      <c r="H3" s="2">
        <f t="shared" ref="H3:H66" si="2">+-G3/(D3*1000)</f>
        <v>22483.752154063786</v>
      </c>
    </row>
    <row r="4" spans="1:8">
      <c r="A4" s="1">
        <v>43891</v>
      </c>
      <c r="B4" s="3">
        <v>5957522.4149499405</v>
      </c>
      <c r="C4" s="3">
        <v>664987919</v>
      </c>
      <c r="D4" s="8">
        <v>64.469700000000003</v>
      </c>
      <c r="E4">
        <f t="shared" si="0"/>
        <v>92408.098920111937</v>
      </c>
      <c r="F4">
        <f t="shared" si="1"/>
        <v>10314735.744078225</v>
      </c>
      <c r="G4" s="8">
        <v>-1398672138</v>
      </c>
      <c r="H4" s="2">
        <f t="shared" si="2"/>
        <v>21695.030968036146</v>
      </c>
    </row>
    <row r="5" spans="1:8">
      <c r="A5" s="1">
        <v>43922</v>
      </c>
      <c r="B5" s="3">
        <v>7874261.0983799994</v>
      </c>
      <c r="C5" s="3">
        <v>726395568</v>
      </c>
      <c r="D5" s="8">
        <v>66.834999999999994</v>
      </c>
      <c r="E5">
        <f t="shared" si="0"/>
        <v>117816.42998997531</v>
      </c>
      <c r="F5">
        <f t="shared" si="1"/>
        <v>10868490.581282264</v>
      </c>
      <c r="G5" s="8">
        <v>-1456348285</v>
      </c>
      <c r="H5" s="2">
        <f t="shared" si="2"/>
        <v>21790.204009875066</v>
      </c>
    </row>
    <row r="6" spans="1:8">
      <c r="A6" s="1">
        <v>43952</v>
      </c>
      <c r="B6" s="3">
        <v>4663849.4802100006</v>
      </c>
      <c r="C6" s="3">
        <v>769004804</v>
      </c>
      <c r="D6" s="8">
        <v>68.534999999999997</v>
      </c>
      <c r="E6">
        <f t="shared" si="0"/>
        <v>68050.623480119655</v>
      </c>
      <c r="F6">
        <f t="shared" si="1"/>
        <v>11220614.343036406</v>
      </c>
      <c r="G6" s="8">
        <v>-1480395610</v>
      </c>
      <c r="H6" s="2">
        <f t="shared" si="2"/>
        <v>21600.577952870797</v>
      </c>
    </row>
    <row r="7" spans="1:8">
      <c r="A7" s="1">
        <v>43983</v>
      </c>
      <c r="B7" s="3">
        <v>6895817.6874099998</v>
      </c>
      <c r="C7" s="3">
        <v>740880957</v>
      </c>
      <c r="D7" s="8">
        <v>70.454999999999998</v>
      </c>
      <c r="E7">
        <f t="shared" si="0"/>
        <v>97875.490560073798</v>
      </c>
      <c r="F7">
        <f t="shared" si="1"/>
        <v>10515661.869278263</v>
      </c>
      <c r="G7" s="8">
        <v>-1570166301</v>
      </c>
      <c r="H7" s="2">
        <f t="shared" si="2"/>
        <v>22286.087587822014</v>
      </c>
    </row>
    <row r="8" spans="1:8">
      <c r="A8" s="1">
        <v>44013</v>
      </c>
      <c r="B8" s="3">
        <v>4714200</v>
      </c>
      <c r="C8" s="3">
        <v>774669062</v>
      </c>
      <c r="D8" s="8">
        <v>72.314999999999998</v>
      </c>
      <c r="E8">
        <f t="shared" si="0"/>
        <v>65189.794648413197</v>
      </c>
      <c r="F8">
        <f t="shared" si="1"/>
        <v>10712425.665491253</v>
      </c>
      <c r="G8" s="8">
        <v>-1630595666</v>
      </c>
      <c r="H8" s="2">
        <f t="shared" si="2"/>
        <v>22548.512286524234</v>
      </c>
    </row>
    <row r="9" spans="1:8">
      <c r="A9" s="1">
        <v>44044</v>
      </c>
      <c r="B9" s="3">
        <v>6562570.2446300015</v>
      </c>
      <c r="C9" s="3">
        <v>845913711</v>
      </c>
      <c r="D9" s="8">
        <v>74.174999999999997</v>
      </c>
      <c r="E9">
        <f t="shared" si="0"/>
        <v>88474.152270037099</v>
      </c>
      <c r="F9">
        <f t="shared" si="1"/>
        <v>11404296.744186047</v>
      </c>
      <c r="G9" s="8">
        <v>-1698040394</v>
      </c>
      <c r="H9" s="2">
        <f t="shared" si="2"/>
        <v>22892.354486012806</v>
      </c>
    </row>
    <row r="10" spans="1:8">
      <c r="A10" s="1">
        <v>44075</v>
      </c>
      <c r="B10" s="3">
        <v>7312037.9125500005</v>
      </c>
      <c r="C10" s="3">
        <v>913735293</v>
      </c>
      <c r="D10" s="8">
        <v>76.174999999999997</v>
      </c>
      <c r="E10">
        <f t="shared" si="0"/>
        <v>95989.995570068932</v>
      </c>
      <c r="F10">
        <f t="shared" si="1"/>
        <v>11995212.248112898</v>
      </c>
      <c r="G10" s="8">
        <v>-1755571380</v>
      </c>
      <c r="H10" s="2">
        <f t="shared" si="2"/>
        <v>23046.555694125371</v>
      </c>
    </row>
    <row r="11" spans="1:8">
      <c r="A11" s="1">
        <v>44105</v>
      </c>
      <c r="B11" s="3">
        <v>6539575.0217900006</v>
      </c>
      <c r="C11" s="3">
        <v>901008055</v>
      </c>
      <c r="D11" s="8">
        <v>78.328299999999999</v>
      </c>
      <c r="E11">
        <f t="shared" si="0"/>
        <v>83489.301080069403</v>
      </c>
      <c r="F11">
        <f t="shared" si="1"/>
        <v>11502969.616345562</v>
      </c>
      <c r="G11" s="8">
        <v>-1827682802</v>
      </c>
      <c r="H11" s="2">
        <f t="shared" si="2"/>
        <v>23333.620185807682</v>
      </c>
    </row>
    <row r="12" spans="1:8">
      <c r="A12" s="1">
        <v>44136</v>
      </c>
      <c r="B12" s="3">
        <v>8523990.1096999999</v>
      </c>
      <c r="C12" s="3">
        <v>908878211</v>
      </c>
      <c r="D12" s="8">
        <v>81.296700000000001</v>
      </c>
      <c r="E12">
        <f t="shared" si="0"/>
        <v>104850.38273017232</v>
      </c>
      <c r="F12">
        <f t="shared" si="1"/>
        <v>11179767.57974186</v>
      </c>
      <c r="G12" s="8">
        <v>-1924834725</v>
      </c>
      <c r="H12" s="2">
        <f t="shared" si="2"/>
        <v>23676.664919978302</v>
      </c>
    </row>
    <row r="13" spans="1:8">
      <c r="A13" s="1">
        <v>44166</v>
      </c>
      <c r="B13" s="3">
        <v>43425726.832810007</v>
      </c>
      <c r="C13" s="3">
        <v>918560327</v>
      </c>
      <c r="D13" s="8">
        <v>84.144999999999996</v>
      </c>
      <c r="E13">
        <f t="shared" si="0"/>
        <v>516082.08251007198</v>
      </c>
      <c r="F13">
        <f t="shared" si="1"/>
        <v>10916398.205478638</v>
      </c>
      <c r="G13" s="8">
        <v>-2005793007</v>
      </c>
      <c r="H13" s="2">
        <f t="shared" si="2"/>
        <v>23837.340388614892</v>
      </c>
    </row>
    <row r="14" spans="1:8">
      <c r="A14" s="1">
        <v>44197</v>
      </c>
      <c r="B14" s="3">
        <v>9642581.6524000019</v>
      </c>
      <c r="C14" s="3">
        <v>999238358</v>
      </c>
      <c r="D14" s="8">
        <v>87.298299999999998</v>
      </c>
      <c r="E14">
        <f t="shared" si="0"/>
        <v>110455.548990072</v>
      </c>
      <c r="F14">
        <f t="shared" si="1"/>
        <v>11446252.195059927</v>
      </c>
      <c r="G14" s="8">
        <v>-2107814326</v>
      </c>
      <c r="H14" s="2">
        <f t="shared" si="2"/>
        <v>24144.9641745601</v>
      </c>
    </row>
    <row r="15" spans="1:8">
      <c r="A15" s="1">
        <v>44228</v>
      </c>
      <c r="B15" s="3">
        <v>6463230.848979516</v>
      </c>
      <c r="C15" s="3">
        <v>1064065221</v>
      </c>
      <c r="D15" s="8">
        <v>89.825000000000003</v>
      </c>
      <c r="E15">
        <f t="shared" si="0"/>
        <v>71953.585850036354</v>
      </c>
      <c r="F15">
        <f t="shared" si="1"/>
        <v>11845980.751461174</v>
      </c>
      <c r="G15" s="8">
        <v>-2155790324</v>
      </c>
      <c r="H15" s="2">
        <f t="shared" si="2"/>
        <v>23999.892279432228</v>
      </c>
    </row>
    <row r="16" spans="1:8">
      <c r="A16" s="1">
        <v>44256</v>
      </c>
      <c r="B16" s="3">
        <v>13425788.8233</v>
      </c>
      <c r="C16" s="3">
        <v>1031992846</v>
      </c>
      <c r="D16" s="8">
        <v>91.984999999999999</v>
      </c>
      <c r="E16">
        <f t="shared" si="0"/>
        <v>145956.28443007011</v>
      </c>
      <c r="F16">
        <f t="shared" si="1"/>
        <v>11219142.751535576</v>
      </c>
      <c r="G16" s="8">
        <v>-2184083594</v>
      </c>
      <c r="H16" s="2">
        <f t="shared" si="2"/>
        <v>23743.910354949177</v>
      </c>
    </row>
    <row r="17" spans="1:8">
      <c r="A17" s="1">
        <v>44287</v>
      </c>
      <c r="B17" s="3">
        <v>6042516.8568500001</v>
      </c>
      <c r="C17" s="3">
        <v>985805325</v>
      </c>
      <c r="D17" s="8">
        <v>93.555000000000007</v>
      </c>
      <c r="E17">
        <f t="shared" si="0"/>
        <v>64587.855879963652</v>
      </c>
      <c r="F17">
        <f t="shared" si="1"/>
        <v>10537174.122174121</v>
      </c>
      <c r="G17" s="8">
        <v>-2244730982</v>
      </c>
      <c r="H17" s="2">
        <f t="shared" si="2"/>
        <v>23993.704045748491</v>
      </c>
    </row>
    <row r="18" spans="1:8">
      <c r="A18" s="1">
        <v>44317</v>
      </c>
      <c r="B18" s="3">
        <v>6732039.4484399995</v>
      </c>
      <c r="C18" s="3">
        <v>956610531</v>
      </c>
      <c r="D18" s="8">
        <v>94.685000000000002</v>
      </c>
      <c r="E18">
        <f t="shared" si="0"/>
        <v>71099.323530020585</v>
      </c>
      <c r="F18">
        <f t="shared" si="1"/>
        <v>10103084.237207582</v>
      </c>
      <c r="G18" s="8">
        <v>-2303428723</v>
      </c>
      <c r="H18" s="2">
        <f t="shared" si="2"/>
        <v>24327.282283360615</v>
      </c>
    </row>
    <row r="19" spans="1:8">
      <c r="A19" s="1">
        <v>44348</v>
      </c>
      <c r="B19" s="3">
        <v>6261742.7438300001</v>
      </c>
      <c r="C19" s="3">
        <v>1023338374</v>
      </c>
      <c r="D19" s="8">
        <v>95.726699999999994</v>
      </c>
      <c r="E19">
        <f t="shared" si="0"/>
        <v>65412.708720033181</v>
      </c>
      <c r="F19">
        <f t="shared" si="1"/>
        <v>10690208.416251684</v>
      </c>
      <c r="G19" s="8">
        <v>-2304840509</v>
      </c>
      <c r="H19" s="2">
        <f t="shared" si="2"/>
        <v>24077.300366564396</v>
      </c>
    </row>
    <row r="20" spans="1:8">
      <c r="A20" s="1">
        <v>44378</v>
      </c>
      <c r="B20" s="3">
        <v>29308181.6642</v>
      </c>
      <c r="C20" s="3">
        <v>1083760015</v>
      </c>
      <c r="D20" s="8">
        <v>96.685000000000002</v>
      </c>
      <c r="E20">
        <f t="shared" si="0"/>
        <v>303130.59589595074</v>
      </c>
      <c r="F20">
        <f t="shared" si="1"/>
        <v>11209184.620158246</v>
      </c>
      <c r="G20" s="8">
        <v>-2323205080</v>
      </c>
      <c r="H20" s="2">
        <f t="shared" si="2"/>
        <v>24028.598851941872</v>
      </c>
    </row>
    <row r="21" spans="1:8">
      <c r="A21" s="1">
        <v>44409</v>
      </c>
      <c r="B21" s="3">
        <v>23960010.025589999</v>
      </c>
      <c r="C21" s="3">
        <v>1110841764</v>
      </c>
      <c r="D21" s="8">
        <v>97.7517</v>
      </c>
      <c r="E21">
        <f t="shared" si="0"/>
        <v>245110.92927887698</v>
      </c>
      <c r="F21">
        <f t="shared" si="1"/>
        <v>11363912.484386461</v>
      </c>
      <c r="G21" s="8">
        <v>-2348721188</v>
      </c>
      <c r="H21" s="2">
        <f t="shared" si="2"/>
        <v>24027.420372228822</v>
      </c>
    </row>
    <row r="22" spans="1:8">
      <c r="A22" s="1">
        <v>44440</v>
      </c>
      <c r="B22" s="3">
        <v>19415045.118840002</v>
      </c>
      <c r="C22" s="3">
        <v>1171291595</v>
      </c>
      <c r="D22" s="8">
        <v>98.734999999999999</v>
      </c>
      <c r="E22">
        <f t="shared" si="0"/>
        <v>196637.92088762851</v>
      </c>
      <c r="F22">
        <f t="shared" si="1"/>
        <v>11862982.680913556</v>
      </c>
      <c r="G22" s="8">
        <v>-2376401423</v>
      </c>
      <c r="H22" s="2">
        <f t="shared" si="2"/>
        <v>24068.480508431661</v>
      </c>
    </row>
    <row r="23" spans="1:8">
      <c r="A23" s="1">
        <v>44470</v>
      </c>
      <c r="B23" s="3">
        <v>24271465.688919999</v>
      </c>
      <c r="C23" s="3">
        <v>1187706064</v>
      </c>
      <c r="D23" s="8">
        <v>99.721699999999998</v>
      </c>
      <c r="E23">
        <f t="shared" si="0"/>
        <v>243392.01687215519</v>
      </c>
      <c r="F23">
        <f t="shared" si="1"/>
        <v>11910206.745372372</v>
      </c>
      <c r="G23" s="8">
        <v>-2412832643</v>
      </c>
      <c r="H23" s="2">
        <f t="shared" si="2"/>
        <v>24195.662960017729</v>
      </c>
    </row>
    <row r="24" spans="1:8">
      <c r="A24" s="1">
        <v>44501</v>
      </c>
      <c r="B24" s="3">
        <v>102221390.25857002</v>
      </c>
      <c r="C24" s="3">
        <v>1155245496</v>
      </c>
      <c r="D24" s="8">
        <v>100.925</v>
      </c>
      <c r="E24">
        <f t="shared" si="0"/>
        <v>1012845.0855444144</v>
      </c>
      <c r="F24">
        <f t="shared" si="1"/>
        <v>11446574.149120634</v>
      </c>
      <c r="G24" s="8">
        <v>-2454292859</v>
      </c>
      <c r="H24" s="2">
        <f t="shared" si="2"/>
        <v>24317.987208323011</v>
      </c>
    </row>
    <row r="25" spans="1:8">
      <c r="A25" s="1">
        <v>44531</v>
      </c>
      <c r="B25" s="3">
        <v>83602762.309670001</v>
      </c>
      <c r="C25" s="3">
        <v>1244592073</v>
      </c>
      <c r="D25" s="8">
        <v>102.75</v>
      </c>
      <c r="E25">
        <f t="shared" si="0"/>
        <v>813652.18792866182</v>
      </c>
      <c r="F25">
        <f t="shared" si="1"/>
        <v>12112818.228710461</v>
      </c>
      <c r="G25" s="8">
        <v>-2501811794</v>
      </c>
      <c r="H25" s="2">
        <f t="shared" si="2"/>
        <v>24348.533274939171</v>
      </c>
    </row>
    <row r="26" spans="1:8">
      <c r="A26" s="1">
        <v>44562</v>
      </c>
      <c r="B26" s="3">
        <v>101093132.56847002</v>
      </c>
      <c r="C26" s="3">
        <v>1263626022</v>
      </c>
      <c r="D26" s="8">
        <v>105.015</v>
      </c>
      <c r="E26">
        <f t="shared" si="0"/>
        <v>962654.21671637404</v>
      </c>
      <c r="F26">
        <f t="shared" si="1"/>
        <v>12032814.569347236</v>
      </c>
      <c r="G26" s="8">
        <v>-2594244558</v>
      </c>
      <c r="H26" s="2">
        <f t="shared" si="2"/>
        <v>24703.5619482931</v>
      </c>
    </row>
    <row r="27" spans="1:8">
      <c r="A27" s="1">
        <v>44593</v>
      </c>
      <c r="B27" s="3">
        <v>19082084.820069999</v>
      </c>
      <c r="C27" s="3">
        <v>1309298699</v>
      </c>
      <c r="D27" s="8">
        <v>107.4417</v>
      </c>
      <c r="E27">
        <f t="shared" si="0"/>
        <v>177604.08500675249</v>
      </c>
      <c r="F27">
        <f t="shared" si="1"/>
        <v>12186131.632317806</v>
      </c>
      <c r="G27" s="8">
        <v>-2668953662</v>
      </c>
      <c r="H27" s="2">
        <f t="shared" si="2"/>
        <v>24840.947807043263</v>
      </c>
    </row>
    <row r="28" spans="1:8">
      <c r="A28" s="1">
        <v>44621</v>
      </c>
      <c r="B28" s="3">
        <v>767243478.78443003</v>
      </c>
      <c r="C28" s="3">
        <v>1283781847</v>
      </c>
      <c r="D28" s="8">
        <v>110.9783</v>
      </c>
      <c r="E28">
        <f t="shared" si="0"/>
        <v>6913454.9617756801</v>
      </c>
      <c r="F28">
        <f t="shared" si="1"/>
        <v>11567863.690469217</v>
      </c>
      <c r="G28" s="8">
        <v>-2747515678</v>
      </c>
      <c r="H28" s="2">
        <f t="shared" si="2"/>
        <v>24757.233423110643</v>
      </c>
    </row>
    <row r="29" spans="1:8">
      <c r="A29" s="1">
        <v>44652</v>
      </c>
      <c r="B29" s="3">
        <v>687400953.66190004</v>
      </c>
      <c r="C29" s="3">
        <v>1416125131</v>
      </c>
      <c r="D29" s="8">
        <v>115.3117</v>
      </c>
      <c r="E29">
        <f t="shared" si="0"/>
        <v>5961242.0392891616</v>
      </c>
      <c r="F29">
        <f t="shared" si="1"/>
        <v>12280845.144074712</v>
      </c>
      <c r="G29" s="8">
        <v>-2755125787</v>
      </c>
      <c r="H29" s="2">
        <f t="shared" si="2"/>
        <v>23892.85551249353</v>
      </c>
    </row>
    <row r="30" spans="1:8">
      <c r="A30" s="1">
        <v>44682</v>
      </c>
      <c r="B30" s="3">
        <v>353501053.55596995</v>
      </c>
      <c r="C30" s="3">
        <v>1453945935</v>
      </c>
      <c r="D30" s="8">
        <v>120.1617</v>
      </c>
      <c r="E30">
        <f t="shared" si="0"/>
        <v>2941877.9324524365</v>
      </c>
      <c r="F30">
        <f t="shared" si="1"/>
        <v>12099911.494261483</v>
      </c>
      <c r="G30" s="8">
        <v>-2844009869</v>
      </c>
      <c r="H30" s="2">
        <f t="shared" si="2"/>
        <v>23668.18935650877</v>
      </c>
    </row>
    <row r="31" spans="1:8">
      <c r="A31" s="1">
        <v>44713</v>
      </c>
      <c r="B31" s="3">
        <v>526400571.37887996</v>
      </c>
      <c r="C31" s="3">
        <v>1442653786</v>
      </c>
      <c r="D31" s="8">
        <v>125.215</v>
      </c>
      <c r="E31">
        <f t="shared" si="0"/>
        <v>4203973.7362047676</v>
      </c>
      <c r="F31">
        <f t="shared" si="1"/>
        <v>11521413.456854211</v>
      </c>
      <c r="G31" s="8">
        <v>-2951536249</v>
      </c>
      <c r="H31" s="2">
        <f t="shared" si="2"/>
        <v>23571.746587868867</v>
      </c>
    </row>
    <row r="32" spans="1:8">
      <c r="A32" s="1">
        <v>44743</v>
      </c>
      <c r="B32" s="3">
        <v>293787964.17534</v>
      </c>
      <c r="C32" s="3">
        <v>1506415296</v>
      </c>
      <c r="D32" s="8">
        <v>131.22669999999999</v>
      </c>
      <c r="E32">
        <f t="shared" si="0"/>
        <v>2238781.9260511771</v>
      </c>
      <c r="F32">
        <f t="shared" si="1"/>
        <v>11479487.756683663</v>
      </c>
      <c r="G32" s="8">
        <v>-3075803621</v>
      </c>
      <c r="H32" s="2">
        <f t="shared" si="2"/>
        <v>23438.855210105874</v>
      </c>
    </row>
    <row r="33" spans="1:8">
      <c r="A33" s="1">
        <v>44774</v>
      </c>
      <c r="B33" s="3">
        <v>282120955.72248995</v>
      </c>
      <c r="C33" s="3">
        <v>1600898840</v>
      </c>
      <c r="D33" s="8">
        <v>138.7133</v>
      </c>
      <c r="E33">
        <f t="shared" si="0"/>
        <v>2033842.1457963292</v>
      </c>
      <c r="F33">
        <f t="shared" si="1"/>
        <v>11541062.320628231</v>
      </c>
      <c r="G33" s="8">
        <v>-3191142284</v>
      </c>
      <c r="H33" s="2">
        <f t="shared" si="2"/>
        <v>23005.308676240849</v>
      </c>
    </row>
    <row r="34" spans="1:8">
      <c r="A34" s="1">
        <v>44805</v>
      </c>
      <c r="B34" s="3">
        <v>23170811.327040002</v>
      </c>
      <c r="C34" s="3">
        <v>1626652128</v>
      </c>
      <c r="D34" s="8">
        <v>147.315</v>
      </c>
      <c r="E34">
        <f t="shared" si="0"/>
        <v>157287.52216026883</v>
      </c>
      <c r="F34">
        <f t="shared" si="1"/>
        <v>11041999.307606149</v>
      </c>
      <c r="G34" s="8">
        <v>-3299789538</v>
      </c>
      <c r="H34" s="2">
        <f t="shared" si="2"/>
        <v>22399.548844313205</v>
      </c>
    </row>
    <row r="35" spans="1:8">
      <c r="A35" s="1">
        <v>44835</v>
      </c>
      <c r="B35" s="3">
        <v>510972385.00199002</v>
      </c>
      <c r="C35" s="3">
        <v>1760792329</v>
      </c>
      <c r="D35" s="8">
        <v>156.89500000000001</v>
      </c>
      <c r="E35">
        <f t="shared" si="0"/>
        <v>3256779.2791484115</v>
      </c>
      <c r="F35">
        <f t="shared" si="1"/>
        <v>11222743.420759106</v>
      </c>
      <c r="G35" s="8">
        <v>-3442662236</v>
      </c>
      <c r="H35" s="2">
        <f t="shared" si="2"/>
        <v>21942.459836196183</v>
      </c>
    </row>
    <row r="36" spans="1:8">
      <c r="A36" s="1">
        <v>44866</v>
      </c>
      <c r="B36" s="3">
        <v>420310038.30346</v>
      </c>
      <c r="C36" s="3">
        <v>1927646958</v>
      </c>
      <c r="D36" s="8">
        <v>167.255</v>
      </c>
      <c r="E36">
        <f t="shared" si="0"/>
        <v>2512989.3773188246</v>
      </c>
      <c r="F36">
        <f t="shared" si="1"/>
        <v>11525197.799766824</v>
      </c>
      <c r="G36" s="8">
        <v>-3760365387</v>
      </c>
      <c r="H36" s="2">
        <f t="shared" si="2"/>
        <v>22482.827939374009</v>
      </c>
    </row>
    <row r="37" spans="1:8">
      <c r="A37" s="1">
        <v>44896</v>
      </c>
      <c r="B37" s="3">
        <v>855046491.41350007</v>
      </c>
      <c r="C37" s="3">
        <v>2141070655</v>
      </c>
      <c r="D37" s="8">
        <v>177.1283</v>
      </c>
      <c r="E37">
        <f t="shared" si="0"/>
        <v>4827272.0475130184</v>
      </c>
      <c r="F37">
        <f t="shared" si="1"/>
        <v>12087682.516006758</v>
      </c>
      <c r="G37" s="8">
        <v>-4081800986</v>
      </c>
      <c r="H37" s="2">
        <f t="shared" si="2"/>
        <v>23044.318643604667</v>
      </c>
    </row>
    <row r="38" spans="1:8">
      <c r="A38" s="1">
        <v>44927</v>
      </c>
      <c r="B38" s="3">
        <v>245440395.27162999</v>
      </c>
      <c r="C38" s="3">
        <v>2408870795</v>
      </c>
      <c r="D38" s="8">
        <v>186.875</v>
      </c>
      <c r="E38">
        <f t="shared" si="0"/>
        <v>1313393.4195137392</v>
      </c>
      <c r="F38">
        <f t="shared" si="1"/>
        <v>12890278.50167224</v>
      </c>
      <c r="G38" s="8">
        <v>-4385938691</v>
      </c>
      <c r="H38" s="2">
        <f t="shared" si="2"/>
        <v>23469.906038795987</v>
      </c>
    </row>
    <row r="39" spans="1:8">
      <c r="A39" s="1">
        <v>44958</v>
      </c>
      <c r="B39" s="3">
        <v>78160765.615800008</v>
      </c>
      <c r="C39" s="3">
        <v>2554097417</v>
      </c>
      <c r="D39" s="8">
        <v>197.1533</v>
      </c>
      <c r="E39">
        <f t="shared" si="0"/>
        <v>396446.651493026</v>
      </c>
      <c r="F39">
        <f t="shared" si="1"/>
        <v>12954880.374814928</v>
      </c>
      <c r="G39" s="8">
        <v>-4519830301</v>
      </c>
      <c r="H39" s="2">
        <f t="shared" si="2"/>
        <v>22925.461054925279</v>
      </c>
    </row>
    <row r="40" spans="1:8">
      <c r="A40" s="1">
        <v>44986</v>
      </c>
      <c r="B40" s="3">
        <v>711777372.05326998</v>
      </c>
      <c r="C40" s="3">
        <v>2536997821</v>
      </c>
      <c r="D40" s="8">
        <v>208.98830000000001</v>
      </c>
      <c r="E40">
        <f t="shared" si="0"/>
        <v>3405824.0200684438</v>
      </c>
      <c r="F40">
        <f t="shared" si="1"/>
        <v>12139425.130497735</v>
      </c>
      <c r="G40" s="8">
        <v>-4837637964</v>
      </c>
      <c r="H40" s="2">
        <f t="shared" si="2"/>
        <v>23147.888967947008</v>
      </c>
    </row>
    <row r="41" spans="1:8">
      <c r="A41" s="1">
        <v>45017</v>
      </c>
      <c r="B41" s="3">
        <v>93077444.507949993</v>
      </c>
      <c r="C41" s="3">
        <v>2501824243</v>
      </c>
      <c r="D41" s="8">
        <v>222.57499999999999</v>
      </c>
      <c r="E41">
        <f t="shared" si="0"/>
        <v>418184.63218218577</v>
      </c>
      <c r="F41">
        <f t="shared" si="1"/>
        <v>11240365.014040211</v>
      </c>
      <c r="G41" s="8">
        <v>-5136193016</v>
      </c>
      <c r="H41" s="2">
        <f t="shared" si="2"/>
        <v>23076.235048859933</v>
      </c>
    </row>
    <row r="42" spans="1:8">
      <c r="A42" s="1">
        <v>45047</v>
      </c>
      <c r="B42" s="3">
        <v>20948051.250060003</v>
      </c>
      <c r="C42" s="3">
        <v>2636887694</v>
      </c>
      <c r="D42" s="8">
        <v>239.32499999999999</v>
      </c>
      <c r="E42">
        <f t="shared" si="0"/>
        <v>87529.724224631791</v>
      </c>
      <c r="F42">
        <f t="shared" si="1"/>
        <v>11018020.240259062</v>
      </c>
      <c r="G42" s="8">
        <v>-5390670085</v>
      </c>
      <c r="H42" s="2">
        <f t="shared" si="2"/>
        <v>22524.47544134545</v>
      </c>
    </row>
    <row r="43" spans="1:8">
      <c r="A43" s="1">
        <v>45078</v>
      </c>
      <c r="B43" s="3">
        <v>28919359.163549997</v>
      </c>
      <c r="C43" s="3">
        <v>2643892702</v>
      </c>
      <c r="D43" s="8">
        <v>256.67500000000001</v>
      </c>
      <c r="E43">
        <f t="shared" si="0"/>
        <v>112669.16982000583</v>
      </c>
      <c r="F43">
        <f t="shared" si="1"/>
        <v>10300546.223823901</v>
      </c>
      <c r="G43" s="8">
        <v>-5698423171</v>
      </c>
      <c r="H43" s="2">
        <f t="shared" si="2"/>
        <v>22200.927908834128</v>
      </c>
    </row>
    <row r="44" spans="1:8">
      <c r="A44" s="1">
        <v>45108</v>
      </c>
      <c r="B44" s="3">
        <v>16095561.08114</v>
      </c>
      <c r="C44" s="3">
        <v>2706242392</v>
      </c>
      <c r="D44" s="8">
        <v>275.2833</v>
      </c>
      <c r="E44">
        <f t="shared" si="0"/>
        <v>58469.079239968429</v>
      </c>
      <c r="F44">
        <f t="shared" si="1"/>
        <v>9830753.9614644255</v>
      </c>
      <c r="G44" s="8">
        <v>-6454178750</v>
      </c>
      <c r="H44" s="2">
        <f t="shared" si="2"/>
        <v>23445.587690935121</v>
      </c>
    </row>
    <row r="45" spans="1:8">
      <c r="A45" s="1">
        <v>45139</v>
      </c>
      <c r="B45" s="3">
        <v>1490807517.8262401</v>
      </c>
      <c r="C45" s="3">
        <v>3280147380</v>
      </c>
      <c r="D45" s="8">
        <v>350.01670000000001</v>
      </c>
      <c r="E45">
        <f t="shared" si="0"/>
        <v>4259246.8240122255</v>
      </c>
      <c r="F45">
        <f t="shared" si="1"/>
        <v>9371402.5073660761</v>
      </c>
      <c r="G45" s="8">
        <v>-7743279051</v>
      </c>
      <c r="H45" s="2">
        <f t="shared" si="2"/>
        <v>22122.59886742547</v>
      </c>
    </row>
    <row r="46" spans="1:8">
      <c r="A46" s="1">
        <v>45170</v>
      </c>
      <c r="B46" s="3">
        <v>1259523770.4477899</v>
      </c>
      <c r="C46" s="3">
        <v>3349149888</v>
      </c>
      <c r="D46" s="8">
        <v>350.00830000000002</v>
      </c>
      <c r="E46">
        <f t="shared" si="0"/>
        <v>3598554.0069986619</v>
      </c>
      <c r="F46">
        <f t="shared" si="1"/>
        <v>9568772.7633887529</v>
      </c>
      <c r="G46" s="8">
        <v>-7720718742</v>
      </c>
      <c r="H46" s="2">
        <f t="shared" si="2"/>
        <v>22058.673300033166</v>
      </c>
    </row>
    <row r="47" spans="1:8">
      <c r="A47" s="1">
        <v>45200</v>
      </c>
      <c r="B47" s="3">
        <v>416720710.45837998</v>
      </c>
      <c r="C47" s="3">
        <v>3109212179</v>
      </c>
      <c r="D47" s="8">
        <v>350.00830000000002</v>
      </c>
      <c r="E47">
        <f t="shared" si="0"/>
        <v>1190602.3670249532</v>
      </c>
      <c r="F47">
        <f t="shared" si="1"/>
        <v>8883252.7085786238</v>
      </c>
      <c r="G47" s="8">
        <v>-7716849790</v>
      </c>
      <c r="H47" s="2">
        <f t="shared" si="2"/>
        <v>22047.61941359676</v>
      </c>
    </row>
    <row r="48" spans="1:8">
      <c r="A48" s="1">
        <v>45231</v>
      </c>
      <c r="B48" s="3">
        <v>23123839.360650003</v>
      </c>
      <c r="C48" s="3">
        <v>3190928310</v>
      </c>
      <c r="D48" s="8">
        <v>360.52499999999998</v>
      </c>
      <c r="E48">
        <f t="shared" si="0"/>
        <v>64139.350560016654</v>
      </c>
      <c r="F48">
        <f t="shared" si="1"/>
        <v>8850782.3590597045</v>
      </c>
      <c r="G48" s="8">
        <v>-8075104898</v>
      </c>
      <c r="H48" s="2">
        <f t="shared" si="2"/>
        <v>22398.182922127453</v>
      </c>
    </row>
    <row r="49" spans="1:8">
      <c r="A49" s="1">
        <v>45261</v>
      </c>
      <c r="B49" s="3">
        <v>50812945.520859994</v>
      </c>
      <c r="C49" s="3">
        <v>7371126317</v>
      </c>
      <c r="D49" s="8">
        <v>808.48329999999999</v>
      </c>
      <c r="E49">
        <f t="shared" si="0"/>
        <v>62849.715660001879</v>
      </c>
      <c r="F49">
        <f t="shared" si="1"/>
        <v>9117227.6743378621</v>
      </c>
      <c r="G49" s="8">
        <v>-17625718258</v>
      </c>
      <c r="H49" s="2">
        <f t="shared" si="2"/>
        <v>21800.967636560956</v>
      </c>
    </row>
    <row r="50" spans="1:8">
      <c r="A50" s="1">
        <v>45292</v>
      </c>
      <c r="B50" s="3">
        <v>2286627572.97679</v>
      </c>
      <c r="C50" s="3">
        <v>8095232818</v>
      </c>
      <c r="D50" s="8">
        <v>826.25</v>
      </c>
      <c r="E50">
        <f t="shared" si="0"/>
        <v>2767476.6390036792</v>
      </c>
      <c r="F50">
        <f t="shared" si="1"/>
        <v>9797558.6299546137</v>
      </c>
      <c r="G50" s="8">
        <v>-17769502740</v>
      </c>
      <c r="H50" s="2">
        <f t="shared" si="2"/>
        <v>21506.206039334342</v>
      </c>
    </row>
    <row r="51" spans="1:8">
      <c r="A51" s="1">
        <v>45323</v>
      </c>
      <c r="B51" s="3">
        <v>1486519166.0609798</v>
      </c>
      <c r="C51" s="3">
        <v>7846451517</v>
      </c>
      <c r="D51" s="8">
        <v>842.25</v>
      </c>
      <c r="E51">
        <f t="shared" si="0"/>
        <v>1764938.1609510002</v>
      </c>
      <c r="F51">
        <f t="shared" si="1"/>
        <v>9316059.9786286727</v>
      </c>
      <c r="G51" s="8">
        <v>-17496481022</v>
      </c>
      <c r="H51" s="2">
        <f t="shared" si="2"/>
        <v>20773.500768180467</v>
      </c>
    </row>
    <row r="52" spans="1:8">
      <c r="A52" s="1">
        <v>45352</v>
      </c>
      <c r="B52" s="3">
        <v>886469720.33432996</v>
      </c>
      <c r="C52" s="3">
        <v>7629157640</v>
      </c>
      <c r="D52" s="8">
        <v>857.41669999999999</v>
      </c>
      <c r="E52">
        <f t="shared" si="0"/>
        <v>1033884.3649002054</v>
      </c>
      <c r="F52">
        <f t="shared" si="1"/>
        <v>8897841.2013668492</v>
      </c>
      <c r="G52" s="8">
        <v>-16951485555</v>
      </c>
      <c r="H52" s="2">
        <f t="shared" si="2"/>
        <v>19770.416828830137</v>
      </c>
    </row>
    <row r="53" spans="1:8">
      <c r="A53" s="1">
        <v>45383</v>
      </c>
      <c r="B53" s="3">
        <v>950292291.21390998</v>
      </c>
      <c r="C53" s="3">
        <v>7351718245</v>
      </c>
      <c r="D53" s="8">
        <v>876.75</v>
      </c>
      <c r="E53">
        <f t="shared" si="0"/>
        <v>1083880.571672552</v>
      </c>
      <c r="F53">
        <f t="shared" si="1"/>
        <v>8385193.3219275735</v>
      </c>
      <c r="G53" s="8">
        <v>-16986341389</v>
      </c>
      <c r="H53" s="2">
        <f t="shared" si="2"/>
        <v>19374.21316110636</v>
      </c>
    </row>
    <row r="54" spans="1:8">
      <c r="A54" s="1">
        <v>45413</v>
      </c>
      <c r="B54" s="3">
        <v>383156210.37596005</v>
      </c>
      <c r="C54" s="3">
        <v>7267834206</v>
      </c>
      <c r="D54" s="8">
        <v>895.25</v>
      </c>
      <c r="E54">
        <f t="shared" si="0"/>
        <v>427987.94792064792</v>
      </c>
      <c r="F54">
        <f t="shared" si="1"/>
        <v>8118217.4878525548</v>
      </c>
      <c r="G54" s="8">
        <v>-17326595692</v>
      </c>
      <c r="H54" s="2">
        <f t="shared" si="2"/>
        <v>19353.918672996369</v>
      </c>
    </row>
    <row r="55" spans="1:8">
      <c r="A55" s="1">
        <v>45444</v>
      </c>
      <c r="B55" s="3">
        <v>942654423.41727006</v>
      </c>
      <c r="C55" s="3">
        <v>7587839026</v>
      </c>
      <c r="D55" s="8">
        <v>911.75</v>
      </c>
      <c r="E55">
        <f t="shared" si="0"/>
        <v>1033895.7207757281</v>
      </c>
      <c r="F55">
        <f t="shared" si="1"/>
        <v>8322280.2588428846</v>
      </c>
      <c r="G55" s="8">
        <v>-17484978386</v>
      </c>
      <c r="H55" s="2">
        <f t="shared" si="2"/>
        <v>19177.382381135179</v>
      </c>
    </row>
    <row r="56" spans="1:8">
      <c r="A56" s="1">
        <v>45474</v>
      </c>
      <c r="B56" s="3">
        <v>1159247788.9581399</v>
      </c>
      <c r="C56" s="3">
        <v>8941990710</v>
      </c>
      <c r="D56" s="8">
        <v>932.75</v>
      </c>
      <c r="E56">
        <f t="shared" si="0"/>
        <v>1242827.9699363601</v>
      </c>
      <c r="F56">
        <f t="shared" si="1"/>
        <v>9586696.0171535779</v>
      </c>
      <c r="G56" s="8">
        <v>-17937111126</v>
      </c>
      <c r="H56" s="2">
        <f t="shared" si="2"/>
        <v>19230.352319485391</v>
      </c>
    </row>
    <row r="57" spans="1:8">
      <c r="A57" s="1">
        <v>45505</v>
      </c>
      <c r="B57" s="3">
        <v>795953757.33887994</v>
      </c>
      <c r="C57" s="3">
        <v>9039337888</v>
      </c>
      <c r="D57" s="8">
        <v>952.83330000000001</v>
      </c>
      <c r="E57">
        <f t="shared" si="0"/>
        <v>835354.68096977717</v>
      </c>
      <c r="F57">
        <f t="shared" si="1"/>
        <v>9486798.8849676009</v>
      </c>
      <c r="G57" s="8">
        <v>-18621380627</v>
      </c>
      <c r="H57" s="2">
        <f t="shared" si="2"/>
        <v>19543.167337875366</v>
      </c>
    </row>
    <row r="58" spans="1:8">
      <c r="A58" s="1">
        <v>45536</v>
      </c>
      <c r="B58" s="3">
        <v>1540884219.8592198</v>
      </c>
      <c r="C58" s="3">
        <v>10344453846</v>
      </c>
      <c r="D58" s="8">
        <v>970.91669999999999</v>
      </c>
      <c r="E58">
        <f t="shared" si="0"/>
        <v>1587040.5976735386</v>
      </c>
      <c r="F58">
        <f t="shared" si="1"/>
        <v>10654316.52993506</v>
      </c>
      <c r="G58" s="8">
        <v>-19204084771</v>
      </c>
      <c r="H58" s="2">
        <f t="shared" si="2"/>
        <v>19779.333047829954</v>
      </c>
    </row>
    <row r="59" spans="1:8">
      <c r="A59" s="1">
        <v>45566</v>
      </c>
      <c r="B59" s="3">
        <v>1264155313.35919</v>
      </c>
      <c r="C59" s="3">
        <v>12450855362</v>
      </c>
      <c r="D59" s="8">
        <v>990.75</v>
      </c>
      <c r="E59">
        <f t="shared" si="0"/>
        <v>1275957.9241576483</v>
      </c>
      <c r="F59">
        <f t="shared" si="1"/>
        <v>12567101.046681806</v>
      </c>
      <c r="G59" s="8">
        <v>-19347818824</v>
      </c>
      <c r="H59" s="2">
        <f t="shared" si="2"/>
        <v>19528.457051728488</v>
      </c>
    </row>
    <row r="60" spans="1:8">
      <c r="A60" s="1">
        <v>45597</v>
      </c>
      <c r="B60" s="3">
        <v>3602086501.0905299</v>
      </c>
      <c r="C60" s="3">
        <v>13722835963</v>
      </c>
      <c r="D60" s="8">
        <v>1011.75</v>
      </c>
      <c r="E60">
        <f t="shared" si="0"/>
        <v>3560253.5222046254</v>
      </c>
      <c r="F60">
        <f t="shared" si="1"/>
        <v>13563465.246355325</v>
      </c>
      <c r="G60" s="8">
        <v>-19380981932</v>
      </c>
      <c r="H60" s="2">
        <f t="shared" si="2"/>
        <v>19155.900105757351</v>
      </c>
    </row>
    <row r="61" spans="1:8">
      <c r="A61" s="1">
        <v>45627</v>
      </c>
      <c r="B61" s="3">
        <v>6189529439.2326403</v>
      </c>
      <c r="C61" s="3">
        <v>12655121080</v>
      </c>
      <c r="D61" s="8">
        <v>1032.5</v>
      </c>
      <c r="E61">
        <f t="shared" si="0"/>
        <v>5994701.6360606682</v>
      </c>
      <c r="F61">
        <f t="shared" si="1"/>
        <v>12256775.864406779</v>
      </c>
      <c r="G61" s="8">
        <v>-19617869753</v>
      </c>
      <c r="H61" s="2">
        <f t="shared" si="2"/>
        <v>19000.358114285715</v>
      </c>
    </row>
    <row r="62" spans="1:8">
      <c r="A62" s="1">
        <v>45658</v>
      </c>
      <c r="B62" s="3">
        <v>3356534397.2682099</v>
      </c>
      <c r="C62" s="3">
        <v>13532524154</v>
      </c>
      <c r="D62" s="8">
        <v>1053.5</v>
      </c>
      <c r="E62">
        <f t="shared" si="0"/>
        <v>3186079.1620960701</v>
      </c>
      <c r="F62">
        <f t="shared" si="1"/>
        <v>12845300.573327005</v>
      </c>
      <c r="G62" s="8">
        <v>-21216656323</v>
      </c>
      <c r="H62" s="2">
        <f t="shared" si="2"/>
        <v>20139.208659705742</v>
      </c>
    </row>
    <row r="63" spans="1:8">
      <c r="A63" s="1">
        <v>45689</v>
      </c>
      <c r="B63" s="3">
        <v>2937338690.3146801</v>
      </c>
      <c r="C63" s="3">
        <v>13222865246</v>
      </c>
      <c r="D63" s="8">
        <v>1064.375</v>
      </c>
      <c r="E63">
        <f t="shared" si="0"/>
        <v>2759684.0308299991</v>
      </c>
      <c r="F63">
        <f t="shared" si="1"/>
        <v>12423126.478919555</v>
      </c>
      <c r="G63" s="8">
        <v>-21334490010</v>
      </c>
      <c r="H63" s="2">
        <f t="shared" si="2"/>
        <v>20044.147983558425</v>
      </c>
    </row>
    <row r="64" spans="1:8">
      <c r="A64" s="1">
        <v>45717</v>
      </c>
      <c r="B64" s="3">
        <v>2095645940.2700701</v>
      </c>
      <c r="C64" s="3">
        <v>12256776714</v>
      </c>
      <c r="D64" s="8">
        <v>1073.875</v>
      </c>
      <c r="E64">
        <f t="shared" si="0"/>
        <v>1951480.3308300036</v>
      </c>
      <c r="F64">
        <f t="shared" si="1"/>
        <v>11413597.219415668</v>
      </c>
      <c r="G64" s="8">
        <v>-21627605139</v>
      </c>
      <c r="H64" s="2">
        <f t="shared" si="2"/>
        <v>20139.778967756956</v>
      </c>
    </row>
    <row r="65" spans="1:8">
      <c r="A65" s="1">
        <v>45748</v>
      </c>
      <c r="B65" s="3">
        <v>18104955461.783604</v>
      </c>
      <c r="C65" s="3">
        <v>16055481356</v>
      </c>
      <c r="D65" s="8">
        <v>1172</v>
      </c>
      <c r="E65">
        <f t="shared" si="0"/>
        <v>15447914.216538912</v>
      </c>
      <c r="F65">
        <f t="shared" si="1"/>
        <v>13699216.174061434</v>
      </c>
      <c r="G65" s="8">
        <v>-23601983312</v>
      </c>
      <c r="H65" s="2">
        <f t="shared" si="2"/>
        <v>20138.211017064845</v>
      </c>
    </row>
    <row r="66" spans="1:8">
      <c r="A66" s="1">
        <v>45778</v>
      </c>
      <c r="B66" s="3">
        <v>3666728825.6510997</v>
      </c>
      <c r="C66" s="3">
        <v>14257299126</v>
      </c>
      <c r="D66" s="8">
        <v>1195.33</v>
      </c>
      <c r="E66">
        <f t="shared" si="0"/>
        <v>3067545.2181833466</v>
      </c>
      <c r="F66">
        <f t="shared" si="1"/>
        <v>11927500.460960573</v>
      </c>
      <c r="G66" s="8">
        <v>-24263323980</v>
      </c>
      <c r="H66" s="2">
        <f t="shared" si="2"/>
        <v>20298.431378782429</v>
      </c>
    </row>
    <row r="67" spans="1:8">
      <c r="A67" s="1">
        <v>45809</v>
      </c>
      <c r="B67" s="3">
        <v>5588038328.8614292</v>
      </c>
      <c r="C67" s="3">
        <v>13737984886</v>
      </c>
      <c r="D67" s="8">
        <v>1194.0833</v>
      </c>
      <c r="E67">
        <f t="shared" ref="E67:E85" si="3">+B67/D67</f>
        <v>4679772.6162499962</v>
      </c>
      <c r="F67">
        <f t="shared" ref="F67:F85" si="4">+C67/D67</f>
        <v>11505047.33296245</v>
      </c>
      <c r="G67" s="8">
        <v>-26767080944</v>
      </c>
      <c r="H67" s="2">
        <f t="shared" ref="H67:H85" si="5">+-G67/(D67*1000)</f>
        <v>22416.426847272716</v>
      </c>
    </row>
    <row r="68" spans="1:8">
      <c r="A68" s="1">
        <v>45839</v>
      </c>
      <c r="B68" s="3">
        <v>3660591723.8559504</v>
      </c>
      <c r="C68" s="3">
        <v>16917145820</v>
      </c>
      <c r="D68" s="8">
        <v>1351.8333</v>
      </c>
      <c r="E68">
        <f t="shared" si="3"/>
        <v>2707872.1347195324</v>
      </c>
      <c r="F68">
        <f t="shared" si="4"/>
        <v>12514224.808635799</v>
      </c>
      <c r="G68" s="8">
        <v>-30118504542</v>
      </c>
      <c r="H68" s="2">
        <f t="shared" si="5"/>
        <v>22279.747467383735</v>
      </c>
    </row>
    <row r="69" spans="1:8">
      <c r="A69" s="1">
        <v>45870</v>
      </c>
      <c r="B69" s="3">
        <v>2231611534.9542098</v>
      </c>
      <c r="C69" s="3">
        <v>16320310578</v>
      </c>
      <c r="D69" s="8">
        <v>1323.8333</v>
      </c>
      <c r="E69">
        <f t="shared" si="3"/>
        <v>1685719.4443999934</v>
      </c>
      <c r="F69">
        <f t="shared" si="4"/>
        <v>12328070.745765347</v>
      </c>
      <c r="G69" s="8">
        <v>-29738133453</v>
      </c>
      <c r="H69" s="2">
        <f t="shared" si="5"/>
        <v>22463.654187426771</v>
      </c>
    </row>
    <row r="70" spans="1:8">
      <c r="A70" s="1">
        <v>45901</v>
      </c>
      <c r="B70" s="3">
        <v>3180587804.3659101</v>
      </c>
      <c r="C70" s="3">
        <v>17466352469</v>
      </c>
      <c r="D70" s="8">
        <v>1366.5833</v>
      </c>
      <c r="E70">
        <f t="shared" si="3"/>
        <v>2327401.3405299992</v>
      </c>
      <c r="F70">
        <f t="shared" si="4"/>
        <v>12781037.547436735</v>
      </c>
      <c r="G70" s="8">
        <v>-30797118125</v>
      </c>
      <c r="H70" s="2">
        <f t="shared" si="5"/>
        <v>22535.851363762456</v>
      </c>
    </row>
    <row r="71" spans="1:8">
      <c r="A71" s="1">
        <v>45931</v>
      </c>
      <c r="B71" s="3">
        <v>132674755.84999999</v>
      </c>
      <c r="C71" s="3">
        <v>20272509678</v>
      </c>
      <c r="D71" s="8">
        <v>1443</v>
      </c>
      <c r="E71">
        <f t="shared" si="3"/>
        <v>91943.697747747749</v>
      </c>
      <c r="F71">
        <f t="shared" si="4"/>
        <v>14048863.255717255</v>
      </c>
      <c r="G71" s="8">
        <v>-32468820360</v>
      </c>
      <c r="H71" s="2">
        <f t="shared" si="5"/>
        <v>22500.915010395009</v>
      </c>
    </row>
    <row r="72" spans="1:8">
      <c r="A72" s="1">
        <v>45962</v>
      </c>
      <c r="B72" s="3">
        <v>308358184.73521996</v>
      </c>
      <c r="C72" s="3">
        <v>23190625070</v>
      </c>
      <c r="D72" s="8">
        <v>1450.75</v>
      </c>
      <c r="E72">
        <f t="shared" si="3"/>
        <v>212550.87695000513</v>
      </c>
      <c r="F72">
        <f t="shared" si="4"/>
        <v>15985266.289850077</v>
      </c>
      <c r="G72" s="8">
        <v>-32797173611</v>
      </c>
      <c r="H72" s="2">
        <f t="shared" si="5"/>
        <v>22607.047121144235</v>
      </c>
    </row>
    <row r="73" spans="1:8">
      <c r="A73" s="1">
        <v>45992</v>
      </c>
      <c r="B73" s="3">
        <v>2874845876.1723704</v>
      </c>
      <c r="C73" s="3">
        <v>21987630788</v>
      </c>
      <c r="D73" s="8">
        <v>1459.4167</v>
      </c>
      <c r="E73">
        <f t="shared" si="3"/>
        <v>1969859.51728</v>
      </c>
      <c r="F73">
        <f t="shared" si="4"/>
        <v>15066040.280339399</v>
      </c>
      <c r="G73" s="8">
        <v>-37044056094</v>
      </c>
      <c r="H73" s="2">
        <f t="shared" si="5"/>
        <v>25382.782103288253</v>
      </c>
    </row>
    <row r="74" spans="1:8">
      <c r="A74" s="1">
        <v>46023</v>
      </c>
      <c r="B74" s="3">
        <f>+[1]B.C.R.A.!$AD1146</f>
        <v>761825004.98491001</v>
      </c>
      <c r="C74" s="3">
        <f>+[1]B.C.R.A.!$AH1146</f>
        <v>24998687967</v>
      </c>
      <c r="D74" s="8">
        <f>+[1]B.C.R.A.!$AQ1146</f>
        <v>1447.6657</v>
      </c>
      <c r="E74">
        <f t="shared" si="3"/>
        <v>526243.73498999805</v>
      </c>
      <c r="F74">
        <f t="shared" si="4"/>
        <v>17268273.99930799</v>
      </c>
      <c r="G74" s="8">
        <f>+[1]B.C.R.A.!$L1146</f>
        <v>-41152534525</v>
      </c>
      <c r="H74" s="2">
        <f>+-G74/(D74*1000)</f>
        <v>28426.821554865881</v>
      </c>
    </row>
    <row r="75" spans="1:8">
      <c r="A75" s="1">
        <v>46054</v>
      </c>
      <c r="B75" s="7">
        <f>+[1]B.C.R.A.!$AD1147</f>
        <v>750684127.72127998</v>
      </c>
      <c r="C75" s="7">
        <f>+[1]B.C.R.A.!$AH1147</f>
        <v>23925899640</v>
      </c>
      <c r="D75" s="8">
        <f>+[1]B.C.R.A.!$AQ1147</f>
        <v>1408.9662000000001</v>
      </c>
      <c r="E75">
        <f t="shared" si="3"/>
        <v>532790.72821000242</v>
      </c>
      <c r="F75">
        <f t="shared" si="4"/>
        <v>16981173.600899722</v>
      </c>
      <c r="G75" s="8">
        <f>+[1]B.C.R.A.!$L1147</f>
        <v>-39961109838</v>
      </c>
      <c r="H75" s="2">
        <f t="shared" si="5"/>
        <v>28362.007433535309</v>
      </c>
    </row>
    <row r="76" spans="1:8">
      <c r="A76" s="1">
        <v>46082</v>
      </c>
      <c r="B76" s="7">
        <f>+[2]Serie_diaria!$AG$87*1000</f>
        <v>615900291.97823</v>
      </c>
      <c r="C76" s="7">
        <f>+[2]Serie_diaria!$O$87*1000</f>
        <v>23019231000</v>
      </c>
      <c r="D76" s="8">
        <f>+[2]Serie_diaria!$AI$87</f>
        <v>1391.6886999999999</v>
      </c>
      <c r="E76">
        <f t="shared" si="3"/>
        <v>442556.07735999441</v>
      </c>
      <c r="F76">
        <f t="shared" si="4"/>
        <v>16540502.915630486</v>
      </c>
      <c r="G76" s="8">
        <v>-33804965048</v>
      </c>
      <c r="H76" s="2">
        <f t="shared" si="5"/>
        <v>24290.608271806763</v>
      </c>
    </row>
    <row r="77" spans="1:8">
      <c r="A77" s="1">
        <v>46113</v>
      </c>
      <c r="B77" s="7" t="str">
        <f>+[1]B.C.R.A.!$AD1149</f>
        <v/>
      </c>
      <c r="C77" s="7" t="str">
        <f>+[1]B.C.R.A.!$AH1149</f>
        <v/>
      </c>
      <c r="D77" s="8">
        <f>+[1]B.C.R.A.!$AQ1149</f>
        <v>0</v>
      </c>
      <c r="E77" t="e">
        <f t="shared" si="3"/>
        <v>#VALUE!</v>
      </c>
      <c r="F77" t="e">
        <f t="shared" si="4"/>
        <v>#VALUE!</v>
      </c>
      <c r="G77" s="8" t="str">
        <f>+[1]B.C.R.A.!$L1149</f>
        <v/>
      </c>
      <c r="H77" s="2" t="e">
        <f t="shared" si="5"/>
        <v>#VALUE!</v>
      </c>
    </row>
    <row r="78" spans="1:8">
      <c r="A78" s="1">
        <v>46143</v>
      </c>
      <c r="B78" s="7" t="str">
        <f>+[1]B.C.R.A.!$AD1150</f>
        <v/>
      </c>
      <c r="C78" s="7" t="str">
        <f>+[1]B.C.R.A.!$AH1150</f>
        <v/>
      </c>
      <c r="D78" s="8">
        <f>+[1]B.C.R.A.!$AQ1150</f>
        <v>0</v>
      </c>
      <c r="E78" t="e">
        <f t="shared" si="3"/>
        <v>#VALUE!</v>
      </c>
      <c r="F78" t="e">
        <f t="shared" si="4"/>
        <v>#VALUE!</v>
      </c>
      <c r="G78" s="8" t="str">
        <f>+[1]B.C.R.A.!$L1150</f>
        <v/>
      </c>
      <c r="H78" s="2" t="e">
        <f t="shared" si="5"/>
        <v>#VALUE!</v>
      </c>
    </row>
    <row r="79" spans="1:8">
      <c r="A79" s="1">
        <v>46174</v>
      </c>
      <c r="B79" s="7" t="str">
        <f>+[1]B.C.R.A.!$AD1151</f>
        <v/>
      </c>
      <c r="C79" s="7" t="str">
        <f>+[1]B.C.R.A.!$AH1151</f>
        <v/>
      </c>
      <c r="D79" s="8">
        <f>+[1]B.C.R.A.!$AQ1151</f>
        <v>0</v>
      </c>
      <c r="E79" t="e">
        <f t="shared" si="3"/>
        <v>#VALUE!</v>
      </c>
      <c r="F79" t="e">
        <f t="shared" si="4"/>
        <v>#VALUE!</v>
      </c>
      <c r="G79" s="8" t="str">
        <f>+[1]B.C.R.A.!$L1151</f>
        <v/>
      </c>
      <c r="H79" s="2" t="e">
        <f t="shared" si="5"/>
        <v>#VALUE!</v>
      </c>
    </row>
    <row r="80" spans="1:8">
      <c r="A80" s="1">
        <v>46204</v>
      </c>
      <c r="B80" s="7" t="str">
        <f>+[1]B.C.R.A.!$AD1152</f>
        <v/>
      </c>
      <c r="C80" s="7" t="str">
        <f>+[1]B.C.R.A.!$AH1152</f>
        <v/>
      </c>
      <c r="D80" s="8">
        <f>+[1]B.C.R.A.!$AQ1152</f>
        <v>0</v>
      </c>
      <c r="E80" t="e">
        <f t="shared" si="3"/>
        <v>#VALUE!</v>
      </c>
      <c r="F80" t="e">
        <f t="shared" si="4"/>
        <v>#VALUE!</v>
      </c>
      <c r="G80" s="8" t="str">
        <f>+[1]B.C.R.A.!$L1152</f>
        <v/>
      </c>
      <c r="H80" s="2" t="e">
        <f t="shared" si="5"/>
        <v>#VALUE!</v>
      </c>
    </row>
    <row r="81" spans="1:8">
      <c r="A81" s="1">
        <v>46235</v>
      </c>
      <c r="B81" s="7" t="str">
        <f>+[1]B.C.R.A.!$AD1153</f>
        <v/>
      </c>
      <c r="C81" s="7" t="str">
        <f>+[1]B.C.R.A.!$AH1153</f>
        <v/>
      </c>
      <c r="D81" s="8">
        <f>+[1]B.C.R.A.!$AQ1153</f>
        <v>0</v>
      </c>
      <c r="E81" t="e">
        <f t="shared" si="3"/>
        <v>#VALUE!</v>
      </c>
      <c r="F81" t="e">
        <f t="shared" si="4"/>
        <v>#VALUE!</v>
      </c>
      <c r="G81" s="8" t="str">
        <f>+[1]B.C.R.A.!$L1153</f>
        <v/>
      </c>
      <c r="H81" s="2" t="e">
        <f t="shared" si="5"/>
        <v>#VALUE!</v>
      </c>
    </row>
    <row r="82" spans="1:8">
      <c r="A82" s="1">
        <v>46266</v>
      </c>
      <c r="B82" s="7" t="str">
        <f>+[1]B.C.R.A.!$AD1154</f>
        <v/>
      </c>
      <c r="C82" s="7" t="str">
        <f>+[1]B.C.R.A.!$AH1154</f>
        <v/>
      </c>
      <c r="D82" s="8">
        <f>+[1]B.C.R.A.!$AQ1154</f>
        <v>0</v>
      </c>
      <c r="E82" t="e">
        <f t="shared" si="3"/>
        <v>#VALUE!</v>
      </c>
      <c r="F82" t="e">
        <f t="shared" si="4"/>
        <v>#VALUE!</v>
      </c>
      <c r="G82" s="8" t="str">
        <f>+[1]B.C.R.A.!$L1154</f>
        <v/>
      </c>
      <c r="H82" s="2" t="e">
        <f t="shared" si="5"/>
        <v>#VALUE!</v>
      </c>
    </row>
    <row r="83" spans="1:8">
      <c r="A83" s="1">
        <v>46296</v>
      </c>
      <c r="B83" s="7" t="str">
        <f>+[1]B.C.R.A.!$AD1155</f>
        <v/>
      </c>
      <c r="C83" s="7" t="str">
        <f>+[1]B.C.R.A.!$AH1155</f>
        <v/>
      </c>
      <c r="D83" s="8">
        <f>+[1]B.C.R.A.!$AQ1155</f>
        <v>0</v>
      </c>
      <c r="E83" t="e">
        <f t="shared" si="3"/>
        <v>#VALUE!</v>
      </c>
      <c r="F83" t="e">
        <f t="shared" si="4"/>
        <v>#VALUE!</v>
      </c>
      <c r="G83" s="8" t="str">
        <f>+[1]B.C.R.A.!$L1155</f>
        <v/>
      </c>
      <c r="H83" s="2" t="e">
        <f t="shared" si="5"/>
        <v>#VALUE!</v>
      </c>
    </row>
    <row r="84" spans="1:8">
      <c r="A84" s="1">
        <v>46327</v>
      </c>
      <c r="B84" s="7" t="str">
        <f>+[1]B.C.R.A.!$AD1156</f>
        <v/>
      </c>
      <c r="C84" s="7" t="str">
        <f>+[1]B.C.R.A.!$AH1156</f>
        <v/>
      </c>
      <c r="D84" s="8">
        <f>+[1]B.C.R.A.!$AQ1156</f>
        <v>0</v>
      </c>
      <c r="E84" t="e">
        <f t="shared" si="3"/>
        <v>#VALUE!</v>
      </c>
      <c r="F84" t="e">
        <f t="shared" si="4"/>
        <v>#VALUE!</v>
      </c>
      <c r="G84" s="8" t="str">
        <f>+[1]B.C.R.A.!$L1156</f>
        <v/>
      </c>
      <c r="H84" s="2" t="e">
        <f t="shared" si="5"/>
        <v>#VALUE!</v>
      </c>
    </row>
    <row r="85" spans="1:8">
      <c r="A85" s="1">
        <v>46357</v>
      </c>
      <c r="B85" s="7" t="str">
        <f>+[1]B.C.R.A.!$AD1157</f>
        <v/>
      </c>
      <c r="C85" s="7" t="str">
        <f>+[1]B.C.R.A.!$AH1157</f>
        <v/>
      </c>
      <c r="D85" s="8">
        <f>+[1]B.C.R.A.!$AQ1157</f>
        <v>0</v>
      </c>
      <c r="E85" t="e">
        <f t="shared" si="3"/>
        <v>#VALUE!</v>
      </c>
      <c r="F85" t="e">
        <f t="shared" si="4"/>
        <v>#VALUE!</v>
      </c>
      <c r="G85" s="8" t="str">
        <f>+[1]B.C.R.A.!$L1157</f>
        <v/>
      </c>
      <c r="H85" s="2" t="e">
        <f t="shared" si="5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deuMult</vt:lpstr>
      <vt:lpstr>bopreal_1</vt:lpstr>
      <vt:lpstr>bopreal_2</vt:lpstr>
      <vt:lpstr>bopreal_3</vt:lpstr>
      <vt:lpstr>Hoja1</vt:lpstr>
      <vt:lpstr>bopreal_4</vt:lpstr>
      <vt:lpstr>dep y encajes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2026-02-25T03:00:34Z</dcterms:created>
  <dcterms:modified xsi:type="dcterms:W3CDTF">2026-04-09T15:16:12Z</dcterms:modified>
</cp:coreProperties>
</file>