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GitHub\VJaroszewski-econ\codigos\Codigos_resNet\Financiamiento del tesoro\"/>
    </mc:Choice>
  </mc:AlternateContent>
  <xr:revisionPtr revIDLastSave="0" documentId="13_ncr:1_{DBAB5FEE-FF32-4ADC-A5D6-15EA1FFC0E9A}" xr6:coauthVersionLast="45" xr6:coauthVersionMax="45" xr10:uidLastSave="{00000000-0000-0000-0000-000000000000}"/>
  <bookViews>
    <workbookView xWindow="-120" yWindow="-120" windowWidth="20730" windowHeight="11160" activeTab="4" xr2:uid="{64363527-EA6E-4A18-9A9E-B495110A4B20}"/>
  </bookViews>
  <sheets>
    <sheet name="Hoja1" sheetId="1" r:id="rId1"/>
    <sheet name="Hoja2" sheetId="2" r:id="rId2"/>
    <sheet name="Hoja5" sheetId="5" r:id="rId3"/>
    <sheet name="Hoja4" sheetId="4" r:id="rId4"/>
    <sheet name="Hoja3" sheetId="3" r:id="rId5"/>
    <sheet name="Hoja6" sheetId="6" r:id="rId6"/>
  </sheets>
  <externalReferences>
    <externalReference r:id="rId7"/>
    <externalReference r:id="rId8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4" i="1" l="1"/>
  <c r="H12" i="1"/>
  <c r="H13" i="1"/>
  <c r="H11" i="1"/>
  <c r="H9" i="1"/>
  <c r="H10" i="1"/>
  <c r="H8" i="1"/>
  <c r="H6" i="1"/>
  <c r="H7" i="1"/>
  <c r="H5" i="1"/>
  <c r="H3" i="1"/>
  <c r="H4" i="1"/>
  <c r="H2" i="1"/>
  <c r="F12" i="1"/>
  <c r="F13" i="1"/>
  <c r="F11" i="1"/>
  <c r="E9" i="1"/>
  <c r="F9" i="1"/>
  <c r="F8" i="1"/>
  <c r="E6" i="1"/>
  <c r="F6" i="1"/>
  <c r="E7" i="1"/>
  <c r="F7" i="1"/>
  <c r="F5" i="1"/>
  <c r="F2" i="1"/>
  <c r="F3" i="1"/>
  <c r="F4" i="1"/>
  <c r="E2" i="1"/>
  <c r="B11" i="1"/>
  <c r="B8" i="1"/>
  <c r="B5" i="1"/>
  <c r="B2" i="1"/>
  <c r="E12" i="1"/>
  <c r="E13" i="1"/>
  <c r="E11" i="1"/>
  <c r="E8" i="1"/>
  <c r="E5" i="1"/>
  <c r="E3" i="1"/>
  <c r="E4" i="1"/>
  <c r="B14" i="1"/>
  <c r="G14" i="1"/>
  <c r="O17" i="1"/>
  <c r="O11" i="1"/>
  <c r="O8" i="1"/>
  <c r="O14" i="1"/>
  <c r="O5" i="1"/>
  <c r="P14" i="1" l="1"/>
  <c r="Q14" i="1" s="1"/>
  <c r="O12" i="1" s="1"/>
  <c r="O13" i="1" s="1"/>
  <c r="P11" i="1"/>
  <c r="Q11" i="1" s="1"/>
  <c r="O9" i="1" s="1"/>
  <c r="O10" i="1" s="1"/>
  <c r="P17" i="1"/>
  <c r="Q17" i="1" s="1"/>
  <c r="O15" i="1" s="1"/>
  <c r="O16" i="1" s="1"/>
  <c r="P8" i="1"/>
  <c r="Q8" i="1" s="1"/>
  <c r="O6" i="1" s="1"/>
  <c r="O7" i="1" s="1"/>
  <c r="G13" i="1" l="1"/>
  <c r="G12" i="1"/>
  <c r="G11" i="1"/>
  <c r="G10" i="1"/>
  <c r="G9" i="1"/>
  <c r="G8" i="1"/>
  <c r="G7" i="1"/>
  <c r="G6" i="1"/>
  <c r="G5" i="1"/>
  <c r="G4" i="1"/>
  <c r="G3" i="1"/>
  <c r="G2" i="1"/>
  <c r="D245" i="2"/>
  <c r="B245" i="2"/>
  <c r="E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" i="2"/>
  <c r="C245" i="2"/>
  <c r="B6" i="1"/>
  <c r="R8" i="1"/>
  <c r="R9" i="1" s="1"/>
  <c r="T8" i="1"/>
  <c r="D13" i="1"/>
  <c r="C13" i="1"/>
  <c r="D10" i="1"/>
  <c r="C10" i="1"/>
  <c r="E10" i="1" s="1"/>
  <c r="E14" i="1" s="1"/>
  <c r="D14" i="1" l="1"/>
  <c r="F10" i="1"/>
  <c r="F14" i="1" s="1"/>
  <c r="C14" i="1"/>
  <c r="B3" i="1"/>
  <c r="B9" i="1"/>
  <c r="B12" i="1"/>
  <c r="B13" i="1" s="1"/>
  <c r="B7" i="1"/>
  <c r="B10" i="1" l="1"/>
  <c r="B4" i="1"/>
</calcChain>
</file>

<file path=xl/sharedStrings.xml><?xml version="1.0" encoding="utf-8"?>
<sst xmlns="http://schemas.openxmlformats.org/spreadsheetml/2006/main" count="53" uniqueCount="43">
  <si>
    <t>PIB</t>
  </si>
  <si>
    <t>SP primario</t>
  </si>
  <si>
    <t>SP fiscal</t>
  </si>
  <si>
    <t>1--23</t>
  </si>
  <si>
    <t>2--23</t>
  </si>
  <si>
    <t>3--23</t>
  </si>
  <si>
    <t>4--23</t>
  </si>
  <si>
    <t>tot--23</t>
  </si>
  <si>
    <t>1--24</t>
  </si>
  <si>
    <t>2--24</t>
  </si>
  <si>
    <t>3--24</t>
  </si>
  <si>
    <t>4--24</t>
  </si>
  <si>
    <t>tot--24</t>
  </si>
  <si>
    <t>1--22</t>
  </si>
  <si>
    <t>2--22</t>
  </si>
  <si>
    <t>3--22</t>
  </si>
  <si>
    <t>4--22</t>
  </si>
  <si>
    <t>tot--22</t>
  </si>
  <si>
    <t>pib 2023</t>
  </si>
  <si>
    <t>Primario PIB</t>
  </si>
  <si>
    <t>Financiero PIB</t>
  </si>
  <si>
    <t>Datos Oficiales</t>
  </si>
  <si>
    <t>fecha</t>
  </si>
  <si>
    <t>adelantos</t>
  </si>
  <si>
    <t>transf de utilidades</t>
  </si>
  <si>
    <t>Financiamiento del BCRA</t>
  </si>
  <si>
    <t>transf bcra / pib</t>
  </si>
  <si>
    <t>tc</t>
  </si>
  <si>
    <t>LEBAC y NOBAC</t>
  </si>
  <si>
    <t>Rescate de Cuasimonedas</t>
  </si>
  <si>
    <t>Operaciones con LEFI</t>
  </si>
  <si>
    <t>Otros</t>
  </si>
  <si>
    <t>LELIQ y NOTALIQ</t>
  </si>
  <si>
    <t>Redescuentos y Adelantos</t>
  </si>
  <si>
    <t>base monetaria saldo</t>
  </si>
  <si>
    <t>var base mone</t>
  </si>
  <si>
    <t>Compra neta devisas priv</t>
  </si>
  <si>
    <t>Compra neta devisas tesoro</t>
  </si>
  <si>
    <t>transf utilidades</t>
  </si>
  <si>
    <t>resto tesoro</t>
  </si>
  <si>
    <t>pases</t>
  </si>
  <si>
    <t>intereses y remuneracion</t>
  </si>
  <si>
    <t>adelantos transitorios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</si>
</sst>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0.000%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3" fillId="4" borderId="0"/>
    <xf numFmtId="0" fontId="2" fillId="0" borderId="0"/>
  </cellStyleXfs>
  <cellXfs count="19">
    <xf numFmtId="0" fontId="0" fillId="0" borderId="0" xfId="0"/>
    <xf numFmtId="0" fontId="2" fillId="0" borderId="0" xfId="0" applyFont="1"/>
    <xf numFmtId="17" fontId="0" fillId="0" borderId="0" xfId="0" applyNumberFormat="1"/>
    <xf numFmtId="4" fontId="0" fillId="0" borderId="0" xfId="0" applyNumberFormat="1"/>
    <xf numFmtId="44" fontId="0" fillId="0" borderId="0" xfId="1" applyFont="1"/>
    <xf numFmtId="44" fontId="2" fillId="0" borderId="0" xfId="1" applyFont="1"/>
    <xf numFmtId="10" fontId="0" fillId="0" borderId="0" xfId="2" applyNumberFormat="1" applyFont="1"/>
    <xf numFmtId="10" fontId="0" fillId="0" borderId="0" xfId="0" applyNumberFormat="1"/>
    <xf numFmtId="10" fontId="0" fillId="2" borderId="0" xfId="0" applyNumberFormat="1" applyFill="1"/>
    <xf numFmtId="0" fontId="0" fillId="2" borderId="0" xfId="0" applyFill="1"/>
    <xf numFmtId="14" fontId="0" fillId="0" borderId="0" xfId="0" applyNumberFormat="1"/>
    <xf numFmtId="44" fontId="0" fillId="0" borderId="0" xfId="0" applyNumberFormat="1"/>
    <xf numFmtId="164" fontId="0" fillId="0" borderId="0" xfId="2" applyNumberFormat="1" applyFont="1"/>
    <xf numFmtId="10" fontId="0" fillId="3" borderId="0" xfId="2" applyNumberFormat="1" applyFont="1" applyFill="1"/>
    <xf numFmtId="2" fontId="0" fillId="0" borderId="0" xfId="0" applyNumberFormat="1"/>
    <xf numFmtId="9" fontId="0" fillId="0" borderId="0" xfId="2" applyNumberFormat="1" applyFont="1"/>
    <xf numFmtId="4" fontId="0" fillId="3" borderId="0" xfId="0" applyNumberFormat="1" applyFill="1"/>
    <xf numFmtId="44" fontId="0" fillId="0" borderId="0" xfId="1" applyNumberFormat="1" applyFont="1"/>
    <xf numFmtId="2" fontId="0" fillId="0" borderId="0" xfId="2" applyNumberFormat="1" applyFont="1"/>
  </cellXfs>
  <cellStyles count="6">
    <cellStyle name="Moneda" xfId="1" builtinId="4"/>
    <cellStyle name="Normal" xfId="0" builtinId="0"/>
    <cellStyle name="Normal 166 2" xfId="5" xr:uid="{476B4A55-1087-40AB-93E2-ED6540DE498B}"/>
    <cellStyle name="Normal 3" xfId="3" xr:uid="{ABC1BE72-5A07-4C7E-AA16-5D0E18AA33EC}"/>
    <cellStyle name="Normal 5 2" xfId="4" xr:uid="{232BBE7E-A80D-4A9D-AA24-691750073998}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eptiembre-2023_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/Downloads/diciembre-2023_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ptiembre - AIF"/>
      <sheetName val="Septiembre - IMIG"/>
    </sheetNames>
    <sheetDataSet>
      <sheetData sheetId="0">
        <row r="70">
          <cell r="J70">
            <v>-380473.39999999997</v>
          </cell>
        </row>
        <row r="71">
          <cell r="J71">
            <v>-511532.70000000019</v>
          </cell>
        </row>
      </sheetData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rMensual"/>
      <sheetName val="Diciembre AI"/>
      <sheetName val="Imig "/>
      <sheetName val="SALIDA PRENSA ENERO"/>
    </sheetNames>
    <sheetDataSet>
      <sheetData sheetId="0" refreshError="1"/>
      <sheetData sheetId="1" refreshError="1">
        <row r="70">
          <cell r="J70">
            <v>-1991316.1000000006</v>
          </cell>
        </row>
        <row r="71">
          <cell r="J71">
            <v>-2400352.9000000008</v>
          </cell>
        </row>
      </sheetData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149A1-15D6-4315-B436-84B6E2084736}">
  <dimension ref="A1:T17"/>
  <sheetViews>
    <sheetView workbookViewId="0">
      <selection activeCell="F20" sqref="F20"/>
    </sheetView>
  </sheetViews>
  <sheetFormatPr baseColWidth="10" defaultRowHeight="15" x14ac:dyDescent="0.25"/>
  <cols>
    <col min="2" max="2" width="16.7109375" style="4" bestFit="1" customWidth="1"/>
    <col min="3" max="3" width="19.28515625" bestFit="1" customWidth="1"/>
    <col min="4" max="4" width="16.7109375" bestFit="1" customWidth="1"/>
    <col min="6" max="6" width="23.85546875" style="4" customWidth="1"/>
    <col min="7" max="7" width="14.85546875" bestFit="1" customWidth="1"/>
    <col min="8" max="8" width="11.42578125" style="4"/>
    <col min="12" max="12" width="13.7109375" style="3" bestFit="1" customWidth="1"/>
    <col min="13" max="15" width="13.7109375" style="3" customWidth="1"/>
    <col min="16" max="16" width="15.5703125" bestFit="1" customWidth="1"/>
    <col min="18" max="18" width="16.7109375" bestFit="1" customWidth="1"/>
  </cols>
  <sheetData>
    <row r="1" spans="1:20" x14ac:dyDescent="0.25">
      <c r="B1" s="5" t="s">
        <v>0</v>
      </c>
      <c r="C1" s="1" t="s">
        <v>1</v>
      </c>
      <c r="D1" s="1" t="s">
        <v>2</v>
      </c>
      <c r="E1" t="s">
        <v>19</v>
      </c>
      <c r="F1" t="s">
        <v>20</v>
      </c>
      <c r="G1" s="4" t="s">
        <v>25</v>
      </c>
      <c r="H1" t="s">
        <v>26</v>
      </c>
      <c r="I1" s="4" t="s">
        <v>27</v>
      </c>
      <c r="L1"/>
      <c r="P1" s="3"/>
    </row>
    <row r="2" spans="1:20" x14ac:dyDescent="0.25">
      <c r="A2" s="2">
        <v>44927</v>
      </c>
      <c r="B2" s="4">
        <f>+M6</f>
        <v>120719556.7726799</v>
      </c>
      <c r="C2" s="4">
        <v>-203938</v>
      </c>
      <c r="D2" s="4">
        <v>-537969</v>
      </c>
      <c r="E2" s="6">
        <f>+C2/$M$6</f>
        <v>-1.6893534523492661E-3</v>
      </c>
      <c r="F2" s="6">
        <f>+D2/$M$6</f>
        <v>-4.4563533397742562E-3</v>
      </c>
      <c r="G2" s="4">
        <f>+SUMIF(Hoja2!D$2:D$244,1,Hoja2!B$2:B$244)+SUMIF(Hoja2!D$2:D$244,1,Hoja2!C$2:C$244)</f>
        <v>0</v>
      </c>
      <c r="H2" s="6">
        <f>+G2/M$6</f>
        <v>0</v>
      </c>
      <c r="I2" s="4">
        <v>186</v>
      </c>
      <c r="K2" s="6"/>
      <c r="L2" s="2" t="s">
        <v>13</v>
      </c>
      <c r="M2" s="3">
        <v>60345325.426595442</v>
      </c>
      <c r="P2" s="3"/>
    </row>
    <row r="3" spans="1:20" x14ac:dyDescent="0.25">
      <c r="A3" s="2">
        <v>44958</v>
      </c>
      <c r="B3" s="4">
        <f>+B2</f>
        <v>120719556.7726799</v>
      </c>
      <c r="C3" s="4">
        <v>-228134</v>
      </c>
      <c r="D3" s="4">
        <v>-485590</v>
      </c>
      <c r="E3" s="6">
        <f t="shared" ref="E3:E4" si="0">+C3/$M$6</f>
        <v>-1.8897849370801295E-3</v>
      </c>
      <c r="F3" s="6">
        <f t="shared" ref="F3:F4" si="1">+D3/$M$6</f>
        <v>-4.0224634100867913E-3</v>
      </c>
      <c r="G3" s="4">
        <f>+SUMIF(Hoja2!D$2:D$244,2,Hoja2!B$2:B$244)+SUMIF(Hoja2!D$2:D$244,2,Hoja2!C$2:C$244)</f>
        <v>0</v>
      </c>
      <c r="H3" s="6">
        <f t="shared" ref="H3:H4" si="2">+G3/M$6</f>
        <v>0</v>
      </c>
      <c r="I3" s="4">
        <v>197</v>
      </c>
      <c r="K3" s="6"/>
      <c r="L3" t="s">
        <v>14</v>
      </c>
      <c r="M3" s="3">
        <v>78676963.283240914</v>
      </c>
      <c r="P3" s="3"/>
    </row>
    <row r="4" spans="1:20" x14ac:dyDescent="0.25">
      <c r="A4" s="2">
        <v>44986</v>
      </c>
      <c r="B4" s="4">
        <f>+B3</f>
        <v>120719556.7726799</v>
      </c>
      <c r="C4" s="4">
        <v>-257855</v>
      </c>
      <c r="D4" s="4">
        <v>-388005</v>
      </c>
      <c r="E4" s="6">
        <f t="shared" si="0"/>
        <v>-2.1359836541278232E-3</v>
      </c>
      <c r="F4" s="6">
        <f t="shared" si="1"/>
        <v>-3.2141022579351419E-3</v>
      </c>
      <c r="G4" s="4">
        <f>+SUMIF(Hoja2!D$2:D$244,3,Hoja2!B$2:B$244)+SUMIF(Hoja2!D$2:D$244,3,Hoja2!C$2:C$244)</f>
        <v>130000</v>
      </c>
      <c r="H4" s="6">
        <f t="shared" si="2"/>
        <v>1.0768760545136491E-3</v>
      </c>
      <c r="I4" s="4">
        <v>208</v>
      </c>
      <c r="K4" s="6"/>
      <c r="L4" t="s">
        <v>15</v>
      </c>
      <c r="M4" s="3">
        <v>87863363.941944733</v>
      </c>
      <c r="P4" s="3"/>
    </row>
    <row r="5" spans="1:20" x14ac:dyDescent="0.25">
      <c r="A5" s="2">
        <v>45017</v>
      </c>
      <c r="B5" s="4">
        <f>+M7</f>
        <v>159215855.41502434</v>
      </c>
      <c r="C5" s="4">
        <v>-331372</v>
      </c>
      <c r="D5" s="4">
        <v>-407388</v>
      </c>
      <c r="E5" s="6">
        <f>+C5/$M$7</f>
        <v>-2.0812751288885154E-3</v>
      </c>
      <c r="F5" s="6">
        <f>+D5/$M$7</f>
        <v>-2.558715015775728E-3</v>
      </c>
      <c r="G5" s="4">
        <f>+SUMIF(Hoja2!D$2:D$244,4,Hoja2!B$2:B$244)+SUMIF(Hoja2!D$2:D$244,4,Hoja2!C$2:C$244)</f>
        <v>100000</v>
      </c>
      <c r="H5" s="6">
        <f>+G5/M$7</f>
        <v>6.2807815050412079E-4</v>
      </c>
      <c r="I5" s="4">
        <v>222</v>
      </c>
      <c r="K5" s="6"/>
      <c r="L5" t="s">
        <v>16</v>
      </c>
      <c r="M5" s="3">
        <v>104354529.22768565</v>
      </c>
      <c r="O5" s="3">
        <f>+M5</f>
        <v>104354529.22768565</v>
      </c>
      <c r="P5" s="3"/>
    </row>
    <row r="6" spans="1:20" x14ac:dyDescent="0.25">
      <c r="A6" s="2">
        <v>45047</v>
      </c>
      <c r="B6" s="4">
        <f>+B5</f>
        <v>159215855.41502434</v>
      </c>
      <c r="C6" s="4">
        <v>-247650</v>
      </c>
      <c r="D6" s="4">
        <v>-631071</v>
      </c>
      <c r="E6" s="6">
        <f t="shared" ref="E6:E7" si="3">+C6/$M$7</f>
        <v>-1.5554355397234554E-3</v>
      </c>
      <c r="F6" s="6">
        <f t="shared" ref="F6:F7" si="4">+D6/$M$7</f>
        <v>-3.9636190651678605E-3</v>
      </c>
      <c r="G6" s="4">
        <f>+SUMIF(Hoja2!D$2:D$244,5,Hoja2!B$2:B$244)+SUMIF(Hoja2!D$2:D$244,5,Hoja2!C$2:C$244)</f>
        <v>440000</v>
      </c>
      <c r="H6" s="6">
        <f t="shared" ref="H6:H7" si="5">+G6/M$7</f>
        <v>2.7635438622181318E-3</v>
      </c>
      <c r="I6" s="4">
        <v>239</v>
      </c>
      <c r="K6" s="6"/>
      <c r="L6" s="2" t="s">
        <v>3</v>
      </c>
      <c r="M6" s="16">
        <v>120719556.7726799</v>
      </c>
      <c r="N6" s="3">
        <v>1</v>
      </c>
      <c r="O6" s="3">
        <f>+O5*(1+Q$8)</f>
        <v>109546896.79729268</v>
      </c>
      <c r="P6" s="3"/>
      <c r="R6" s="4"/>
      <c r="S6" t="s">
        <v>17</v>
      </c>
      <c r="T6">
        <v>82810045.469866678</v>
      </c>
    </row>
    <row r="7" spans="1:20" x14ac:dyDescent="0.25">
      <c r="A7" s="2">
        <v>45078</v>
      </c>
      <c r="B7" s="4">
        <f>+B6</f>
        <v>159215855.41502434</v>
      </c>
      <c r="C7" s="4">
        <v>-611743</v>
      </c>
      <c r="D7" s="4">
        <v>-708603</v>
      </c>
      <c r="E7" s="6">
        <f t="shared" si="3"/>
        <v>-3.8422241202384238E-3</v>
      </c>
      <c r="F7" s="6">
        <f t="shared" si="4"/>
        <v>-4.4505806168167157E-3</v>
      </c>
      <c r="G7" s="4">
        <f>+SUMIF(Hoja2!D$2:D$244,6,Hoja2!B$2:B$244)+SUMIF(Hoja2!D$2:D$244,6,Hoja2!C$2:C$244)</f>
        <v>688000</v>
      </c>
      <c r="H7" s="6">
        <f t="shared" si="5"/>
        <v>4.3211776754683512E-3</v>
      </c>
      <c r="I7" s="4">
        <v>256</v>
      </c>
      <c r="K7" s="6"/>
      <c r="L7" t="s">
        <v>4</v>
      </c>
      <c r="M7" s="16">
        <v>159215855.41502434</v>
      </c>
      <c r="N7" s="3">
        <v>2</v>
      </c>
      <c r="O7" s="3">
        <f>+O6*(1+Q$8)</f>
        <v>114997620.96318202</v>
      </c>
      <c r="P7" s="3"/>
      <c r="S7" t="s">
        <v>7</v>
      </c>
      <c r="T7" s="4">
        <v>192408248.02878174</v>
      </c>
    </row>
    <row r="8" spans="1:20" x14ac:dyDescent="0.25">
      <c r="A8" s="2">
        <v>45108</v>
      </c>
      <c r="B8" s="4">
        <f>+M8</f>
        <v>206516399.84174532</v>
      </c>
      <c r="C8" s="4">
        <v>-334366</v>
      </c>
      <c r="D8" s="4">
        <v>-754243</v>
      </c>
      <c r="E8" s="6">
        <f>+C8/$M$8</f>
        <v>-1.6190772270687779E-3</v>
      </c>
      <c r="F8" s="6">
        <f>+D8/$M$8</f>
        <v>-3.6522184222559598E-3</v>
      </c>
      <c r="G8" s="4">
        <f>+SUMIF(Hoja2!D$2:D$244,7,Hoja2!B$2:B$244)+SUMIF(Hoja2!D$2:D$244,7,Hoja2!C$2:C$244)</f>
        <v>590000</v>
      </c>
      <c r="H8" s="6">
        <f>+G8/M$8</f>
        <v>2.8569159662482995E-3</v>
      </c>
      <c r="I8" s="4">
        <v>275</v>
      </c>
      <c r="K8" s="6"/>
      <c r="L8" t="s">
        <v>5</v>
      </c>
      <c r="M8" s="16">
        <v>206516399.84174532</v>
      </c>
      <c r="N8" s="3">
        <v>3</v>
      </c>
      <c r="O8" s="16">
        <f>+M6</f>
        <v>120719556.7726799</v>
      </c>
      <c r="P8" s="3">
        <f>+O8/O5-1</f>
        <v>0.15682144000945342</v>
      </c>
      <c r="Q8">
        <f t="shared" ref="Q8" si="6">+(POWER((1+P8),1/3)-1)</f>
        <v>4.9756992897529884E-2</v>
      </c>
      <c r="R8" s="3">
        <f>+SUM(M6:M9)</f>
        <v>769632992.11512661</v>
      </c>
      <c r="T8" s="4">
        <f>+T7/12</f>
        <v>16034020.669065146</v>
      </c>
    </row>
    <row r="9" spans="1:20" x14ac:dyDescent="0.25">
      <c r="A9" s="2">
        <v>45139</v>
      </c>
      <c r="B9" s="4">
        <f>+B8</f>
        <v>206516399.84174532</v>
      </c>
      <c r="C9" s="4">
        <v>-36964</v>
      </c>
      <c r="D9" s="4">
        <v>-384504</v>
      </c>
      <c r="E9" s="6">
        <f t="shared" ref="E9:E10" si="7">+C9/$M$8</f>
        <v>-1.7898820640068161E-4</v>
      </c>
      <c r="F9" s="6">
        <f t="shared" ref="F9:F10" si="8">+D9/$M$8</f>
        <v>-1.8618569774344681E-3</v>
      </c>
      <c r="G9" s="4">
        <f>+SUMIF(Hoja2!D$2:D$244,8,Hoja2!B$2:B$244)+SUMIF(Hoja2!D$2:D$244,8,Hoja2!C$2:C$244)</f>
        <v>-250000</v>
      </c>
      <c r="H9" s="6">
        <f t="shared" ref="H9:H10" si="9">+G9/M$8</f>
        <v>-1.2105576128170761E-3</v>
      </c>
      <c r="I9" s="4">
        <v>350</v>
      </c>
      <c r="K9" s="6"/>
      <c r="L9" t="s">
        <v>6</v>
      </c>
      <c r="M9" s="16">
        <v>283181180.08567715</v>
      </c>
      <c r="N9" s="3">
        <v>4</v>
      </c>
      <c r="O9" s="3">
        <f>+O8*(1+Q$11)</f>
        <v>132387564.60949786</v>
      </c>
      <c r="P9" s="3"/>
      <c r="R9" s="4">
        <f>+R8/12</f>
        <v>64136082.676260553</v>
      </c>
    </row>
    <row r="10" spans="1:20" x14ac:dyDescent="0.25">
      <c r="A10" s="2">
        <v>45170</v>
      </c>
      <c r="B10" s="4">
        <f>+B9</f>
        <v>206516399.84174532</v>
      </c>
      <c r="C10" s="4">
        <f>+'[1]Septiembre - AIF'!$J$70</f>
        <v>-380473.39999999997</v>
      </c>
      <c r="D10" s="4">
        <f>+'[1]Septiembre - AIF'!$J$71</f>
        <v>-511532.70000000019</v>
      </c>
      <c r="E10" s="6">
        <f t="shared" si="7"/>
        <v>-1.8423398833775858E-3</v>
      </c>
      <c r="F10" s="6">
        <f t="shared" si="8"/>
        <v>-2.4769592167594948E-3</v>
      </c>
      <c r="G10" s="4">
        <f>+SUMIF(Hoja2!D$2:D$244,9,Hoja2!B$2:B$244)+SUMIF(Hoja2!D$2:D$244,9,Hoja2!C$2:C$244)</f>
        <v>0</v>
      </c>
      <c r="H10" s="6">
        <f t="shared" si="9"/>
        <v>0</v>
      </c>
      <c r="I10" s="4">
        <v>350</v>
      </c>
      <c r="K10" s="6"/>
      <c r="L10" t="s">
        <v>8</v>
      </c>
      <c r="M10" s="3">
        <v>423472034.40718853</v>
      </c>
      <c r="N10" s="3">
        <v>5</v>
      </c>
      <c r="O10" s="3">
        <f>+O9*(1+Q$11)</f>
        <v>145183330.12303102</v>
      </c>
      <c r="P10" s="3"/>
    </row>
    <row r="11" spans="1:20" x14ac:dyDescent="0.25">
      <c r="A11" s="2">
        <v>45200</v>
      </c>
      <c r="B11" s="4">
        <f>+M9</f>
        <v>283181180.08567715</v>
      </c>
      <c r="C11" s="4">
        <v>-330338</v>
      </c>
      <c r="D11" s="4">
        <v>-454248</v>
      </c>
      <c r="E11" s="6">
        <f>+C11/$M$9</f>
        <v>-1.1665252609656313E-3</v>
      </c>
      <c r="F11" s="6">
        <f>+D11/$M$9</f>
        <v>-1.6040896498226548E-3</v>
      </c>
      <c r="G11" s="4">
        <f>+SUMIF(Hoja2!D$2:D$244,10,Hoja2!B$2:B$244)+SUMIF(Hoja2!D$2:D$244,10,Hoja2!C$2:C$244)</f>
        <v>0</v>
      </c>
      <c r="H11" s="6">
        <f>+G11/M$9</f>
        <v>0</v>
      </c>
      <c r="I11" s="4">
        <v>350</v>
      </c>
      <c r="K11" s="6"/>
      <c r="L11" t="s">
        <v>9</v>
      </c>
      <c r="M11" s="3">
        <v>559938388.86472714</v>
      </c>
      <c r="N11" s="3">
        <v>6</v>
      </c>
      <c r="O11" s="16">
        <f>+M7</f>
        <v>159215855.41502434</v>
      </c>
      <c r="P11" s="3">
        <f>+O11/O8-1</f>
        <v>0.31889032457959265</v>
      </c>
      <c r="Q11">
        <f t="shared" ref="Q11" si="10">+(POWER((1+P11),1/3)-1)</f>
        <v>9.66538326411297E-2</v>
      </c>
    </row>
    <row r="12" spans="1:20" x14ac:dyDescent="0.25">
      <c r="A12" s="2">
        <v>45231</v>
      </c>
      <c r="B12" s="4">
        <f>+B11</f>
        <v>283181180.08567715</v>
      </c>
      <c r="C12" s="4">
        <v>-210484</v>
      </c>
      <c r="D12" s="4">
        <v>-754956</v>
      </c>
      <c r="E12" s="6">
        <f t="shared" ref="E12:E13" si="11">+C12/$M$9</f>
        <v>-7.4328385783376406E-4</v>
      </c>
      <c r="F12" s="6">
        <f t="shared" ref="F12:F13" si="12">+D12/$M$9</f>
        <v>-2.6659822512625532E-3</v>
      </c>
      <c r="G12" s="4">
        <f>+SUMIF(Hoja2!D$2:D$244,11,Hoja2!B$2:B$244)+SUMIF(Hoja2!D$2:D$244,11,Hoja2!C$2:C$244)</f>
        <v>0</v>
      </c>
      <c r="H12" s="6">
        <f t="shared" ref="H12:H13" si="13">+G12/M$9</f>
        <v>0</v>
      </c>
      <c r="I12" s="4">
        <v>360</v>
      </c>
      <c r="K12" s="6"/>
      <c r="L12" t="s">
        <v>10</v>
      </c>
      <c r="M12" s="3">
        <v>642862095.29497898</v>
      </c>
      <c r="N12" s="3">
        <v>7</v>
      </c>
      <c r="O12" s="3">
        <f>+O11*(1+Q$14)</f>
        <v>173637047.08048993</v>
      </c>
      <c r="P12" s="3"/>
    </row>
    <row r="13" spans="1:20" x14ac:dyDescent="0.25">
      <c r="A13" s="2">
        <v>45261</v>
      </c>
      <c r="B13" s="4">
        <f>+B12</f>
        <v>283181180.08567715</v>
      </c>
      <c r="C13" s="4">
        <f>+'[2]Diciembre AI'!$J$70</f>
        <v>-1991316.1000000006</v>
      </c>
      <c r="D13" s="4">
        <f>+'[2]Diciembre AI'!$J$71</f>
        <v>-2400352.9000000008</v>
      </c>
      <c r="E13" s="6">
        <f t="shared" si="11"/>
        <v>-7.0319507087212617E-3</v>
      </c>
      <c r="F13" s="6">
        <f t="shared" si="12"/>
        <v>-8.4763856809755792E-3</v>
      </c>
      <c r="G13" s="4">
        <f>+SUMIF(Hoja2!D$2:D$244,12,Hoja2!B$2:B$244)+SUMIF(Hoja2!D$2:D$244,12,Hoja2!C$2:C$244)</f>
        <v>0</v>
      </c>
      <c r="H13" s="6">
        <f t="shared" si="13"/>
        <v>0</v>
      </c>
      <c r="I13" s="4">
        <v>808</v>
      </c>
      <c r="K13" s="6"/>
      <c r="L13" t="s">
        <v>11</v>
      </c>
      <c r="M13" s="3">
        <v>709365943.36728454</v>
      </c>
      <c r="N13" s="3">
        <v>8</v>
      </c>
      <c r="O13" s="3">
        <f>+O12*(1+Q$14)</f>
        <v>189364457.70580712</v>
      </c>
      <c r="P13" s="3"/>
    </row>
    <row r="14" spans="1:20" x14ac:dyDescent="0.25">
      <c r="A14" s="2" t="s">
        <v>18</v>
      </c>
      <c r="B14" s="4">
        <f>+SUM(M6:M9)/4</f>
        <v>192408248.02878165</v>
      </c>
      <c r="C14" s="4">
        <f>+SUM(C2:C13)</f>
        <v>-5164633.5</v>
      </c>
      <c r="D14" s="4">
        <f>+SUM(D2:D13)</f>
        <v>-8418462.6000000015</v>
      </c>
      <c r="E14" s="13">
        <f>SUM(E2:E13)</f>
        <v>-2.5776221976775315E-2</v>
      </c>
      <c r="F14" s="13">
        <f>+SUM(F2:F13)</f>
        <v>-4.340332590406721E-2</v>
      </c>
      <c r="G14" s="17">
        <f>+SUM(G2:G13)</f>
        <v>1698000</v>
      </c>
      <c r="H14" s="13">
        <f>SUM(H2:H13)</f>
        <v>1.0436034096135477E-2</v>
      </c>
      <c r="I14" s="4"/>
      <c r="K14" s="7"/>
      <c r="L14" t="s">
        <v>12</v>
      </c>
      <c r="M14" s="3">
        <v>583909615.48354483</v>
      </c>
      <c r="N14" s="3">
        <v>9</v>
      </c>
      <c r="O14" s="16">
        <f>+M8</f>
        <v>206516399.84174532</v>
      </c>
      <c r="P14" s="3">
        <f>+O14/O11-1</f>
        <v>0.29708438461372921</v>
      </c>
      <c r="Q14">
        <f t="shared" ref="Q14" si="14">+(POWER((1+P14),1/3)-1)</f>
        <v>9.0576353893110806E-2</v>
      </c>
    </row>
    <row r="15" spans="1:20" x14ac:dyDescent="0.25">
      <c r="A15" s="2"/>
      <c r="C15" s="6"/>
      <c r="D15" s="9" t="s">
        <v>21</v>
      </c>
      <c r="E15" s="8">
        <v>-2.9000000000000001E-2</v>
      </c>
      <c r="F15" s="8">
        <v>-6.0999999999999999E-2</v>
      </c>
      <c r="G15" s="4"/>
      <c r="H15" s="7"/>
      <c r="I15" s="4"/>
      <c r="L15"/>
      <c r="N15" s="3">
        <v>10</v>
      </c>
      <c r="O15" s="3">
        <f>+O14*(1+Q$17)</f>
        <v>229434026.04240119</v>
      </c>
      <c r="P15" s="3"/>
    </row>
    <row r="16" spans="1:20" x14ac:dyDescent="0.25">
      <c r="C16" s="4"/>
      <c r="D16" s="7"/>
      <c r="E16" s="7"/>
      <c r="F16" s="6"/>
      <c r="N16" s="3">
        <v>11</v>
      </c>
      <c r="O16" s="3">
        <f>+O15*(1+Q$17)</f>
        <v>254894876.8541556</v>
      </c>
      <c r="P16" s="3"/>
    </row>
    <row r="17" spans="3:17" x14ac:dyDescent="0.25">
      <c r="C17" s="4"/>
      <c r="D17" s="4"/>
      <c r="F17" s="15"/>
      <c r="N17" s="3">
        <v>12</v>
      </c>
      <c r="O17" s="16">
        <f>+M9</f>
        <v>283181180.08567715</v>
      </c>
      <c r="P17" s="3">
        <f>+O17/O14-1</f>
        <v>0.37122853343695938</v>
      </c>
      <c r="Q17">
        <f>+(POWER((1+P17),1/3)-1)</f>
        <v>0.11097242745960023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83FD6-EA6A-411A-BD50-10473A07C56B}">
  <dimension ref="A1:E245"/>
  <sheetViews>
    <sheetView workbookViewId="0">
      <selection sqref="A1:C244"/>
    </sheetView>
  </sheetViews>
  <sheetFormatPr baseColWidth="10" defaultRowHeight="15" x14ac:dyDescent="0.25"/>
  <cols>
    <col min="1" max="1" width="11.42578125" style="10"/>
    <col min="2" max="2" width="14.5703125" bestFit="1" customWidth="1"/>
    <col min="3" max="3" width="18.42578125" bestFit="1" customWidth="1"/>
    <col min="4" max="4" width="14.5703125" bestFit="1" customWidth="1"/>
  </cols>
  <sheetData>
    <row r="1" spans="1:5" x14ac:dyDescent="0.25">
      <c r="A1" s="10" t="s">
        <v>22</v>
      </c>
      <c r="B1" t="s">
        <v>23</v>
      </c>
      <c r="C1" t="s">
        <v>24</v>
      </c>
    </row>
    <row r="2" spans="1:5" x14ac:dyDescent="0.25">
      <c r="A2" s="10">
        <v>44928</v>
      </c>
      <c r="B2">
        <v>0</v>
      </c>
      <c r="C2">
        <v>0</v>
      </c>
      <c r="D2">
        <f>+MONTH(A2)</f>
        <v>1</v>
      </c>
      <c r="E2">
        <f>+SUMIF(D2:D245,"3",B2:C245)</f>
        <v>130000</v>
      </c>
    </row>
    <row r="3" spans="1:5" x14ac:dyDescent="0.25">
      <c r="A3" s="10">
        <v>44929</v>
      </c>
      <c r="B3">
        <v>0</v>
      </c>
      <c r="C3">
        <v>0</v>
      </c>
      <c r="D3">
        <f t="shared" ref="D3:D66" si="0">+MONTH(A3)</f>
        <v>1</v>
      </c>
    </row>
    <row r="4" spans="1:5" x14ac:dyDescent="0.25">
      <c r="A4" s="10">
        <v>44930</v>
      </c>
      <c r="B4">
        <v>0</v>
      </c>
      <c r="C4">
        <v>0</v>
      </c>
      <c r="D4">
        <f t="shared" si="0"/>
        <v>1</v>
      </c>
    </row>
    <row r="5" spans="1:5" x14ac:dyDescent="0.25">
      <c r="A5" s="10">
        <v>44931</v>
      </c>
      <c r="B5">
        <v>0</v>
      </c>
      <c r="C5">
        <v>0</v>
      </c>
      <c r="D5">
        <f t="shared" si="0"/>
        <v>1</v>
      </c>
    </row>
    <row r="6" spans="1:5" x14ac:dyDescent="0.25">
      <c r="A6" s="10">
        <v>44932</v>
      </c>
      <c r="B6">
        <v>0</v>
      </c>
      <c r="C6">
        <v>0</v>
      </c>
      <c r="D6">
        <f t="shared" si="0"/>
        <v>1</v>
      </c>
    </row>
    <row r="7" spans="1:5" x14ac:dyDescent="0.25">
      <c r="A7" s="10">
        <v>44935</v>
      </c>
      <c r="B7">
        <v>0</v>
      </c>
      <c r="C7">
        <v>0</v>
      </c>
      <c r="D7">
        <f t="shared" si="0"/>
        <v>1</v>
      </c>
    </row>
    <row r="8" spans="1:5" x14ac:dyDescent="0.25">
      <c r="A8" s="10">
        <v>44936</v>
      </c>
      <c r="B8">
        <v>0</v>
      </c>
      <c r="C8">
        <v>0</v>
      </c>
      <c r="D8">
        <f t="shared" si="0"/>
        <v>1</v>
      </c>
    </row>
    <row r="9" spans="1:5" x14ac:dyDescent="0.25">
      <c r="A9" s="10">
        <v>44937</v>
      </c>
      <c r="B9">
        <v>0</v>
      </c>
      <c r="C9">
        <v>0</v>
      </c>
      <c r="D9">
        <f t="shared" si="0"/>
        <v>1</v>
      </c>
    </row>
    <row r="10" spans="1:5" x14ac:dyDescent="0.25">
      <c r="A10" s="10">
        <v>44938</v>
      </c>
      <c r="B10">
        <v>0</v>
      </c>
      <c r="C10">
        <v>0</v>
      </c>
      <c r="D10">
        <f t="shared" si="0"/>
        <v>1</v>
      </c>
    </row>
    <row r="11" spans="1:5" x14ac:dyDescent="0.25">
      <c r="A11" s="10">
        <v>44939</v>
      </c>
      <c r="B11">
        <v>0</v>
      </c>
      <c r="C11">
        <v>0</v>
      </c>
      <c r="D11">
        <f t="shared" si="0"/>
        <v>1</v>
      </c>
    </row>
    <row r="12" spans="1:5" x14ac:dyDescent="0.25">
      <c r="A12" s="10">
        <v>44942</v>
      </c>
      <c r="B12">
        <v>0</v>
      </c>
      <c r="C12">
        <v>0</v>
      </c>
      <c r="D12">
        <f t="shared" si="0"/>
        <v>1</v>
      </c>
    </row>
    <row r="13" spans="1:5" x14ac:dyDescent="0.25">
      <c r="A13" s="10">
        <v>44943</v>
      </c>
      <c r="B13">
        <v>0</v>
      </c>
      <c r="C13">
        <v>0</v>
      </c>
      <c r="D13">
        <f t="shared" si="0"/>
        <v>1</v>
      </c>
    </row>
    <row r="14" spans="1:5" x14ac:dyDescent="0.25">
      <c r="A14" s="10">
        <v>44944</v>
      </c>
      <c r="B14">
        <v>0</v>
      </c>
      <c r="C14">
        <v>0</v>
      </c>
      <c r="D14">
        <f t="shared" si="0"/>
        <v>1</v>
      </c>
    </row>
    <row r="15" spans="1:5" x14ac:dyDescent="0.25">
      <c r="A15" s="10">
        <v>44945</v>
      </c>
      <c r="B15">
        <v>0</v>
      </c>
      <c r="C15">
        <v>0</v>
      </c>
      <c r="D15">
        <f t="shared" si="0"/>
        <v>1</v>
      </c>
    </row>
    <row r="16" spans="1:5" x14ac:dyDescent="0.25">
      <c r="A16" s="10">
        <v>44946</v>
      </c>
      <c r="B16">
        <v>0</v>
      </c>
      <c r="C16">
        <v>0</v>
      </c>
      <c r="D16">
        <f t="shared" si="0"/>
        <v>1</v>
      </c>
    </row>
    <row r="17" spans="1:4" x14ac:dyDescent="0.25">
      <c r="A17" s="10">
        <v>44949</v>
      </c>
      <c r="B17">
        <v>0</v>
      </c>
      <c r="C17">
        <v>0</v>
      </c>
      <c r="D17">
        <f t="shared" si="0"/>
        <v>1</v>
      </c>
    </row>
    <row r="18" spans="1:4" x14ac:dyDescent="0.25">
      <c r="A18" s="10">
        <v>44950</v>
      </c>
      <c r="B18">
        <v>0</v>
      </c>
      <c r="C18">
        <v>0</v>
      </c>
      <c r="D18">
        <f t="shared" si="0"/>
        <v>1</v>
      </c>
    </row>
    <row r="19" spans="1:4" x14ac:dyDescent="0.25">
      <c r="A19" s="10">
        <v>44951</v>
      </c>
      <c r="B19">
        <v>0</v>
      </c>
      <c r="C19">
        <v>0</v>
      </c>
      <c r="D19">
        <f t="shared" si="0"/>
        <v>1</v>
      </c>
    </row>
    <row r="20" spans="1:4" x14ac:dyDescent="0.25">
      <c r="A20" s="10">
        <v>44952</v>
      </c>
      <c r="B20">
        <v>0</v>
      </c>
      <c r="C20">
        <v>0</v>
      </c>
      <c r="D20">
        <f t="shared" si="0"/>
        <v>1</v>
      </c>
    </row>
    <row r="21" spans="1:4" x14ac:dyDescent="0.25">
      <c r="A21" s="10">
        <v>44953</v>
      </c>
      <c r="B21">
        <v>0</v>
      </c>
      <c r="C21">
        <v>0</v>
      </c>
      <c r="D21">
        <f t="shared" si="0"/>
        <v>1</v>
      </c>
    </row>
    <row r="22" spans="1:4" x14ac:dyDescent="0.25">
      <c r="A22" s="10">
        <v>44956</v>
      </c>
      <c r="B22">
        <v>0</v>
      </c>
      <c r="C22">
        <v>0</v>
      </c>
      <c r="D22">
        <f t="shared" si="0"/>
        <v>1</v>
      </c>
    </row>
    <row r="23" spans="1:4" x14ac:dyDescent="0.25">
      <c r="A23" s="10">
        <v>44957</v>
      </c>
      <c r="B23">
        <v>0</v>
      </c>
      <c r="C23">
        <v>0</v>
      </c>
      <c r="D23">
        <f t="shared" si="0"/>
        <v>1</v>
      </c>
    </row>
    <row r="24" spans="1:4" x14ac:dyDescent="0.25">
      <c r="A24" s="10">
        <v>44958</v>
      </c>
      <c r="B24">
        <v>0</v>
      </c>
      <c r="C24">
        <v>0</v>
      </c>
      <c r="D24">
        <f t="shared" si="0"/>
        <v>2</v>
      </c>
    </row>
    <row r="25" spans="1:4" x14ac:dyDescent="0.25">
      <c r="A25" s="10">
        <v>44959</v>
      </c>
      <c r="B25">
        <v>0</v>
      </c>
      <c r="C25">
        <v>0</v>
      </c>
      <c r="D25">
        <f t="shared" si="0"/>
        <v>2</v>
      </c>
    </row>
    <row r="26" spans="1:4" x14ac:dyDescent="0.25">
      <c r="A26" s="10">
        <v>44960</v>
      </c>
      <c r="B26">
        <v>0</v>
      </c>
      <c r="C26">
        <v>0</v>
      </c>
      <c r="D26">
        <f t="shared" si="0"/>
        <v>2</v>
      </c>
    </row>
    <row r="27" spans="1:4" x14ac:dyDescent="0.25">
      <c r="A27" s="10">
        <v>44963</v>
      </c>
      <c r="B27">
        <v>0</v>
      </c>
      <c r="C27">
        <v>0</v>
      </c>
      <c r="D27">
        <f t="shared" si="0"/>
        <v>2</v>
      </c>
    </row>
    <row r="28" spans="1:4" x14ac:dyDescent="0.25">
      <c r="A28" s="10">
        <v>44964</v>
      </c>
      <c r="B28">
        <v>0</v>
      </c>
      <c r="C28">
        <v>0</v>
      </c>
      <c r="D28">
        <f t="shared" si="0"/>
        <v>2</v>
      </c>
    </row>
    <row r="29" spans="1:4" x14ac:dyDescent="0.25">
      <c r="A29" s="10">
        <v>44965</v>
      </c>
      <c r="B29">
        <v>0</v>
      </c>
      <c r="C29">
        <v>0</v>
      </c>
      <c r="D29">
        <f t="shared" si="0"/>
        <v>2</v>
      </c>
    </row>
    <row r="30" spans="1:4" x14ac:dyDescent="0.25">
      <c r="A30" s="10">
        <v>44966</v>
      </c>
      <c r="B30">
        <v>0</v>
      </c>
      <c r="C30">
        <v>0</v>
      </c>
      <c r="D30">
        <f t="shared" si="0"/>
        <v>2</v>
      </c>
    </row>
    <row r="31" spans="1:4" x14ac:dyDescent="0.25">
      <c r="A31" s="10">
        <v>44967</v>
      </c>
      <c r="B31">
        <v>0</v>
      </c>
      <c r="C31">
        <v>0</v>
      </c>
      <c r="D31">
        <f t="shared" si="0"/>
        <v>2</v>
      </c>
    </row>
    <row r="32" spans="1:4" x14ac:dyDescent="0.25">
      <c r="A32" s="10">
        <v>44970</v>
      </c>
      <c r="B32">
        <v>0</v>
      </c>
      <c r="C32">
        <v>0</v>
      </c>
      <c r="D32">
        <f t="shared" si="0"/>
        <v>2</v>
      </c>
    </row>
    <row r="33" spans="1:4" x14ac:dyDescent="0.25">
      <c r="A33" s="10">
        <v>44971</v>
      </c>
      <c r="B33">
        <v>0</v>
      </c>
      <c r="C33">
        <v>0</v>
      </c>
      <c r="D33">
        <f t="shared" si="0"/>
        <v>2</v>
      </c>
    </row>
    <row r="34" spans="1:4" x14ac:dyDescent="0.25">
      <c r="A34" s="10">
        <v>44972</v>
      </c>
      <c r="B34">
        <v>0</v>
      </c>
      <c r="C34">
        <v>0</v>
      </c>
      <c r="D34">
        <f t="shared" si="0"/>
        <v>2</v>
      </c>
    </row>
    <row r="35" spans="1:4" x14ac:dyDescent="0.25">
      <c r="A35" s="10">
        <v>44973</v>
      </c>
      <c r="B35">
        <v>0</v>
      </c>
      <c r="C35">
        <v>0</v>
      </c>
      <c r="D35">
        <f t="shared" si="0"/>
        <v>2</v>
      </c>
    </row>
    <row r="36" spans="1:4" x14ac:dyDescent="0.25">
      <c r="A36" s="10">
        <v>44974</v>
      </c>
      <c r="B36">
        <v>0</v>
      </c>
      <c r="C36">
        <v>0</v>
      </c>
      <c r="D36">
        <f t="shared" si="0"/>
        <v>2</v>
      </c>
    </row>
    <row r="37" spans="1:4" x14ac:dyDescent="0.25">
      <c r="A37" s="10">
        <v>44979</v>
      </c>
      <c r="B37">
        <v>0</v>
      </c>
      <c r="C37">
        <v>0</v>
      </c>
      <c r="D37">
        <f t="shared" si="0"/>
        <v>2</v>
      </c>
    </row>
    <row r="38" spans="1:4" x14ac:dyDescent="0.25">
      <c r="A38" s="10">
        <v>44980</v>
      </c>
      <c r="B38">
        <v>0</v>
      </c>
      <c r="C38">
        <v>0</v>
      </c>
      <c r="D38">
        <f t="shared" si="0"/>
        <v>2</v>
      </c>
    </row>
    <row r="39" spans="1:4" x14ac:dyDescent="0.25">
      <c r="A39" s="10">
        <v>44981</v>
      </c>
      <c r="B39">
        <v>0</v>
      </c>
      <c r="C39">
        <v>0</v>
      </c>
      <c r="D39">
        <f t="shared" si="0"/>
        <v>2</v>
      </c>
    </row>
    <row r="40" spans="1:4" x14ac:dyDescent="0.25">
      <c r="A40" s="10">
        <v>44984</v>
      </c>
      <c r="B40">
        <v>0</v>
      </c>
      <c r="C40">
        <v>0</v>
      </c>
      <c r="D40">
        <f t="shared" si="0"/>
        <v>2</v>
      </c>
    </row>
    <row r="41" spans="1:4" x14ac:dyDescent="0.25">
      <c r="A41" s="10">
        <v>44985</v>
      </c>
      <c r="B41">
        <v>0</v>
      </c>
      <c r="C41">
        <v>0</v>
      </c>
      <c r="D41">
        <f t="shared" si="0"/>
        <v>2</v>
      </c>
    </row>
    <row r="42" spans="1:4" x14ac:dyDescent="0.25">
      <c r="A42" s="10">
        <v>44986</v>
      </c>
      <c r="B42">
        <v>0</v>
      </c>
      <c r="C42">
        <v>0</v>
      </c>
      <c r="D42">
        <f t="shared" si="0"/>
        <v>3</v>
      </c>
    </row>
    <row r="43" spans="1:4" x14ac:dyDescent="0.25">
      <c r="A43" s="10">
        <v>44987</v>
      </c>
      <c r="B43">
        <v>0</v>
      </c>
      <c r="C43">
        <v>0</v>
      </c>
      <c r="D43">
        <f t="shared" si="0"/>
        <v>3</v>
      </c>
    </row>
    <row r="44" spans="1:4" x14ac:dyDescent="0.25">
      <c r="A44" s="10">
        <v>44988</v>
      </c>
      <c r="B44">
        <v>0</v>
      </c>
      <c r="C44">
        <v>0</v>
      </c>
      <c r="D44">
        <f t="shared" si="0"/>
        <v>3</v>
      </c>
    </row>
    <row r="45" spans="1:4" x14ac:dyDescent="0.25">
      <c r="A45" s="10">
        <v>44991</v>
      </c>
      <c r="B45">
        <v>0</v>
      </c>
      <c r="C45">
        <v>0</v>
      </c>
      <c r="D45">
        <f t="shared" si="0"/>
        <v>3</v>
      </c>
    </row>
    <row r="46" spans="1:4" x14ac:dyDescent="0.25">
      <c r="A46" s="10">
        <v>44992</v>
      </c>
      <c r="B46">
        <v>0</v>
      </c>
      <c r="C46">
        <v>0</v>
      </c>
      <c r="D46">
        <f t="shared" si="0"/>
        <v>3</v>
      </c>
    </row>
    <row r="47" spans="1:4" x14ac:dyDescent="0.25">
      <c r="A47" s="10">
        <v>44993</v>
      </c>
      <c r="B47">
        <v>0</v>
      </c>
      <c r="C47">
        <v>0</v>
      </c>
      <c r="D47">
        <f t="shared" si="0"/>
        <v>3</v>
      </c>
    </row>
    <row r="48" spans="1:4" x14ac:dyDescent="0.25">
      <c r="A48" s="10">
        <v>44994</v>
      </c>
      <c r="B48">
        <v>0</v>
      </c>
      <c r="C48">
        <v>0</v>
      </c>
      <c r="D48">
        <f t="shared" si="0"/>
        <v>3</v>
      </c>
    </row>
    <row r="49" spans="1:4" x14ac:dyDescent="0.25">
      <c r="A49" s="10">
        <v>44995</v>
      </c>
      <c r="B49">
        <v>0</v>
      </c>
      <c r="C49">
        <v>0</v>
      </c>
      <c r="D49">
        <f t="shared" si="0"/>
        <v>3</v>
      </c>
    </row>
    <row r="50" spans="1:4" x14ac:dyDescent="0.25">
      <c r="A50" s="10">
        <v>44998</v>
      </c>
      <c r="B50">
        <v>0</v>
      </c>
      <c r="C50">
        <v>0</v>
      </c>
      <c r="D50">
        <f t="shared" si="0"/>
        <v>3</v>
      </c>
    </row>
    <row r="51" spans="1:4" x14ac:dyDescent="0.25">
      <c r="A51" s="10">
        <v>44999</v>
      </c>
      <c r="B51">
        <v>0</v>
      </c>
      <c r="C51">
        <v>0</v>
      </c>
      <c r="D51">
        <f t="shared" si="0"/>
        <v>3</v>
      </c>
    </row>
    <row r="52" spans="1:4" x14ac:dyDescent="0.25">
      <c r="A52" s="10">
        <v>45000</v>
      </c>
      <c r="B52">
        <v>0</v>
      </c>
      <c r="C52">
        <v>0</v>
      </c>
      <c r="D52">
        <f t="shared" si="0"/>
        <v>3</v>
      </c>
    </row>
    <row r="53" spans="1:4" x14ac:dyDescent="0.25">
      <c r="A53" s="10">
        <v>45001</v>
      </c>
      <c r="B53">
        <v>0</v>
      </c>
      <c r="C53">
        <v>0</v>
      </c>
      <c r="D53">
        <f t="shared" si="0"/>
        <v>3</v>
      </c>
    </row>
    <row r="54" spans="1:4" x14ac:dyDescent="0.25">
      <c r="A54" s="10">
        <v>45002</v>
      </c>
      <c r="B54">
        <v>130000</v>
      </c>
      <c r="C54">
        <v>0</v>
      </c>
      <c r="D54">
        <f t="shared" si="0"/>
        <v>3</v>
      </c>
    </row>
    <row r="55" spans="1:4" x14ac:dyDescent="0.25">
      <c r="A55" s="10">
        <v>45005</v>
      </c>
      <c r="B55">
        <v>0</v>
      </c>
      <c r="C55">
        <v>0</v>
      </c>
      <c r="D55">
        <f t="shared" si="0"/>
        <v>3</v>
      </c>
    </row>
    <row r="56" spans="1:4" x14ac:dyDescent="0.25">
      <c r="A56" s="10">
        <v>45006</v>
      </c>
      <c r="B56">
        <v>0</v>
      </c>
      <c r="C56">
        <v>0</v>
      </c>
      <c r="D56">
        <f t="shared" si="0"/>
        <v>3</v>
      </c>
    </row>
    <row r="57" spans="1:4" x14ac:dyDescent="0.25">
      <c r="A57" s="10">
        <v>45007</v>
      </c>
      <c r="B57">
        <v>0</v>
      </c>
      <c r="C57">
        <v>0</v>
      </c>
      <c r="D57">
        <f t="shared" si="0"/>
        <v>3</v>
      </c>
    </row>
    <row r="58" spans="1:4" x14ac:dyDescent="0.25">
      <c r="A58" s="10">
        <v>45008</v>
      </c>
      <c r="B58">
        <v>0</v>
      </c>
      <c r="C58">
        <v>0</v>
      </c>
      <c r="D58">
        <f t="shared" si="0"/>
        <v>3</v>
      </c>
    </row>
    <row r="59" spans="1:4" x14ac:dyDescent="0.25">
      <c r="A59" s="10">
        <v>45012</v>
      </c>
      <c r="B59">
        <v>0</v>
      </c>
      <c r="C59">
        <v>0</v>
      </c>
      <c r="D59">
        <f t="shared" si="0"/>
        <v>3</v>
      </c>
    </row>
    <row r="60" spans="1:4" x14ac:dyDescent="0.25">
      <c r="A60" s="10">
        <v>45013</v>
      </c>
      <c r="B60">
        <v>0</v>
      </c>
      <c r="C60">
        <v>0</v>
      </c>
      <c r="D60">
        <f t="shared" si="0"/>
        <v>3</v>
      </c>
    </row>
    <row r="61" spans="1:4" x14ac:dyDescent="0.25">
      <c r="A61" s="10">
        <v>45014</v>
      </c>
      <c r="B61">
        <v>0</v>
      </c>
      <c r="C61">
        <v>0</v>
      </c>
      <c r="D61">
        <f t="shared" si="0"/>
        <v>3</v>
      </c>
    </row>
    <row r="62" spans="1:4" x14ac:dyDescent="0.25">
      <c r="A62" s="10">
        <v>45015</v>
      </c>
      <c r="B62">
        <v>0</v>
      </c>
      <c r="C62">
        <v>0</v>
      </c>
      <c r="D62">
        <f t="shared" si="0"/>
        <v>3</v>
      </c>
    </row>
    <row r="63" spans="1:4" x14ac:dyDescent="0.25">
      <c r="A63" s="10">
        <v>45016</v>
      </c>
      <c r="B63">
        <v>0</v>
      </c>
      <c r="C63">
        <v>0</v>
      </c>
      <c r="D63">
        <f t="shared" si="0"/>
        <v>3</v>
      </c>
    </row>
    <row r="64" spans="1:4" x14ac:dyDescent="0.25">
      <c r="A64" s="10">
        <v>45019</v>
      </c>
      <c r="B64">
        <v>0</v>
      </c>
      <c r="C64">
        <v>0</v>
      </c>
      <c r="D64">
        <f t="shared" si="0"/>
        <v>4</v>
      </c>
    </row>
    <row r="65" spans="1:4" x14ac:dyDescent="0.25">
      <c r="A65" s="10">
        <v>45020</v>
      </c>
      <c r="B65">
        <v>0</v>
      </c>
      <c r="C65">
        <v>0</v>
      </c>
      <c r="D65">
        <f t="shared" si="0"/>
        <v>4</v>
      </c>
    </row>
    <row r="66" spans="1:4" x14ac:dyDescent="0.25">
      <c r="A66" s="10">
        <v>45021</v>
      </c>
      <c r="B66">
        <v>0</v>
      </c>
      <c r="C66">
        <v>0</v>
      </c>
      <c r="D66">
        <f t="shared" si="0"/>
        <v>4</v>
      </c>
    </row>
    <row r="67" spans="1:4" x14ac:dyDescent="0.25">
      <c r="A67" s="10">
        <v>45026</v>
      </c>
      <c r="B67">
        <v>0</v>
      </c>
      <c r="C67">
        <v>0</v>
      </c>
      <c r="D67">
        <f t="shared" ref="D67:D130" si="1">+MONTH(A67)</f>
        <v>4</v>
      </c>
    </row>
    <row r="68" spans="1:4" x14ac:dyDescent="0.25">
      <c r="A68" s="10">
        <v>45027</v>
      </c>
      <c r="B68">
        <v>0</v>
      </c>
      <c r="C68">
        <v>0</v>
      </c>
      <c r="D68">
        <f t="shared" si="1"/>
        <v>4</v>
      </c>
    </row>
    <row r="69" spans="1:4" x14ac:dyDescent="0.25">
      <c r="A69" s="10">
        <v>45028</v>
      </c>
      <c r="B69">
        <v>0</v>
      </c>
      <c r="C69">
        <v>0</v>
      </c>
      <c r="D69">
        <f t="shared" si="1"/>
        <v>4</v>
      </c>
    </row>
    <row r="70" spans="1:4" x14ac:dyDescent="0.25">
      <c r="A70" s="10">
        <v>45029</v>
      </c>
      <c r="B70">
        <v>0</v>
      </c>
      <c r="C70">
        <v>0</v>
      </c>
      <c r="D70">
        <f t="shared" si="1"/>
        <v>4</v>
      </c>
    </row>
    <row r="71" spans="1:4" x14ac:dyDescent="0.25">
      <c r="A71" s="10">
        <v>45030</v>
      </c>
      <c r="B71">
        <v>0</v>
      </c>
      <c r="C71">
        <v>0</v>
      </c>
      <c r="D71">
        <f t="shared" si="1"/>
        <v>4</v>
      </c>
    </row>
    <row r="72" spans="1:4" x14ac:dyDescent="0.25">
      <c r="A72" s="10">
        <v>45033</v>
      </c>
      <c r="B72">
        <v>0</v>
      </c>
      <c r="C72">
        <v>0</v>
      </c>
      <c r="D72">
        <f t="shared" si="1"/>
        <v>4</v>
      </c>
    </row>
    <row r="73" spans="1:4" x14ac:dyDescent="0.25">
      <c r="A73" s="10">
        <v>45034</v>
      </c>
      <c r="B73">
        <v>0</v>
      </c>
      <c r="C73">
        <v>0</v>
      </c>
      <c r="D73">
        <f t="shared" si="1"/>
        <v>4</v>
      </c>
    </row>
    <row r="74" spans="1:4" x14ac:dyDescent="0.25">
      <c r="A74" s="10">
        <v>45035</v>
      </c>
      <c r="B74">
        <v>0</v>
      </c>
      <c r="C74">
        <v>0</v>
      </c>
      <c r="D74">
        <f t="shared" si="1"/>
        <v>4</v>
      </c>
    </row>
    <row r="75" spans="1:4" x14ac:dyDescent="0.25">
      <c r="A75" s="10">
        <v>45036</v>
      </c>
      <c r="B75">
        <v>0</v>
      </c>
      <c r="C75">
        <v>0</v>
      </c>
      <c r="D75">
        <f t="shared" si="1"/>
        <v>4</v>
      </c>
    </row>
    <row r="76" spans="1:4" x14ac:dyDescent="0.25">
      <c r="A76" s="10">
        <v>45037</v>
      </c>
      <c r="B76">
        <v>100000</v>
      </c>
      <c r="C76">
        <v>0</v>
      </c>
      <c r="D76">
        <f t="shared" si="1"/>
        <v>4</v>
      </c>
    </row>
    <row r="77" spans="1:4" x14ac:dyDescent="0.25">
      <c r="A77" s="10">
        <v>45040</v>
      </c>
      <c r="B77">
        <v>0</v>
      </c>
      <c r="C77">
        <v>0</v>
      </c>
      <c r="D77">
        <f t="shared" si="1"/>
        <v>4</v>
      </c>
    </row>
    <row r="78" spans="1:4" x14ac:dyDescent="0.25">
      <c r="A78" s="10">
        <v>45041</v>
      </c>
      <c r="B78">
        <v>0</v>
      </c>
      <c r="C78">
        <v>0</v>
      </c>
      <c r="D78">
        <f t="shared" si="1"/>
        <v>4</v>
      </c>
    </row>
    <row r="79" spans="1:4" x14ac:dyDescent="0.25">
      <c r="A79" s="10">
        <v>45042</v>
      </c>
      <c r="B79">
        <v>0</v>
      </c>
      <c r="C79">
        <v>0</v>
      </c>
      <c r="D79">
        <f t="shared" si="1"/>
        <v>4</v>
      </c>
    </row>
    <row r="80" spans="1:4" x14ac:dyDescent="0.25">
      <c r="A80" s="10">
        <v>45043</v>
      </c>
      <c r="B80">
        <v>0</v>
      </c>
      <c r="C80">
        <v>0</v>
      </c>
      <c r="D80">
        <f t="shared" si="1"/>
        <v>4</v>
      </c>
    </row>
    <row r="81" spans="1:4" x14ac:dyDescent="0.25">
      <c r="A81" s="10">
        <v>45044</v>
      </c>
      <c r="B81">
        <v>0</v>
      </c>
      <c r="C81">
        <v>0</v>
      </c>
      <c r="D81">
        <f t="shared" si="1"/>
        <v>4</v>
      </c>
    </row>
    <row r="82" spans="1:4" x14ac:dyDescent="0.25">
      <c r="A82" s="10">
        <v>45048</v>
      </c>
      <c r="B82">
        <v>0</v>
      </c>
      <c r="C82">
        <v>0</v>
      </c>
      <c r="D82">
        <f t="shared" si="1"/>
        <v>5</v>
      </c>
    </row>
    <row r="83" spans="1:4" x14ac:dyDescent="0.25">
      <c r="A83" s="10">
        <v>45049</v>
      </c>
      <c r="B83">
        <v>0</v>
      </c>
      <c r="C83">
        <v>0</v>
      </c>
      <c r="D83">
        <f t="shared" si="1"/>
        <v>5</v>
      </c>
    </row>
    <row r="84" spans="1:4" x14ac:dyDescent="0.25">
      <c r="A84" s="10">
        <v>45050</v>
      </c>
      <c r="B84">
        <v>140000</v>
      </c>
      <c r="C84">
        <v>0</v>
      </c>
      <c r="D84">
        <f t="shared" si="1"/>
        <v>5</v>
      </c>
    </row>
    <row r="85" spans="1:4" x14ac:dyDescent="0.25">
      <c r="A85" s="10">
        <v>45051</v>
      </c>
      <c r="B85">
        <v>0</v>
      </c>
      <c r="C85">
        <v>0</v>
      </c>
      <c r="D85">
        <f t="shared" si="1"/>
        <v>5</v>
      </c>
    </row>
    <row r="86" spans="1:4" x14ac:dyDescent="0.25">
      <c r="A86" s="10">
        <v>45054</v>
      </c>
      <c r="B86">
        <v>0</v>
      </c>
      <c r="C86">
        <v>0</v>
      </c>
      <c r="D86">
        <f t="shared" si="1"/>
        <v>5</v>
      </c>
    </row>
    <row r="87" spans="1:4" x14ac:dyDescent="0.25">
      <c r="A87" s="10">
        <v>45055</v>
      </c>
      <c r="B87">
        <v>150000</v>
      </c>
      <c r="C87">
        <v>0</v>
      </c>
      <c r="D87">
        <f t="shared" si="1"/>
        <v>5</v>
      </c>
    </row>
    <row r="88" spans="1:4" x14ac:dyDescent="0.25">
      <c r="A88" s="10">
        <v>45056</v>
      </c>
      <c r="B88">
        <v>0</v>
      </c>
      <c r="C88">
        <v>0</v>
      </c>
      <c r="D88">
        <f t="shared" si="1"/>
        <v>5</v>
      </c>
    </row>
    <row r="89" spans="1:4" x14ac:dyDescent="0.25">
      <c r="A89" s="10">
        <v>45057</v>
      </c>
      <c r="B89">
        <v>150000</v>
      </c>
      <c r="C89">
        <v>0</v>
      </c>
      <c r="D89">
        <f t="shared" si="1"/>
        <v>5</v>
      </c>
    </row>
    <row r="90" spans="1:4" x14ac:dyDescent="0.25">
      <c r="A90" s="10">
        <v>45058</v>
      </c>
      <c r="B90">
        <v>0</v>
      </c>
      <c r="C90">
        <v>0</v>
      </c>
      <c r="D90">
        <f t="shared" si="1"/>
        <v>5</v>
      </c>
    </row>
    <row r="91" spans="1:4" x14ac:dyDescent="0.25">
      <c r="A91" s="10">
        <v>45061</v>
      </c>
      <c r="B91">
        <v>0</v>
      </c>
      <c r="C91">
        <v>0</v>
      </c>
      <c r="D91">
        <f t="shared" si="1"/>
        <v>5</v>
      </c>
    </row>
    <row r="92" spans="1:4" x14ac:dyDescent="0.25">
      <c r="A92" s="10">
        <v>45062</v>
      </c>
      <c r="B92">
        <v>0</v>
      </c>
      <c r="C92">
        <v>0</v>
      </c>
      <c r="D92">
        <f t="shared" si="1"/>
        <v>5</v>
      </c>
    </row>
    <row r="93" spans="1:4" x14ac:dyDescent="0.25">
      <c r="A93" s="10">
        <v>45063</v>
      </c>
      <c r="B93">
        <v>0</v>
      </c>
      <c r="C93">
        <v>0</v>
      </c>
      <c r="D93">
        <f t="shared" si="1"/>
        <v>5</v>
      </c>
    </row>
    <row r="94" spans="1:4" x14ac:dyDescent="0.25">
      <c r="A94" s="10">
        <v>45064</v>
      </c>
      <c r="B94">
        <v>0</v>
      </c>
      <c r="C94">
        <v>0</v>
      </c>
      <c r="D94">
        <f t="shared" si="1"/>
        <v>5</v>
      </c>
    </row>
    <row r="95" spans="1:4" x14ac:dyDescent="0.25">
      <c r="A95" s="10">
        <v>45065</v>
      </c>
      <c r="B95">
        <v>0</v>
      </c>
      <c r="C95">
        <v>0</v>
      </c>
      <c r="D95">
        <f t="shared" si="1"/>
        <v>5</v>
      </c>
    </row>
    <row r="96" spans="1:4" x14ac:dyDescent="0.25">
      <c r="A96" s="10">
        <v>45068</v>
      </c>
      <c r="B96">
        <v>0</v>
      </c>
      <c r="C96">
        <v>0</v>
      </c>
      <c r="D96">
        <f t="shared" si="1"/>
        <v>5</v>
      </c>
    </row>
    <row r="97" spans="1:4" x14ac:dyDescent="0.25">
      <c r="A97" s="10">
        <v>45069</v>
      </c>
      <c r="B97">
        <v>0</v>
      </c>
      <c r="C97">
        <v>0</v>
      </c>
      <c r="D97">
        <f t="shared" si="1"/>
        <v>5</v>
      </c>
    </row>
    <row r="98" spans="1:4" x14ac:dyDescent="0.25">
      <c r="A98" s="10">
        <v>45070</v>
      </c>
      <c r="B98">
        <v>0</v>
      </c>
      <c r="C98">
        <v>0</v>
      </c>
      <c r="D98">
        <f t="shared" si="1"/>
        <v>5</v>
      </c>
    </row>
    <row r="99" spans="1:4" x14ac:dyDescent="0.25">
      <c r="A99" s="10">
        <v>45075</v>
      </c>
      <c r="B99">
        <v>0</v>
      </c>
      <c r="C99">
        <v>0</v>
      </c>
      <c r="D99">
        <f t="shared" si="1"/>
        <v>5</v>
      </c>
    </row>
    <row r="100" spans="1:4" x14ac:dyDescent="0.25">
      <c r="A100" s="10">
        <v>45076</v>
      </c>
      <c r="B100">
        <v>0</v>
      </c>
      <c r="C100">
        <v>0</v>
      </c>
      <c r="D100">
        <f t="shared" si="1"/>
        <v>5</v>
      </c>
    </row>
    <row r="101" spans="1:4" x14ac:dyDescent="0.25">
      <c r="A101" s="10">
        <v>45077</v>
      </c>
      <c r="B101">
        <v>0</v>
      </c>
      <c r="C101">
        <v>0</v>
      </c>
      <c r="D101">
        <f t="shared" si="1"/>
        <v>5</v>
      </c>
    </row>
    <row r="102" spans="1:4" x14ac:dyDescent="0.25">
      <c r="A102" s="10">
        <v>45078</v>
      </c>
      <c r="B102">
        <v>0</v>
      </c>
      <c r="C102">
        <v>0</v>
      </c>
      <c r="D102">
        <f t="shared" si="1"/>
        <v>6</v>
      </c>
    </row>
    <row r="103" spans="1:4" x14ac:dyDescent="0.25">
      <c r="A103" s="10">
        <v>45079</v>
      </c>
      <c r="B103">
        <v>0</v>
      </c>
      <c r="C103">
        <v>0</v>
      </c>
      <c r="D103">
        <f t="shared" si="1"/>
        <v>6</v>
      </c>
    </row>
    <row r="104" spans="1:4" x14ac:dyDescent="0.25">
      <c r="A104" s="10">
        <v>45082</v>
      </c>
      <c r="B104">
        <v>0</v>
      </c>
      <c r="C104">
        <v>0</v>
      </c>
      <c r="D104">
        <f t="shared" si="1"/>
        <v>6</v>
      </c>
    </row>
    <row r="105" spans="1:4" x14ac:dyDescent="0.25">
      <c r="A105" s="10">
        <v>45083</v>
      </c>
      <c r="B105">
        <v>0</v>
      </c>
      <c r="C105">
        <v>0</v>
      </c>
      <c r="D105">
        <f t="shared" si="1"/>
        <v>6</v>
      </c>
    </row>
    <row r="106" spans="1:4" x14ac:dyDescent="0.25">
      <c r="A106" s="10">
        <v>45084</v>
      </c>
      <c r="B106">
        <v>0</v>
      </c>
      <c r="C106">
        <v>0</v>
      </c>
      <c r="D106">
        <f t="shared" si="1"/>
        <v>6</v>
      </c>
    </row>
    <row r="107" spans="1:4" x14ac:dyDescent="0.25">
      <c r="A107" s="10">
        <v>45085</v>
      </c>
      <c r="B107">
        <v>0</v>
      </c>
      <c r="C107">
        <v>0</v>
      </c>
      <c r="D107">
        <f t="shared" si="1"/>
        <v>6</v>
      </c>
    </row>
    <row r="108" spans="1:4" x14ac:dyDescent="0.25">
      <c r="A108" s="10">
        <v>45086</v>
      </c>
      <c r="B108">
        <v>0</v>
      </c>
      <c r="C108">
        <v>0</v>
      </c>
      <c r="D108">
        <f t="shared" si="1"/>
        <v>6</v>
      </c>
    </row>
    <row r="109" spans="1:4" x14ac:dyDescent="0.25">
      <c r="A109" s="10">
        <v>45089</v>
      </c>
      <c r="B109">
        <v>0</v>
      </c>
      <c r="C109">
        <v>0</v>
      </c>
      <c r="D109">
        <f t="shared" si="1"/>
        <v>6</v>
      </c>
    </row>
    <row r="110" spans="1:4" x14ac:dyDescent="0.25">
      <c r="A110" s="10">
        <v>45090</v>
      </c>
      <c r="B110">
        <v>0</v>
      </c>
      <c r="C110">
        <v>0</v>
      </c>
      <c r="D110">
        <f t="shared" si="1"/>
        <v>6</v>
      </c>
    </row>
    <row r="111" spans="1:4" x14ac:dyDescent="0.25">
      <c r="A111" s="10">
        <v>45091</v>
      </c>
      <c r="B111">
        <v>0</v>
      </c>
      <c r="C111">
        <v>0</v>
      </c>
      <c r="D111">
        <f t="shared" si="1"/>
        <v>6</v>
      </c>
    </row>
    <row r="112" spans="1:4" x14ac:dyDescent="0.25">
      <c r="A112" s="10">
        <v>45092</v>
      </c>
      <c r="B112">
        <v>0</v>
      </c>
      <c r="C112">
        <v>0</v>
      </c>
      <c r="D112">
        <f t="shared" si="1"/>
        <v>6</v>
      </c>
    </row>
    <row r="113" spans="1:4" x14ac:dyDescent="0.25">
      <c r="A113" s="10">
        <v>45093</v>
      </c>
      <c r="B113">
        <v>0</v>
      </c>
      <c r="C113">
        <v>0</v>
      </c>
      <c r="D113">
        <f t="shared" si="1"/>
        <v>6</v>
      </c>
    </row>
    <row r="114" spans="1:4" x14ac:dyDescent="0.25">
      <c r="A114" s="10">
        <v>45098</v>
      </c>
      <c r="B114">
        <v>0</v>
      </c>
      <c r="C114">
        <v>0</v>
      </c>
      <c r="D114">
        <f t="shared" si="1"/>
        <v>6</v>
      </c>
    </row>
    <row r="115" spans="1:4" x14ac:dyDescent="0.25">
      <c r="A115" s="10">
        <v>45099</v>
      </c>
      <c r="B115">
        <v>0</v>
      </c>
      <c r="C115">
        <v>0</v>
      </c>
      <c r="D115">
        <f t="shared" si="1"/>
        <v>6</v>
      </c>
    </row>
    <row r="116" spans="1:4" x14ac:dyDescent="0.25">
      <c r="A116" s="10">
        <v>45100</v>
      </c>
      <c r="B116">
        <v>0</v>
      </c>
      <c r="C116">
        <v>0</v>
      </c>
      <c r="D116">
        <f t="shared" si="1"/>
        <v>6</v>
      </c>
    </row>
    <row r="117" spans="1:4" x14ac:dyDescent="0.25">
      <c r="A117" s="10">
        <v>45103</v>
      </c>
      <c r="B117">
        <v>0</v>
      </c>
      <c r="C117">
        <v>0</v>
      </c>
      <c r="D117">
        <f t="shared" si="1"/>
        <v>6</v>
      </c>
    </row>
    <row r="118" spans="1:4" x14ac:dyDescent="0.25">
      <c r="A118" s="10">
        <v>45104</v>
      </c>
      <c r="B118">
        <v>0</v>
      </c>
      <c r="C118">
        <v>0</v>
      </c>
      <c r="D118">
        <f t="shared" si="1"/>
        <v>6</v>
      </c>
    </row>
    <row r="119" spans="1:4" x14ac:dyDescent="0.25">
      <c r="A119" s="10">
        <v>45105</v>
      </c>
      <c r="B119">
        <v>0</v>
      </c>
      <c r="C119">
        <v>0</v>
      </c>
      <c r="D119">
        <f t="shared" si="1"/>
        <v>6</v>
      </c>
    </row>
    <row r="120" spans="1:4" x14ac:dyDescent="0.25">
      <c r="A120" s="10">
        <v>45106</v>
      </c>
      <c r="B120">
        <v>0</v>
      </c>
      <c r="C120">
        <v>0</v>
      </c>
      <c r="D120">
        <f t="shared" si="1"/>
        <v>6</v>
      </c>
    </row>
    <row r="121" spans="1:4" x14ac:dyDescent="0.25">
      <c r="A121" s="10">
        <v>45107</v>
      </c>
      <c r="B121">
        <v>688000</v>
      </c>
      <c r="C121">
        <v>0</v>
      </c>
      <c r="D121">
        <f t="shared" si="1"/>
        <v>6</v>
      </c>
    </row>
    <row r="122" spans="1:4" x14ac:dyDescent="0.25">
      <c r="A122" s="10">
        <v>45110</v>
      </c>
      <c r="B122">
        <v>0</v>
      </c>
      <c r="C122">
        <v>0</v>
      </c>
      <c r="D122">
        <f t="shared" si="1"/>
        <v>7</v>
      </c>
    </row>
    <row r="123" spans="1:4" x14ac:dyDescent="0.25">
      <c r="A123" s="10">
        <v>45111</v>
      </c>
      <c r="B123">
        <v>0</v>
      </c>
      <c r="C123">
        <v>0</v>
      </c>
      <c r="D123">
        <f t="shared" si="1"/>
        <v>7</v>
      </c>
    </row>
    <row r="124" spans="1:4" x14ac:dyDescent="0.25">
      <c r="A124" s="10">
        <v>45112</v>
      </c>
      <c r="B124">
        <v>0</v>
      </c>
      <c r="C124">
        <v>0</v>
      </c>
      <c r="D124">
        <f t="shared" si="1"/>
        <v>7</v>
      </c>
    </row>
    <row r="125" spans="1:4" x14ac:dyDescent="0.25">
      <c r="A125" s="10">
        <v>45113</v>
      </c>
      <c r="B125">
        <v>0</v>
      </c>
      <c r="C125">
        <v>0</v>
      </c>
      <c r="D125">
        <f t="shared" si="1"/>
        <v>7</v>
      </c>
    </row>
    <row r="126" spans="1:4" x14ac:dyDescent="0.25">
      <c r="A126" s="10">
        <v>45114</v>
      </c>
      <c r="B126">
        <v>400000</v>
      </c>
      <c r="C126">
        <v>0</v>
      </c>
      <c r="D126">
        <f t="shared" si="1"/>
        <v>7</v>
      </c>
    </row>
    <row r="127" spans="1:4" x14ac:dyDescent="0.25">
      <c r="A127" s="10">
        <v>45117</v>
      </c>
      <c r="B127">
        <v>0</v>
      </c>
      <c r="C127">
        <v>0</v>
      </c>
      <c r="D127">
        <f t="shared" si="1"/>
        <v>7</v>
      </c>
    </row>
    <row r="128" spans="1:4" x14ac:dyDescent="0.25">
      <c r="A128" s="10">
        <v>45118</v>
      </c>
      <c r="B128">
        <v>0</v>
      </c>
      <c r="C128">
        <v>0</v>
      </c>
      <c r="D128">
        <f t="shared" si="1"/>
        <v>7</v>
      </c>
    </row>
    <row r="129" spans="1:4" x14ac:dyDescent="0.25">
      <c r="A129" s="10">
        <v>45119</v>
      </c>
      <c r="B129">
        <v>0</v>
      </c>
      <c r="C129">
        <v>0</v>
      </c>
      <c r="D129">
        <f t="shared" si="1"/>
        <v>7</v>
      </c>
    </row>
    <row r="130" spans="1:4" x14ac:dyDescent="0.25">
      <c r="A130" s="10">
        <v>45120</v>
      </c>
      <c r="B130">
        <v>40000</v>
      </c>
      <c r="C130">
        <v>150000</v>
      </c>
      <c r="D130">
        <f t="shared" si="1"/>
        <v>7</v>
      </c>
    </row>
    <row r="131" spans="1:4" x14ac:dyDescent="0.25">
      <c r="A131" s="10">
        <v>45121</v>
      </c>
      <c r="B131">
        <v>0</v>
      </c>
      <c r="C131">
        <v>0</v>
      </c>
      <c r="D131">
        <f t="shared" ref="D131:D194" si="2">+MONTH(A131)</f>
        <v>7</v>
      </c>
    </row>
    <row r="132" spans="1:4" x14ac:dyDescent="0.25">
      <c r="A132" s="10">
        <v>45124</v>
      </c>
      <c r="B132">
        <v>0</v>
      </c>
      <c r="C132">
        <v>0</v>
      </c>
      <c r="D132">
        <f t="shared" si="2"/>
        <v>7</v>
      </c>
    </row>
    <row r="133" spans="1:4" x14ac:dyDescent="0.25">
      <c r="A133" s="10">
        <v>45125</v>
      </c>
      <c r="B133">
        <v>0</v>
      </c>
      <c r="C133">
        <v>0</v>
      </c>
      <c r="D133">
        <f t="shared" si="2"/>
        <v>7</v>
      </c>
    </row>
    <row r="134" spans="1:4" x14ac:dyDescent="0.25">
      <c r="A134" s="10">
        <v>45126</v>
      </c>
      <c r="B134">
        <v>0</v>
      </c>
      <c r="C134">
        <v>0</v>
      </c>
      <c r="D134">
        <f t="shared" si="2"/>
        <v>7</v>
      </c>
    </row>
    <row r="135" spans="1:4" x14ac:dyDescent="0.25">
      <c r="A135" s="10">
        <v>45127</v>
      </c>
      <c r="B135">
        <v>0</v>
      </c>
      <c r="C135">
        <v>0</v>
      </c>
      <c r="D135">
        <f t="shared" si="2"/>
        <v>7</v>
      </c>
    </row>
    <row r="136" spans="1:4" x14ac:dyDescent="0.25">
      <c r="A136" s="10">
        <v>45128</v>
      </c>
      <c r="B136">
        <v>0</v>
      </c>
      <c r="C136">
        <v>0</v>
      </c>
      <c r="D136">
        <f t="shared" si="2"/>
        <v>7</v>
      </c>
    </row>
    <row r="137" spans="1:4" x14ac:dyDescent="0.25">
      <c r="A137" s="10">
        <v>45131</v>
      </c>
      <c r="B137">
        <v>0</v>
      </c>
      <c r="C137">
        <v>0</v>
      </c>
      <c r="D137">
        <f t="shared" si="2"/>
        <v>7</v>
      </c>
    </row>
    <row r="138" spans="1:4" x14ac:dyDescent="0.25">
      <c r="A138" s="10">
        <v>45132</v>
      </c>
      <c r="B138">
        <v>0</v>
      </c>
      <c r="C138">
        <v>0</v>
      </c>
      <c r="D138">
        <f t="shared" si="2"/>
        <v>7</v>
      </c>
    </row>
    <row r="139" spans="1:4" x14ac:dyDescent="0.25">
      <c r="A139" s="10">
        <v>45133</v>
      </c>
      <c r="B139">
        <v>0</v>
      </c>
      <c r="C139">
        <v>0</v>
      </c>
      <c r="D139">
        <f t="shared" si="2"/>
        <v>7</v>
      </c>
    </row>
    <row r="140" spans="1:4" x14ac:dyDescent="0.25">
      <c r="A140" s="10">
        <v>45134</v>
      </c>
      <c r="B140">
        <v>0</v>
      </c>
      <c r="C140">
        <v>0</v>
      </c>
      <c r="D140">
        <f t="shared" si="2"/>
        <v>7</v>
      </c>
    </row>
    <row r="141" spans="1:4" x14ac:dyDescent="0.25">
      <c r="A141" s="10">
        <v>45135</v>
      </c>
      <c r="B141">
        <v>0</v>
      </c>
      <c r="C141">
        <v>0</v>
      </c>
      <c r="D141">
        <f t="shared" si="2"/>
        <v>7</v>
      </c>
    </row>
    <row r="142" spans="1:4" x14ac:dyDescent="0.25">
      <c r="A142" s="10">
        <v>45138</v>
      </c>
      <c r="B142">
        <v>0</v>
      </c>
      <c r="C142">
        <v>0</v>
      </c>
      <c r="D142">
        <f t="shared" si="2"/>
        <v>7</v>
      </c>
    </row>
    <row r="143" spans="1:4" x14ac:dyDescent="0.25">
      <c r="A143" s="10">
        <v>45139</v>
      </c>
      <c r="B143">
        <v>0</v>
      </c>
      <c r="C143">
        <v>0</v>
      </c>
      <c r="D143">
        <f t="shared" si="2"/>
        <v>8</v>
      </c>
    </row>
    <row r="144" spans="1:4" x14ac:dyDescent="0.25">
      <c r="A144" s="10">
        <v>45140</v>
      </c>
      <c r="B144">
        <v>0</v>
      </c>
      <c r="C144">
        <v>0</v>
      </c>
      <c r="D144">
        <f t="shared" si="2"/>
        <v>8</v>
      </c>
    </row>
    <row r="145" spans="1:4" x14ac:dyDescent="0.25">
      <c r="A145" s="10">
        <v>45141</v>
      </c>
      <c r="B145">
        <v>0</v>
      </c>
      <c r="C145">
        <v>0</v>
      </c>
      <c r="D145">
        <f t="shared" si="2"/>
        <v>8</v>
      </c>
    </row>
    <row r="146" spans="1:4" x14ac:dyDescent="0.25">
      <c r="A146" s="10">
        <v>45142</v>
      </c>
      <c r="B146">
        <v>0</v>
      </c>
      <c r="C146">
        <v>250000</v>
      </c>
      <c r="D146">
        <f t="shared" si="2"/>
        <v>8</v>
      </c>
    </row>
    <row r="147" spans="1:4" x14ac:dyDescent="0.25">
      <c r="A147" s="10">
        <v>45145</v>
      </c>
      <c r="B147">
        <v>0</v>
      </c>
      <c r="C147">
        <v>0</v>
      </c>
      <c r="D147">
        <f t="shared" si="2"/>
        <v>8</v>
      </c>
    </row>
    <row r="148" spans="1:4" x14ac:dyDescent="0.25">
      <c r="A148" s="10">
        <v>45146</v>
      </c>
      <c r="B148">
        <v>0</v>
      </c>
      <c r="C148">
        <v>0</v>
      </c>
      <c r="D148">
        <f t="shared" si="2"/>
        <v>8</v>
      </c>
    </row>
    <row r="149" spans="1:4" x14ac:dyDescent="0.25">
      <c r="A149" s="10">
        <v>45147</v>
      </c>
      <c r="B149">
        <v>0</v>
      </c>
      <c r="C149">
        <v>0</v>
      </c>
      <c r="D149">
        <f t="shared" si="2"/>
        <v>8</v>
      </c>
    </row>
    <row r="150" spans="1:4" x14ac:dyDescent="0.25">
      <c r="A150" s="10">
        <v>45148</v>
      </c>
      <c r="B150">
        <v>0</v>
      </c>
      <c r="C150">
        <v>0</v>
      </c>
      <c r="D150">
        <f t="shared" si="2"/>
        <v>8</v>
      </c>
    </row>
    <row r="151" spans="1:4" x14ac:dyDescent="0.25">
      <c r="A151" s="10">
        <v>45149</v>
      </c>
      <c r="B151">
        <v>0</v>
      </c>
      <c r="C151">
        <v>0</v>
      </c>
      <c r="D151">
        <f t="shared" si="2"/>
        <v>8</v>
      </c>
    </row>
    <row r="152" spans="1:4" x14ac:dyDescent="0.25">
      <c r="A152" s="10">
        <v>45152</v>
      </c>
      <c r="B152">
        <v>0</v>
      </c>
      <c r="C152">
        <v>0</v>
      </c>
      <c r="D152">
        <f t="shared" si="2"/>
        <v>8</v>
      </c>
    </row>
    <row r="153" spans="1:4" x14ac:dyDescent="0.25">
      <c r="A153" s="10">
        <v>45153</v>
      </c>
      <c r="B153">
        <v>0</v>
      </c>
      <c r="C153">
        <v>0</v>
      </c>
      <c r="D153">
        <f t="shared" si="2"/>
        <v>8</v>
      </c>
    </row>
    <row r="154" spans="1:4" x14ac:dyDescent="0.25">
      <c r="A154" s="10">
        <v>45154</v>
      </c>
      <c r="B154">
        <v>0</v>
      </c>
      <c r="C154">
        <v>0</v>
      </c>
      <c r="D154">
        <f t="shared" si="2"/>
        <v>8</v>
      </c>
    </row>
    <row r="155" spans="1:4" x14ac:dyDescent="0.25">
      <c r="A155" s="10">
        <v>45155</v>
      </c>
      <c r="B155">
        <v>0</v>
      </c>
      <c r="C155">
        <v>0</v>
      </c>
      <c r="D155">
        <f t="shared" si="2"/>
        <v>8</v>
      </c>
    </row>
    <row r="156" spans="1:4" x14ac:dyDescent="0.25">
      <c r="A156" s="10">
        <v>45156</v>
      </c>
      <c r="B156">
        <v>0</v>
      </c>
      <c r="C156">
        <v>0</v>
      </c>
      <c r="D156">
        <f t="shared" si="2"/>
        <v>8</v>
      </c>
    </row>
    <row r="157" spans="1:4" x14ac:dyDescent="0.25">
      <c r="A157" s="10">
        <v>45160</v>
      </c>
      <c r="B157">
        <v>0</v>
      </c>
      <c r="C157">
        <v>0</v>
      </c>
      <c r="D157">
        <f t="shared" si="2"/>
        <v>8</v>
      </c>
    </row>
    <row r="158" spans="1:4" x14ac:dyDescent="0.25">
      <c r="A158" s="10">
        <v>45161</v>
      </c>
      <c r="B158">
        <v>-500000</v>
      </c>
      <c r="C158">
        <v>0</v>
      </c>
      <c r="D158">
        <f t="shared" si="2"/>
        <v>8</v>
      </c>
    </row>
    <row r="159" spans="1:4" x14ac:dyDescent="0.25">
      <c r="A159" s="10">
        <v>45162</v>
      </c>
      <c r="B159">
        <v>0</v>
      </c>
      <c r="C159">
        <v>0</v>
      </c>
      <c r="D159">
        <f t="shared" si="2"/>
        <v>8</v>
      </c>
    </row>
    <row r="160" spans="1:4" x14ac:dyDescent="0.25">
      <c r="A160" s="10">
        <v>45163</v>
      </c>
      <c r="B160">
        <v>0</v>
      </c>
      <c r="C160">
        <v>0</v>
      </c>
      <c r="D160">
        <f t="shared" si="2"/>
        <v>8</v>
      </c>
    </row>
    <row r="161" spans="1:4" x14ac:dyDescent="0.25">
      <c r="A161" s="10">
        <v>45166</v>
      </c>
      <c r="B161">
        <v>0</v>
      </c>
      <c r="C161">
        <v>0</v>
      </c>
      <c r="D161">
        <f t="shared" si="2"/>
        <v>8</v>
      </c>
    </row>
    <row r="162" spans="1:4" x14ac:dyDescent="0.25">
      <c r="A162" s="10">
        <v>45167</v>
      </c>
      <c r="B162">
        <v>0</v>
      </c>
      <c r="C162">
        <v>0</v>
      </c>
      <c r="D162">
        <f t="shared" si="2"/>
        <v>8</v>
      </c>
    </row>
    <row r="163" spans="1:4" x14ac:dyDescent="0.25">
      <c r="A163" s="10">
        <v>45168</v>
      </c>
      <c r="B163">
        <v>0</v>
      </c>
      <c r="C163">
        <v>0</v>
      </c>
      <c r="D163">
        <f t="shared" si="2"/>
        <v>8</v>
      </c>
    </row>
    <row r="164" spans="1:4" x14ac:dyDescent="0.25">
      <c r="A164" s="10">
        <v>45169</v>
      </c>
      <c r="B164">
        <v>0</v>
      </c>
      <c r="C164">
        <v>0</v>
      </c>
      <c r="D164">
        <f t="shared" si="2"/>
        <v>8</v>
      </c>
    </row>
    <row r="165" spans="1:4" x14ac:dyDescent="0.25">
      <c r="A165" s="10">
        <v>45170</v>
      </c>
      <c r="B165">
        <v>0</v>
      </c>
      <c r="C165">
        <v>0</v>
      </c>
      <c r="D165">
        <f t="shared" si="2"/>
        <v>9</v>
      </c>
    </row>
    <row r="166" spans="1:4" x14ac:dyDescent="0.25">
      <c r="A166" s="10">
        <v>45173</v>
      </c>
      <c r="B166">
        <v>0</v>
      </c>
      <c r="C166">
        <v>0</v>
      </c>
      <c r="D166">
        <f t="shared" si="2"/>
        <v>9</v>
      </c>
    </row>
    <row r="167" spans="1:4" x14ac:dyDescent="0.25">
      <c r="A167" s="10">
        <v>45174</v>
      </c>
      <c r="B167">
        <v>0</v>
      </c>
      <c r="C167">
        <v>0</v>
      </c>
      <c r="D167">
        <f t="shared" si="2"/>
        <v>9</v>
      </c>
    </row>
    <row r="168" spans="1:4" x14ac:dyDescent="0.25">
      <c r="A168" s="10">
        <v>45175</v>
      </c>
      <c r="B168">
        <v>0</v>
      </c>
      <c r="C168">
        <v>0</v>
      </c>
      <c r="D168">
        <f t="shared" si="2"/>
        <v>9</v>
      </c>
    </row>
    <row r="169" spans="1:4" x14ac:dyDescent="0.25">
      <c r="A169" s="10">
        <v>45176</v>
      </c>
      <c r="B169">
        <v>0</v>
      </c>
      <c r="C169">
        <v>0</v>
      </c>
      <c r="D169">
        <f t="shared" si="2"/>
        <v>9</v>
      </c>
    </row>
    <row r="170" spans="1:4" x14ac:dyDescent="0.25">
      <c r="A170" s="10">
        <v>45177</v>
      </c>
      <c r="B170">
        <v>0</v>
      </c>
      <c r="C170">
        <v>0</v>
      </c>
      <c r="D170">
        <f t="shared" si="2"/>
        <v>9</v>
      </c>
    </row>
    <row r="171" spans="1:4" x14ac:dyDescent="0.25">
      <c r="A171" s="10">
        <v>45180</v>
      </c>
      <c r="B171">
        <v>0</v>
      </c>
      <c r="C171">
        <v>0</v>
      </c>
      <c r="D171">
        <f t="shared" si="2"/>
        <v>9</v>
      </c>
    </row>
    <row r="172" spans="1:4" x14ac:dyDescent="0.25">
      <c r="A172" s="10">
        <v>45181</v>
      </c>
      <c r="B172">
        <v>0</v>
      </c>
      <c r="C172">
        <v>0</v>
      </c>
      <c r="D172">
        <f t="shared" si="2"/>
        <v>9</v>
      </c>
    </row>
    <row r="173" spans="1:4" x14ac:dyDescent="0.25">
      <c r="A173" s="10">
        <v>45182</v>
      </c>
      <c r="B173">
        <v>0</v>
      </c>
      <c r="C173">
        <v>0</v>
      </c>
      <c r="D173">
        <f t="shared" si="2"/>
        <v>9</v>
      </c>
    </row>
    <row r="174" spans="1:4" x14ac:dyDescent="0.25">
      <c r="A174" s="10">
        <v>45183</v>
      </c>
      <c r="B174">
        <v>0</v>
      </c>
      <c r="C174">
        <v>0</v>
      </c>
      <c r="D174">
        <f t="shared" si="2"/>
        <v>9</v>
      </c>
    </row>
    <row r="175" spans="1:4" x14ac:dyDescent="0.25">
      <c r="A175" s="10">
        <v>45184</v>
      </c>
      <c r="B175">
        <v>0</v>
      </c>
      <c r="C175">
        <v>0</v>
      </c>
      <c r="D175">
        <f t="shared" si="2"/>
        <v>9</v>
      </c>
    </row>
    <row r="176" spans="1:4" x14ac:dyDescent="0.25">
      <c r="A176" s="10">
        <v>45187</v>
      </c>
      <c r="B176">
        <v>0</v>
      </c>
      <c r="C176">
        <v>0</v>
      </c>
      <c r="D176">
        <f t="shared" si="2"/>
        <v>9</v>
      </c>
    </row>
    <row r="177" spans="1:4" x14ac:dyDescent="0.25">
      <c r="A177" s="10">
        <v>45188</v>
      </c>
      <c r="B177">
        <v>0</v>
      </c>
      <c r="C177">
        <v>0</v>
      </c>
      <c r="D177">
        <f t="shared" si="2"/>
        <v>9</v>
      </c>
    </row>
    <row r="178" spans="1:4" x14ac:dyDescent="0.25">
      <c r="A178" s="10">
        <v>45189</v>
      </c>
      <c r="B178">
        <v>0</v>
      </c>
      <c r="C178">
        <v>0</v>
      </c>
      <c r="D178">
        <f t="shared" si="2"/>
        <v>9</v>
      </c>
    </row>
    <row r="179" spans="1:4" x14ac:dyDescent="0.25">
      <c r="A179" s="10">
        <v>45190</v>
      </c>
      <c r="B179">
        <v>0</v>
      </c>
      <c r="C179">
        <v>0</v>
      </c>
      <c r="D179">
        <f t="shared" si="2"/>
        <v>9</v>
      </c>
    </row>
    <row r="180" spans="1:4" x14ac:dyDescent="0.25">
      <c r="A180" s="10">
        <v>45191</v>
      </c>
      <c r="B180">
        <v>0</v>
      </c>
      <c r="C180">
        <v>0</v>
      </c>
      <c r="D180">
        <f t="shared" si="2"/>
        <v>9</v>
      </c>
    </row>
    <row r="181" spans="1:4" x14ac:dyDescent="0.25">
      <c r="A181" s="10">
        <v>45194</v>
      </c>
      <c r="B181">
        <v>0</v>
      </c>
      <c r="C181">
        <v>0</v>
      </c>
      <c r="D181">
        <f t="shared" si="2"/>
        <v>9</v>
      </c>
    </row>
    <row r="182" spans="1:4" x14ac:dyDescent="0.25">
      <c r="A182" s="10">
        <v>45195</v>
      </c>
      <c r="B182">
        <v>0</v>
      </c>
      <c r="C182">
        <v>0</v>
      </c>
      <c r="D182">
        <f t="shared" si="2"/>
        <v>9</v>
      </c>
    </row>
    <row r="183" spans="1:4" x14ac:dyDescent="0.25">
      <c r="A183" s="10">
        <v>45196</v>
      </c>
      <c r="B183">
        <v>0</v>
      </c>
      <c r="C183">
        <v>0</v>
      </c>
      <c r="D183">
        <f t="shared" si="2"/>
        <v>9</v>
      </c>
    </row>
    <row r="184" spans="1:4" x14ac:dyDescent="0.25">
      <c r="A184" s="10">
        <v>45197</v>
      </c>
      <c r="B184">
        <v>0</v>
      </c>
      <c r="C184">
        <v>0</v>
      </c>
      <c r="D184">
        <f t="shared" si="2"/>
        <v>9</v>
      </c>
    </row>
    <row r="185" spans="1:4" x14ac:dyDescent="0.25">
      <c r="A185" s="10">
        <v>45198</v>
      </c>
      <c r="B185">
        <v>0</v>
      </c>
      <c r="C185">
        <v>0</v>
      </c>
      <c r="D185">
        <f t="shared" si="2"/>
        <v>9</v>
      </c>
    </row>
    <row r="186" spans="1:4" x14ac:dyDescent="0.25">
      <c r="A186" s="10">
        <v>45201</v>
      </c>
      <c r="B186">
        <v>0</v>
      </c>
      <c r="C186">
        <v>0</v>
      </c>
      <c r="D186">
        <f t="shared" si="2"/>
        <v>10</v>
      </c>
    </row>
    <row r="187" spans="1:4" x14ac:dyDescent="0.25">
      <c r="A187" s="10">
        <v>45202</v>
      </c>
      <c r="B187">
        <v>0</v>
      </c>
      <c r="C187">
        <v>0</v>
      </c>
      <c r="D187">
        <f t="shared" si="2"/>
        <v>10</v>
      </c>
    </row>
    <row r="188" spans="1:4" x14ac:dyDescent="0.25">
      <c r="A188" s="10">
        <v>45203</v>
      </c>
      <c r="B188">
        <v>0</v>
      </c>
      <c r="C188">
        <v>0</v>
      </c>
      <c r="D188">
        <f t="shared" si="2"/>
        <v>10</v>
      </c>
    </row>
    <row r="189" spans="1:4" x14ac:dyDescent="0.25">
      <c r="A189" s="10">
        <v>45204</v>
      </c>
      <c r="B189">
        <v>0</v>
      </c>
      <c r="C189">
        <v>0</v>
      </c>
      <c r="D189">
        <f t="shared" si="2"/>
        <v>10</v>
      </c>
    </row>
    <row r="190" spans="1:4" x14ac:dyDescent="0.25">
      <c r="A190" s="10">
        <v>45205</v>
      </c>
      <c r="B190">
        <v>0</v>
      </c>
      <c r="C190">
        <v>0</v>
      </c>
      <c r="D190">
        <f t="shared" si="2"/>
        <v>10</v>
      </c>
    </row>
    <row r="191" spans="1:4" x14ac:dyDescent="0.25">
      <c r="A191" s="10">
        <v>45208</v>
      </c>
      <c r="B191">
        <v>0</v>
      </c>
      <c r="C191">
        <v>0</v>
      </c>
      <c r="D191">
        <f t="shared" si="2"/>
        <v>10</v>
      </c>
    </row>
    <row r="192" spans="1:4" x14ac:dyDescent="0.25">
      <c r="A192" s="10">
        <v>45209</v>
      </c>
      <c r="B192">
        <v>0</v>
      </c>
      <c r="C192">
        <v>0</v>
      </c>
      <c r="D192">
        <f t="shared" si="2"/>
        <v>10</v>
      </c>
    </row>
    <row r="193" spans="1:4" x14ac:dyDescent="0.25">
      <c r="A193" s="10">
        <v>45210</v>
      </c>
      <c r="B193">
        <v>0</v>
      </c>
      <c r="C193">
        <v>0</v>
      </c>
      <c r="D193">
        <f t="shared" si="2"/>
        <v>10</v>
      </c>
    </row>
    <row r="194" spans="1:4" x14ac:dyDescent="0.25">
      <c r="A194" s="10">
        <v>45211</v>
      </c>
      <c r="B194">
        <v>0</v>
      </c>
      <c r="C194">
        <v>0</v>
      </c>
      <c r="D194">
        <f t="shared" si="2"/>
        <v>10</v>
      </c>
    </row>
    <row r="195" spans="1:4" x14ac:dyDescent="0.25">
      <c r="A195" s="10">
        <v>45216</v>
      </c>
      <c r="B195">
        <v>0</v>
      </c>
      <c r="C195">
        <v>0</v>
      </c>
      <c r="D195">
        <f t="shared" ref="D195:D244" si="3">+MONTH(A195)</f>
        <v>10</v>
      </c>
    </row>
    <row r="196" spans="1:4" x14ac:dyDescent="0.25">
      <c r="A196" s="10">
        <v>45217</v>
      </c>
      <c r="B196">
        <v>0</v>
      </c>
      <c r="C196">
        <v>0</v>
      </c>
      <c r="D196">
        <f t="shared" si="3"/>
        <v>10</v>
      </c>
    </row>
    <row r="197" spans="1:4" x14ac:dyDescent="0.25">
      <c r="A197" s="10">
        <v>45218</v>
      </c>
      <c r="B197">
        <v>0</v>
      </c>
      <c r="C197">
        <v>0</v>
      </c>
      <c r="D197">
        <f t="shared" si="3"/>
        <v>10</v>
      </c>
    </row>
    <row r="198" spans="1:4" x14ac:dyDescent="0.25">
      <c r="A198" s="10">
        <v>45219</v>
      </c>
      <c r="B198">
        <v>0</v>
      </c>
      <c r="C198">
        <v>0</v>
      </c>
      <c r="D198">
        <f t="shared" si="3"/>
        <v>10</v>
      </c>
    </row>
    <row r="199" spans="1:4" x14ac:dyDescent="0.25">
      <c r="A199" s="10">
        <v>45222</v>
      </c>
      <c r="B199">
        <v>0</v>
      </c>
      <c r="C199">
        <v>0</v>
      </c>
      <c r="D199">
        <f t="shared" si="3"/>
        <v>10</v>
      </c>
    </row>
    <row r="200" spans="1:4" x14ac:dyDescent="0.25">
      <c r="A200" s="10">
        <v>45223</v>
      </c>
      <c r="B200">
        <v>0</v>
      </c>
      <c r="C200">
        <v>0</v>
      </c>
      <c r="D200">
        <f t="shared" si="3"/>
        <v>10</v>
      </c>
    </row>
    <row r="201" spans="1:4" x14ac:dyDescent="0.25">
      <c r="A201" s="10">
        <v>45224</v>
      </c>
      <c r="B201">
        <v>0</v>
      </c>
      <c r="C201">
        <v>0</v>
      </c>
      <c r="D201">
        <f t="shared" si="3"/>
        <v>10</v>
      </c>
    </row>
    <row r="202" spans="1:4" x14ac:dyDescent="0.25">
      <c r="A202" s="10">
        <v>45225</v>
      </c>
      <c r="B202">
        <v>0</v>
      </c>
      <c r="C202">
        <v>0</v>
      </c>
      <c r="D202">
        <f t="shared" si="3"/>
        <v>10</v>
      </c>
    </row>
    <row r="203" spans="1:4" x14ac:dyDescent="0.25">
      <c r="A203" s="10">
        <v>45226</v>
      </c>
      <c r="B203">
        <v>0</v>
      </c>
      <c r="C203">
        <v>0</v>
      </c>
      <c r="D203">
        <f t="shared" si="3"/>
        <v>10</v>
      </c>
    </row>
    <row r="204" spans="1:4" x14ac:dyDescent="0.25">
      <c r="A204" s="10">
        <v>45229</v>
      </c>
      <c r="B204">
        <v>0</v>
      </c>
      <c r="C204">
        <v>0</v>
      </c>
      <c r="D204">
        <f t="shared" si="3"/>
        <v>10</v>
      </c>
    </row>
    <row r="205" spans="1:4" x14ac:dyDescent="0.25">
      <c r="A205" s="10">
        <v>45230</v>
      </c>
      <c r="B205">
        <v>0</v>
      </c>
      <c r="C205">
        <v>0</v>
      </c>
      <c r="D205">
        <f t="shared" si="3"/>
        <v>10</v>
      </c>
    </row>
    <row r="206" spans="1:4" x14ac:dyDescent="0.25">
      <c r="A206" s="10">
        <v>45231</v>
      </c>
      <c r="B206">
        <v>0</v>
      </c>
      <c r="C206">
        <v>0</v>
      </c>
      <c r="D206">
        <f t="shared" si="3"/>
        <v>11</v>
      </c>
    </row>
    <row r="207" spans="1:4" x14ac:dyDescent="0.25">
      <c r="A207" s="10">
        <v>45232</v>
      </c>
      <c r="B207">
        <v>0</v>
      </c>
      <c r="C207">
        <v>0</v>
      </c>
      <c r="D207">
        <f t="shared" si="3"/>
        <v>11</v>
      </c>
    </row>
    <row r="208" spans="1:4" x14ac:dyDescent="0.25">
      <c r="A208" s="10">
        <v>45233</v>
      </c>
      <c r="B208">
        <v>0</v>
      </c>
      <c r="C208">
        <v>0</v>
      </c>
      <c r="D208">
        <f t="shared" si="3"/>
        <v>11</v>
      </c>
    </row>
    <row r="209" spans="1:4" x14ac:dyDescent="0.25">
      <c r="A209" s="10">
        <v>45237</v>
      </c>
      <c r="B209">
        <v>0</v>
      </c>
      <c r="C209">
        <v>0</v>
      </c>
      <c r="D209">
        <f t="shared" si="3"/>
        <v>11</v>
      </c>
    </row>
    <row r="210" spans="1:4" x14ac:dyDescent="0.25">
      <c r="A210" s="10">
        <v>45238</v>
      </c>
      <c r="B210">
        <v>0</v>
      </c>
      <c r="C210">
        <v>0</v>
      </c>
      <c r="D210">
        <f t="shared" si="3"/>
        <v>11</v>
      </c>
    </row>
    <row r="211" spans="1:4" x14ac:dyDescent="0.25">
      <c r="A211" s="10">
        <v>45239</v>
      </c>
      <c r="B211">
        <v>0</v>
      </c>
      <c r="C211">
        <v>0</v>
      </c>
      <c r="D211">
        <f t="shared" si="3"/>
        <v>11</v>
      </c>
    </row>
    <row r="212" spans="1:4" x14ac:dyDescent="0.25">
      <c r="A212" s="10">
        <v>45240</v>
      </c>
      <c r="B212">
        <v>0</v>
      </c>
      <c r="C212">
        <v>0</v>
      </c>
      <c r="D212">
        <f t="shared" si="3"/>
        <v>11</v>
      </c>
    </row>
    <row r="213" spans="1:4" x14ac:dyDescent="0.25">
      <c r="A213" s="10">
        <v>45243</v>
      </c>
      <c r="B213">
        <v>0</v>
      </c>
      <c r="C213">
        <v>0</v>
      </c>
      <c r="D213">
        <f t="shared" si="3"/>
        <v>11</v>
      </c>
    </row>
    <row r="214" spans="1:4" x14ac:dyDescent="0.25">
      <c r="A214" s="10">
        <v>45244</v>
      </c>
      <c r="B214">
        <v>0</v>
      </c>
      <c r="C214">
        <v>0</v>
      </c>
      <c r="D214">
        <f t="shared" si="3"/>
        <v>11</v>
      </c>
    </row>
    <row r="215" spans="1:4" x14ac:dyDescent="0.25">
      <c r="A215" s="10">
        <v>45245</v>
      </c>
      <c r="B215">
        <v>0</v>
      </c>
      <c r="C215">
        <v>0</v>
      </c>
      <c r="D215">
        <f t="shared" si="3"/>
        <v>11</v>
      </c>
    </row>
    <row r="216" spans="1:4" x14ac:dyDescent="0.25">
      <c r="A216" s="10">
        <v>45246</v>
      </c>
      <c r="B216">
        <v>0</v>
      </c>
      <c r="C216">
        <v>0</v>
      </c>
      <c r="D216">
        <f t="shared" si="3"/>
        <v>11</v>
      </c>
    </row>
    <row r="217" spans="1:4" x14ac:dyDescent="0.25">
      <c r="A217" s="10">
        <v>45247</v>
      </c>
      <c r="B217">
        <v>0</v>
      </c>
      <c r="C217">
        <v>0</v>
      </c>
      <c r="D217">
        <f t="shared" si="3"/>
        <v>11</v>
      </c>
    </row>
    <row r="218" spans="1:4" x14ac:dyDescent="0.25">
      <c r="A218" s="10">
        <v>45251</v>
      </c>
      <c r="B218">
        <v>0</v>
      </c>
      <c r="C218">
        <v>0</v>
      </c>
      <c r="D218">
        <f t="shared" si="3"/>
        <v>11</v>
      </c>
    </row>
    <row r="219" spans="1:4" x14ac:dyDescent="0.25">
      <c r="A219" s="10">
        <v>45252</v>
      </c>
      <c r="B219">
        <v>0</v>
      </c>
      <c r="C219">
        <v>0</v>
      </c>
      <c r="D219">
        <f t="shared" si="3"/>
        <v>11</v>
      </c>
    </row>
    <row r="220" spans="1:4" x14ac:dyDescent="0.25">
      <c r="A220" s="10">
        <v>45253</v>
      </c>
      <c r="B220">
        <v>0</v>
      </c>
      <c r="C220">
        <v>0</v>
      </c>
      <c r="D220">
        <f t="shared" si="3"/>
        <v>11</v>
      </c>
    </row>
    <row r="221" spans="1:4" x14ac:dyDescent="0.25">
      <c r="A221" s="10">
        <v>45254</v>
      </c>
      <c r="B221">
        <v>0</v>
      </c>
      <c r="C221">
        <v>0</v>
      </c>
      <c r="D221">
        <f t="shared" si="3"/>
        <v>11</v>
      </c>
    </row>
    <row r="222" spans="1:4" x14ac:dyDescent="0.25">
      <c r="A222" s="10">
        <v>45257</v>
      </c>
      <c r="B222">
        <v>0</v>
      </c>
      <c r="C222">
        <v>0</v>
      </c>
      <c r="D222">
        <f t="shared" si="3"/>
        <v>11</v>
      </c>
    </row>
    <row r="223" spans="1:4" x14ac:dyDescent="0.25">
      <c r="A223" s="10">
        <v>45258</v>
      </c>
      <c r="B223">
        <v>0</v>
      </c>
      <c r="C223">
        <v>0</v>
      </c>
      <c r="D223">
        <f t="shared" si="3"/>
        <v>11</v>
      </c>
    </row>
    <row r="224" spans="1:4" x14ac:dyDescent="0.25">
      <c r="A224" s="10">
        <v>45259</v>
      </c>
      <c r="B224">
        <v>0</v>
      </c>
      <c r="C224">
        <v>0</v>
      </c>
      <c r="D224">
        <f t="shared" si="3"/>
        <v>11</v>
      </c>
    </row>
    <row r="225" spans="1:4" x14ac:dyDescent="0.25">
      <c r="A225" s="10">
        <v>45260</v>
      </c>
      <c r="B225">
        <v>0</v>
      </c>
      <c r="C225">
        <v>0</v>
      </c>
      <c r="D225">
        <f t="shared" si="3"/>
        <v>11</v>
      </c>
    </row>
    <row r="226" spans="1:4" x14ac:dyDescent="0.25">
      <c r="A226" s="10">
        <v>45261</v>
      </c>
      <c r="B226">
        <v>0</v>
      </c>
      <c r="C226">
        <v>0</v>
      </c>
      <c r="D226">
        <f t="shared" si="3"/>
        <v>12</v>
      </c>
    </row>
    <row r="227" spans="1:4" x14ac:dyDescent="0.25">
      <c r="A227" s="10">
        <v>45264</v>
      </c>
      <c r="B227">
        <v>0</v>
      </c>
      <c r="C227">
        <v>0</v>
      </c>
      <c r="D227">
        <f t="shared" si="3"/>
        <v>12</v>
      </c>
    </row>
    <row r="228" spans="1:4" x14ac:dyDescent="0.25">
      <c r="A228" s="10">
        <v>45265</v>
      </c>
      <c r="B228">
        <v>0</v>
      </c>
      <c r="C228">
        <v>0</v>
      </c>
      <c r="D228">
        <f t="shared" si="3"/>
        <v>12</v>
      </c>
    </row>
    <row r="229" spans="1:4" x14ac:dyDescent="0.25">
      <c r="A229" s="10">
        <v>45266</v>
      </c>
      <c r="B229">
        <v>0</v>
      </c>
      <c r="C229">
        <v>0</v>
      </c>
      <c r="D229">
        <f t="shared" si="3"/>
        <v>12</v>
      </c>
    </row>
    <row r="230" spans="1:4" x14ac:dyDescent="0.25">
      <c r="A230" s="10">
        <v>45267</v>
      </c>
      <c r="B230">
        <v>0</v>
      </c>
      <c r="C230">
        <v>0</v>
      </c>
      <c r="D230">
        <f t="shared" si="3"/>
        <v>12</v>
      </c>
    </row>
    <row r="231" spans="1:4" x14ac:dyDescent="0.25">
      <c r="A231" s="10">
        <v>45271</v>
      </c>
      <c r="B231">
        <v>0</v>
      </c>
      <c r="C231">
        <v>0</v>
      </c>
      <c r="D231">
        <f t="shared" si="3"/>
        <v>12</v>
      </c>
    </row>
    <row r="232" spans="1:4" x14ac:dyDescent="0.25">
      <c r="A232" s="10">
        <v>45272</v>
      </c>
      <c r="B232">
        <v>0</v>
      </c>
      <c r="C232">
        <v>0</v>
      </c>
      <c r="D232">
        <f t="shared" si="3"/>
        <v>12</v>
      </c>
    </row>
    <row r="233" spans="1:4" x14ac:dyDescent="0.25">
      <c r="A233" s="10">
        <v>45273</v>
      </c>
      <c r="B233">
        <v>0</v>
      </c>
      <c r="C233">
        <v>0</v>
      </c>
      <c r="D233">
        <f t="shared" si="3"/>
        <v>12</v>
      </c>
    </row>
    <row r="234" spans="1:4" x14ac:dyDescent="0.25">
      <c r="A234" s="10">
        <v>45274</v>
      </c>
      <c r="B234">
        <v>0</v>
      </c>
      <c r="C234">
        <v>0</v>
      </c>
      <c r="D234">
        <f t="shared" si="3"/>
        <v>12</v>
      </c>
    </row>
    <row r="235" spans="1:4" x14ac:dyDescent="0.25">
      <c r="A235" s="10">
        <v>45275</v>
      </c>
      <c r="B235">
        <v>0</v>
      </c>
      <c r="C235">
        <v>0</v>
      </c>
      <c r="D235">
        <f t="shared" si="3"/>
        <v>12</v>
      </c>
    </row>
    <row r="236" spans="1:4" x14ac:dyDescent="0.25">
      <c r="A236" s="10">
        <v>45278</v>
      </c>
      <c r="B236">
        <v>0</v>
      </c>
      <c r="C236">
        <v>0</v>
      </c>
      <c r="D236">
        <f t="shared" si="3"/>
        <v>12</v>
      </c>
    </row>
    <row r="237" spans="1:4" x14ac:dyDescent="0.25">
      <c r="A237" s="10">
        <v>45279</v>
      </c>
      <c r="B237">
        <v>0</v>
      </c>
      <c r="C237">
        <v>0</v>
      </c>
      <c r="D237">
        <f t="shared" si="3"/>
        <v>12</v>
      </c>
    </row>
    <row r="238" spans="1:4" x14ac:dyDescent="0.25">
      <c r="A238" s="10">
        <v>45280</v>
      </c>
      <c r="B238">
        <v>0</v>
      </c>
      <c r="C238">
        <v>0</v>
      </c>
      <c r="D238">
        <f t="shared" si="3"/>
        <v>12</v>
      </c>
    </row>
    <row r="239" spans="1:4" x14ac:dyDescent="0.25">
      <c r="A239" s="10">
        <v>45281</v>
      </c>
      <c r="B239">
        <v>0</v>
      </c>
      <c r="C239">
        <v>0</v>
      </c>
      <c r="D239">
        <f t="shared" si="3"/>
        <v>12</v>
      </c>
    </row>
    <row r="240" spans="1:4" x14ac:dyDescent="0.25">
      <c r="A240" s="10">
        <v>45282</v>
      </c>
      <c r="B240">
        <v>0</v>
      </c>
      <c r="C240">
        <v>0</v>
      </c>
      <c r="D240">
        <f t="shared" si="3"/>
        <v>12</v>
      </c>
    </row>
    <row r="241" spans="1:4" x14ac:dyDescent="0.25">
      <c r="A241" s="10">
        <v>45286</v>
      </c>
      <c r="B241">
        <v>0</v>
      </c>
      <c r="C241">
        <v>0</v>
      </c>
      <c r="D241">
        <f t="shared" si="3"/>
        <v>12</v>
      </c>
    </row>
    <row r="242" spans="1:4" x14ac:dyDescent="0.25">
      <c r="A242" s="10">
        <v>45287</v>
      </c>
      <c r="B242">
        <v>0</v>
      </c>
      <c r="C242">
        <v>0</v>
      </c>
      <c r="D242">
        <f t="shared" si="3"/>
        <v>12</v>
      </c>
    </row>
    <row r="243" spans="1:4" x14ac:dyDescent="0.25">
      <c r="A243" s="10">
        <v>45288</v>
      </c>
      <c r="B243">
        <v>0</v>
      </c>
      <c r="C243">
        <v>0</v>
      </c>
      <c r="D243">
        <f t="shared" si="3"/>
        <v>12</v>
      </c>
    </row>
    <row r="244" spans="1:4" x14ac:dyDescent="0.25">
      <c r="A244" s="10">
        <v>45289</v>
      </c>
      <c r="B244">
        <v>0</v>
      </c>
      <c r="C244">
        <v>0</v>
      </c>
      <c r="D244">
        <f t="shared" si="3"/>
        <v>12</v>
      </c>
    </row>
    <row r="245" spans="1:4" x14ac:dyDescent="0.25">
      <c r="B245" s="4">
        <f>SUM(B2:B244)</f>
        <v>1298000</v>
      </c>
      <c r="C245" s="4">
        <f>SUM(C2:C244)</f>
        <v>400000</v>
      </c>
      <c r="D245" s="11">
        <f>+C245+B245</f>
        <v>1698000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AF069-70ED-40FC-8796-DDB65CCE3783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35A53-3317-4674-A1DC-6E6529A98F79}">
  <dimension ref="A1:I13"/>
  <sheetViews>
    <sheetView workbookViewId="0">
      <selection activeCell="B2" sqref="B2:B13"/>
    </sheetView>
  </sheetViews>
  <sheetFormatPr baseColWidth="10" defaultRowHeight="15" x14ac:dyDescent="0.25"/>
  <cols>
    <col min="1" max="1" width="9.7109375" style="10" bestFit="1" customWidth="1"/>
    <col min="2" max="2" width="12.5703125" bestFit="1" customWidth="1"/>
    <col min="3" max="4" width="11.28515625" bestFit="1" customWidth="1"/>
    <col min="5" max="5" width="12.85546875" bestFit="1" customWidth="1"/>
    <col min="6" max="6" width="13.7109375" bestFit="1" customWidth="1"/>
    <col min="7" max="7" width="23.5703125" style="12" bestFit="1" customWidth="1"/>
    <col min="8" max="8" width="15" bestFit="1" customWidth="1"/>
    <col min="9" max="9" width="4" bestFit="1" customWidth="1"/>
  </cols>
  <sheetData>
    <row r="1" spans="1:9" x14ac:dyDescent="0.25">
      <c r="A1" s="10" t="s">
        <v>22</v>
      </c>
      <c r="B1" t="s">
        <v>0</v>
      </c>
      <c r="C1" t="s">
        <v>1</v>
      </c>
      <c r="D1" t="s">
        <v>2</v>
      </c>
      <c r="E1" t="s">
        <v>19</v>
      </c>
      <c r="F1" t="s">
        <v>20</v>
      </c>
      <c r="G1" s="12" t="s">
        <v>25</v>
      </c>
      <c r="H1" t="s">
        <v>26</v>
      </c>
      <c r="I1" t="s">
        <v>27</v>
      </c>
    </row>
    <row r="2" spans="1:9" x14ac:dyDescent="0.25">
      <c r="A2" s="10">
        <v>44927</v>
      </c>
      <c r="B2" s="14">
        <v>120719556.7726799</v>
      </c>
      <c r="C2" s="14">
        <v>-203938</v>
      </c>
      <c r="D2" s="14">
        <v>-537969</v>
      </c>
      <c r="E2" s="14">
        <v>-1.6893534523492661E-3</v>
      </c>
      <c r="F2" s="14">
        <v>-4.4563533397742562E-3</v>
      </c>
      <c r="G2" s="18">
        <v>0</v>
      </c>
      <c r="H2" s="14">
        <v>0</v>
      </c>
      <c r="I2">
        <v>186</v>
      </c>
    </row>
    <row r="3" spans="1:9" x14ac:dyDescent="0.25">
      <c r="A3" s="10">
        <v>44958</v>
      </c>
      <c r="B3" s="14">
        <v>120719556.7726799</v>
      </c>
      <c r="C3" s="14">
        <v>-228134</v>
      </c>
      <c r="D3" s="14">
        <v>-485590</v>
      </c>
      <c r="E3" s="14">
        <v>-1.8897849370801295E-3</v>
      </c>
      <c r="F3" s="14">
        <v>-4.0224634100867913E-3</v>
      </c>
      <c r="G3" s="18">
        <v>0</v>
      </c>
      <c r="H3" s="14">
        <v>0</v>
      </c>
      <c r="I3">
        <v>197</v>
      </c>
    </row>
    <row r="4" spans="1:9" x14ac:dyDescent="0.25">
      <c r="A4" s="10">
        <v>44986</v>
      </c>
      <c r="B4" s="14">
        <v>120719556.7726799</v>
      </c>
      <c r="C4" s="14">
        <v>-257855</v>
      </c>
      <c r="D4" s="14">
        <v>-388005</v>
      </c>
      <c r="E4" s="14">
        <v>-2.1359836541278232E-3</v>
      </c>
      <c r="F4" s="14">
        <v>-3.2141022579351419E-3</v>
      </c>
      <c r="G4" s="18">
        <v>130000</v>
      </c>
      <c r="H4" s="14">
        <v>1.0768760545136491E-3</v>
      </c>
      <c r="I4">
        <v>208</v>
      </c>
    </row>
    <row r="5" spans="1:9" x14ac:dyDescent="0.25">
      <c r="A5" s="10">
        <v>45017</v>
      </c>
      <c r="B5" s="14">
        <v>159215855.41502434</v>
      </c>
      <c r="C5" s="14">
        <v>-331372</v>
      </c>
      <c r="D5" s="14">
        <v>-407388</v>
      </c>
      <c r="E5" s="14">
        <v>-2.0812751288885154E-3</v>
      </c>
      <c r="F5" s="14">
        <v>-2.558715015775728E-3</v>
      </c>
      <c r="G5" s="18">
        <v>100000</v>
      </c>
      <c r="H5" s="14">
        <v>6.2807815050412079E-4</v>
      </c>
      <c r="I5">
        <v>222</v>
      </c>
    </row>
    <row r="6" spans="1:9" x14ac:dyDescent="0.25">
      <c r="A6" s="10">
        <v>45047</v>
      </c>
      <c r="B6" s="14">
        <v>159215855.41502434</v>
      </c>
      <c r="C6" s="14">
        <v>-247650</v>
      </c>
      <c r="D6" s="14">
        <v>-631071</v>
      </c>
      <c r="E6" s="14">
        <v>-1.5554355397234554E-3</v>
      </c>
      <c r="F6" s="14">
        <v>-3.9636190651678605E-3</v>
      </c>
      <c r="G6" s="18">
        <v>440000</v>
      </c>
      <c r="H6" s="14">
        <v>2.7635438622181318E-3</v>
      </c>
      <c r="I6">
        <v>239</v>
      </c>
    </row>
    <row r="7" spans="1:9" x14ac:dyDescent="0.25">
      <c r="A7" s="10">
        <v>45078</v>
      </c>
      <c r="B7" s="14">
        <v>159215855.41502434</v>
      </c>
      <c r="C7" s="14">
        <v>-611743</v>
      </c>
      <c r="D7" s="14">
        <v>-708603</v>
      </c>
      <c r="E7" s="14">
        <v>-3.8422241202384238E-3</v>
      </c>
      <c r="F7" s="14">
        <v>-4.4505806168167157E-3</v>
      </c>
      <c r="G7" s="18">
        <v>688000</v>
      </c>
      <c r="H7" s="14">
        <v>4.3211776754683512E-3</v>
      </c>
      <c r="I7">
        <v>256</v>
      </c>
    </row>
    <row r="8" spans="1:9" x14ac:dyDescent="0.25">
      <c r="A8" s="10">
        <v>45108</v>
      </c>
      <c r="B8" s="14">
        <v>206516399.84174532</v>
      </c>
      <c r="C8" s="14">
        <v>-334366</v>
      </c>
      <c r="D8" s="14">
        <v>-754243</v>
      </c>
      <c r="E8" s="14">
        <v>-1.6190772270687779E-3</v>
      </c>
      <c r="F8" s="14">
        <v>-3.6522184222559598E-3</v>
      </c>
      <c r="G8" s="18">
        <v>590000</v>
      </c>
      <c r="H8" s="14">
        <v>2.8569159662482995E-3</v>
      </c>
      <c r="I8">
        <v>275</v>
      </c>
    </row>
    <row r="9" spans="1:9" x14ac:dyDescent="0.25">
      <c r="A9" s="10">
        <v>45139</v>
      </c>
      <c r="B9" s="14">
        <v>206516399.84174532</v>
      </c>
      <c r="C9" s="14">
        <v>-36964</v>
      </c>
      <c r="D9" s="14">
        <v>-384504</v>
      </c>
      <c r="E9" s="14">
        <v>-1.7898820640068161E-4</v>
      </c>
      <c r="F9" s="14">
        <v>-1.8618569774344681E-3</v>
      </c>
      <c r="G9" s="18">
        <v>-250000</v>
      </c>
      <c r="H9" s="14">
        <v>-1.2105576128170761E-3</v>
      </c>
      <c r="I9">
        <v>350</v>
      </c>
    </row>
    <row r="10" spans="1:9" x14ac:dyDescent="0.25">
      <c r="A10" s="10">
        <v>45170</v>
      </c>
      <c r="B10" s="14">
        <v>206516399.84174532</v>
      </c>
      <c r="C10" s="14">
        <v>-380473.39999999997</v>
      </c>
      <c r="D10" s="14">
        <v>-511532.70000000019</v>
      </c>
      <c r="E10" s="14">
        <v>-1.8423398833775858E-3</v>
      </c>
      <c r="F10" s="14">
        <v>-2.4769592167594948E-3</v>
      </c>
      <c r="G10" s="18">
        <v>0</v>
      </c>
      <c r="H10" s="14">
        <v>0</v>
      </c>
      <c r="I10">
        <v>350</v>
      </c>
    </row>
    <row r="11" spans="1:9" x14ac:dyDescent="0.25">
      <c r="A11" s="10">
        <v>45200</v>
      </c>
      <c r="B11" s="14">
        <v>283181180.08567715</v>
      </c>
      <c r="C11" s="14">
        <v>-330338</v>
      </c>
      <c r="D11" s="14">
        <v>-454248</v>
      </c>
      <c r="E11" s="14">
        <v>-1.1665252609656313E-3</v>
      </c>
      <c r="F11" s="14">
        <v>-1.6040896498226548E-3</v>
      </c>
      <c r="G11" s="18">
        <v>0</v>
      </c>
      <c r="H11" s="14">
        <v>0</v>
      </c>
      <c r="I11">
        <v>350</v>
      </c>
    </row>
    <row r="12" spans="1:9" x14ac:dyDescent="0.25">
      <c r="A12" s="10">
        <v>45231</v>
      </c>
      <c r="B12" s="14">
        <v>283181180.08567715</v>
      </c>
      <c r="C12" s="14">
        <v>-210484</v>
      </c>
      <c r="D12" s="14">
        <v>-754956</v>
      </c>
      <c r="E12" s="14">
        <v>-7.4328385783376406E-4</v>
      </c>
      <c r="F12" s="14">
        <v>-2.6659822512625532E-3</v>
      </c>
      <c r="G12" s="18">
        <v>0</v>
      </c>
      <c r="H12" s="14">
        <v>0</v>
      </c>
      <c r="I12">
        <v>360</v>
      </c>
    </row>
    <row r="13" spans="1:9" x14ac:dyDescent="0.25">
      <c r="A13" s="10">
        <v>45261</v>
      </c>
      <c r="B13" s="14">
        <v>283181180.08567715</v>
      </c>
      <c r="C13" s="14">
        <v>-1991316.1000000006</v>
      </c>
      <c r="D13" s="14">
        <v>-2400352.9000000008</v>
      </c>
      <c r="E13" s="14">
        <v>-7.0319507087212617E-3</v>
      </c>
      <c r="F13" s="14">
        <v>-8.4763856809755792E-3</v>
      </c>
      <c r="G13" s="18">
        <v>0</v>
      </c>
      <c r="H13" s="14">
        <v>0</v>
      </c>
      <c r="I13">
        <v>808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266A1-E94B-4577-B4FE-CD8196A20E1D}">
  <dimension ref="A1:P5698"/>
  <sheetViews>
    <sheetView tabSelected="1" zoomScaleNormal="100" workbookViewId="0">
      <selection activeCell="E7" sqref="E7"/>
    </sheetView>
  </sheetViews>
  <sheetFormatPr baseColWidth="10" defaultRowHeight="15" x14ac:dyDescent="0.25"/>
  <cols>
    <col min="1" max="1" width="10.7109375" style="10" bestFit="1" customWidth="1"/>
    <col min="2" max="2" width="13.140625" bestFit="1" customWidth="1"/>
    <col min="3" max="3" width="23.85546875" bestFit="1" customWidth="1"/>
    <col min="4" max="4" width="21" bestFit="1" customWidth="1"/>
    <col min="5" max="5" width="25.85546875" bestFit="1" customWidth="1"/>
    <col min="6" max="6" width="38.28515625" bestFit="1" customWidth="1"/>
    <col min="7" max="7" width="12.7109375" bestFit="1" customWidth="1"/>
    <col min="8" max="8" width="15.5703125" bestFit="1" customWidth="1"/>
    <col min="9" max="9" width="24.5703125" bestFit="1" customWidth="1"/>
    <col min="10" max="10" width="35.140625" bestFit="1" customWidth="1"/>
    <col min="11" max="11" width="14.7109375" bestFit="1" customWidth="1"/>
    <col min="12" max="12" width="24.140625" bestFit="1" customWidth="1"/>
    <col min="13" max="13" width="19.7109375" bestFit="1" customWidth="1"/>
    <col min="14" max="14" width="12.42578125" bestFit="1" customWidth="1"/>
    <col min="15" max="15" width="20" bestFit="1" customWidth="1"/>
    <col min="16" max="16" width="11.7109375" bestFit="1" customWidth="1"/>
  </cols>
  <sheetData>
    <row r="1" spans="1:16" x14ac:dyDescent="0.25">
      <c r="A1" s="10" t="s">
        <v>22</v>
      </c>
      <c r="B1" t="s">
        <v>35</v>
      </c>
      <c r="C1" t="s">
        <v>36</v>
      </c>
      <c r="D1" t="s">
        <v>37</v>
      </c>
      <c r="E1" t="s">
        <v>42</v>
      </c>
      <c r="F1" t="s">
        <v>38</v>
      </c>
      <c r="G1" t="s">
        <v>39</v>
      </c>
      <c r="H1" t="s">
        <v>40</v>
      </c>
      <c r="I1" t="s">
        <v>32</v>
      </c>
      <c r="J1" t="s">
        <v>33</v>
      </c>
      <c r="K1" t="s">
        <v>41</v>
      </c>
      <c r="L1" t="s">
        <v>28</v>
      </c>
      <c r="M1" t="s">
        <v>29</v>
      </c>
      <c r="N1" t="s">
        <v>30</v>
      </c>
      <c r="O1" t="s">
        <v>31</v>
      </c>
      <c r="P1" t="s">
        <v>34</v>
      </c>
    </row>
    <row r="2" spans="1:16" x14ac:dyDescent="0.25">
      <c r="A2" s="10">
        <v>37623</v>
      </c>
      <c r="B2">
        <v>151.19099999999949</v>
      </c>
      <c r="C2">
        <v>98.77131</v>
      </c>
      <c r="D2">
        <v>0</v>
      </c>
      <c r="E2">
        <v>0</v>
      </c>
      <c r="F2">
        <v>0</v>
      </c>
      <c r="G2">
        <v>-6.2491211383999996</v>
      </c>
      <c r="H2">
        <v>30.009999999999991</v>
      </c>
      <c r="I2">
        <v>0</v>
      </c>
      <c r="J2">
        <v>-27.519000000000229</v>
      </c>
      <c r="K2">
        <v>-49.681716210000019</v>
      </c>
      <c r="L2">
        <v>83.670959999999994</v>
      </c>
      <c r="M2">
        <v>0</v>
      </c>
      <c r="N2">
        <v>0</v>
      </c>
      <c r="O2">
        <v>22.188567348399719</v>
      </c>
      <c r="P2">
        <v>37116.230000000003</v>
      </c>
    </row>
    <row r="3" spans="1:16" x14ac:dyDescent="0.25">
      <c r="A3" s="10">
        <v>37624</v>
      </c>
      <c r="B3">
        <v>57.639999999999439</v>
      </c>
      <c r="C3">
        <v>206.65924999999999</v>
      </c>
      <c r="D3">
        <v>0</v>
      </c>
      <c r="E3">
        <v>0</v>
      </c>
      <c r="F3">
        <v>0</v>
      </c>
      <c r="G3">
        <v>-1.640000000000001</v>
      </c>
      <c r="H3">
        <v>-0.15000000000000571</v>
      </c>
      <c r="I3">
        <v>0</v>
      </c>
      <c r="J3">
        <v>0</v>
      </c>
      <c r="K3">
        <v>-6.7664719999999998E-2</v>
      </c>
      <c r="L3">
        <v>-148.30437734645801</v>
      </c>
      <c r="M3">
        <v>0</v>
      </c>
      <c r="N3">
        <v>0</v>
      </c>
      <c r="O3">
        <v>1.142792066457468</v>
      </c>
      <c r="P3">
        <v>37173.870000000003</v>
      </c>
    </row>
    <row r="4" spans="1:16" x14ac:dyDescent="0.25">
      <c r="A4" s="10">
        <v>37627</v>
      </c>
      <c r="B4">
        <v>163.7400000000016</v>
      </c>
      <c r="C4">
        <v>172.239104</v>
      </c>
      <c r="D4">
        <v>0</v>
      </c>
      <c r="E4">
        <v>0</v>
      </c>
      <c r="F4">
        <v>0</v>
      </c>
      <c r="G4">
        <v>-7.8900000000000077</v>
      </c>
      <c r="H4">
        <v>3.000000000000114E-2</v>
      </c>
      <c r="I4">
        <v>0</v>
      </c>
      <c r="J4">
        <v>0</v>
      </c>
      <c r="K4">
        <v>0.79864359200000001</v>
      </c>
      <c r="L4">
        <v>0</v>
      </c>
      <c r="M4">
        <v>0</v>
      </c>
      <c r="N4">
        <v>0</v>
      </c>
      <c r="O4">
        <v>-1.437747591998396</v>
      </c>
      <c r="P4">
        <v>37337.61</v>
      </c>
    </row>
    <row r="5" spans="1:16" x14ac:dyDescent="0.25">
      <c r="A5" s="10">
        <v>37628</v>
      </c>
      <c r="B5">
        <v>343.34999999999849</v>
      </c>
      <c r="C5">
        <v>339.49142000000012</v>
      </c>
      <c r="D5">
        <v>0</v>
      </c>
      <c r="E5">
        <v>0</v>
      </c>
      <c r="F5">
        <v>0</v>
      </c>
      <c r="G5">
        <v>-5.0800336873000003</v>
      </c>
      <c r="H5">
        <v>-1.999999999998181E-2</v>
      </c>
      <c r="I5">
        <v>0</v>
      </c>
      <c r="J5">
        <v>0</v>
      </c>
      <c r="K5">
        <v>11.131954029999999</v>
      </c>
      <c r="L5">
        <v>0</v>
      </c>
      <c r="M5">
        <v>0</v>
      </c>
      <c r="N5">
        <v>0</v>
      </c>
      <c r="O5">
        <v>-2.173340342701533</v>
      </c>
      <c r="P5">
        <v>37680.959999999999</v>
      </c>
    </row>
    <row r="6" spans="1:16" x14ac:dyDescent="0.25">
      <c r="A6" s="10">
        <v>37629</v>
      </c>
      <c r="B6">
        <v>90.709999999999098</v>
      </c>
      <c r="C6">
        <v>150.56126399999999</v>
      </c>
      <c r="D6">
        <v>0</v>
      </c>
      <c r="E6">
        <v>0</v>
      </c>
      <c r="F6">
        <v>0</v>
      </c>
      <c r="G6">
        <v>-8.61</v>
      </c>
      <c r="H6">
        <v>0.75999999999999091</v>
      </c>
      <c r="I6">
        <v>0</v>
      </c>
      <c r="J6">
        <v>0</v>
      </c>
      <c r="K6">
        <v>0.236149265</v>
      </c>
      <c r="L6">
        <v>-53.376169723005397</v>
      </c>
      <c r="M6">
        <v>0</v>
      </c>
      <c r="N6">
        <v>0</v>
      </c>
      <c r="O6">
        <v>1.1387564580045419</v>
      </c>
      <c r="P6">
        <v>37771.67</v>
      </c>
    </row>
    <row r="7" spans="1:16" x14ac:dyDescent="0.25">
      <c r="A7" s="10">
        <v>37630</v>
      </c>
      <c r="B7">
        <v>30.57000000000335</v>
      </c>
      <c r="C7">
        <v>25.82104</v>
      </c>
      <c r="D7">
        <v>-476.43245798728998</v>
      </c>
      <c r="E7">
        <v>0</v>
      </c>
      <c r="F7">
        <v>476.43245798728998</v>
      </c>
      <c r="G7">
        <v>-1.1060102829999889</v>
      </c>
      <c r="H7">
        <v>0.42000000000001592</v>
      </c>
      <c r="I7">
        <v>0</v>
      </c>
      <c r="J7">
        <v>-9.9999999998544808E-2</v>
      </c>
      <c r="K7">
        <v>0.23120795999999999</v>
      </c>
      <c r="L7">
        <v>0</v>
      </c>
      <c r="M7">
        <v>0</v>
      </c>
      <c r="N7">
        <v>0</v>
      </c>
      <c r="O7">
        <v>5.3037623230018864</v>
      </c>
      <c r="P7">
        <v>37802.239999999998</v>
      </c>
    </row>
    <row r="8" spans="1:16" x14ac:dyDescent="0.25">
      <c r="A8" s="10">
        <v>37631</v>
      </c>
      <c r="B8">
        <v>-308.68000000000029</v>
      </c>
      <c r="C8">
        <v>-25.321251999999991</v>
      </c>
      <c r="D8">
        <v>0</v>
      </c>
      <c r="E8">
        <v>0</v>
      </c>
      <c r="F8">
        <v>0</v>
      </c>
      <c r="G8">
        <v>-6.8704713499999999</v>
      </c>
      <c r="H8">
        <v>0.35999999999998522</v>
      </c>
      <c r="I8">
        <v>0</v>
      </c>
      <c r="J8">
        <v>0</v>
      </c>
      <c r="K8">
        <v>-6.8887619999999997E-2</v>
      </c>
      <c r="L8">
        <v>-254.32088548207099</v>
      </c>
      <c r="M8">
        <v>0</v>
      </c>
      <c r="N8">
        <v>0</v>
      </c>
      <c r="O8">
        <v>-22.458503547929311</v>
      </c>
      <c r="P8">
        <v>37493.56</v>
      </c>
    </row>
    <row r="9" spans="1:16" x14ac:dyDescent="0.25">
      <c r="A9" s="10">
        <v>37634</v>
      </c>
      <c r="B9">
        <v>98.19999999999709</v>
      </c>
      <c r="C9">
        <v>85.945078999999993</v>
      </c>
      <c r="D9">
        <v>0</v>
      </c>
      <c r="E9">
        <v>0</v>
      </c>
      <c r="F9">
        <v>0</v>
      </c>
      <c r="G9">
        <v>-6.9542987510999987</v>
      </c>
      <c r="H9">
        <v>0.24000000000000909</v>
      </c>
      <c r="I9">
        <v>0</v>
      </c>
      <c r="J9">
        <v>-6.0000000012223609E-3</v>
      </c>
      <c r="K9">
        <v>0.79382708999999996</v>
      </c>
      <c r="L9">
        <v>0</v>
      </c>
      <c r="M9">
        <v>0</v>
      </c>
      <c r="N9">
        <v>0</v>
      </c>
      <c r="O9">
        <v>18.181392661098311</v>
      </c>
      <c r="P9">
        <v>37591.760000000002</v>
      </c>
    </row>
    <row r="10" spans="1:16" x14ac:dyDescent="0.25">
      <c r="A10" s="10">
        <v>37635</v>
      </c>
      <c r="B10">
        <v>111.2300000000032</v>
      </c>
      <c r="C10">
        <v>121.92525000000001</v>
      </c>
      <c r="D10">
        <v>-53.089752371400003</v>
      </c>
      <c r="E10">
        <v>53.089752371400003</v>
      </c>
      <c r="F10">
        <v>0</v>
      </c>
      <c r="G10">
        <v>-10.266469549802</v>
      </c>
      <c r="H10">
        <v>-0.12000000000000451</v>
      </c>
      <c r="I10">
        <v>0</v>
      </c>
      <c r="J10">
        <v>0</v>
      </c>
      <c r="K10">
        <v>0.23200000000000001</v>
      </c>
      <c r="L10">
        <v>0</v>
      </c>
      <c r="M10">
        <v>0</v>
      </c>
      <c r="N10">
        <v>0</v>
      </c>
      <c r="O10">
        <v>-0.54078045019480503</v>
      </c>
      <c r="P10">
        <v>37702.99</v>
      </c>
    </row>
    <row r="11" spans="1:16" x14ac:dyDescent="0.25">
      <c r="A11" s="10">
        <v>37636</v>
      </c>
      <c r="B11">
        <v>-7.6900000000023372</v>
      </c>
      <c r="C11">
        <v>112.920466</v>
      </c>
      <c r="D11">
        <v>0</v>
      </c>
      <c r="E11">
        <v>0</v>
      </c>
      <c r="F11">
        <v>0.25845888249999999</v>
      </c>
      <c r="G11">
        <v>-3.4975086675</v>
      </c>
      <c r="H11">
        <v>-0.37000000000000449</v>
      </c>
      <c r="I11">
        <v>0</v>
      </c>
      <c r="J11">
        <v>-0.38199999999778811</v>
      </c>
      <c r="K11">
        <v>4.1000000000000014</v>
      </c>
      <c r="L11">
        <v>-120.607386522513</v>
      </c>
      <c r="M11">
        <v>0</v>
      </c>
      <c r="N11">
        <v>0</v>
      </c>
      <c r="O11">
        <v>-0.1120296924915407</v>
      </c>
      <c r="P11">
        <v>37695.300000000003</v>
      </c>
    </row>
    <row r="12" spans="1:16" x14ac:dyDescent="0.25">
      <c r="A12" s="10">
        <v>37637</v>
      </c>
      <c r="B12">
        <v>35.350000000002183</v>
      </c>
      <c r="C12">
        <v>51.543174999999998</v>
      </c>
      <c r="D12">
        <v>0</v>
      </c>
      <c r="E12">
        <v>0</v>
      </c>
      <c r="F12">
        <v>0</v>
      </c>
      <c r="G12">
        <v>-16.2199999929</v>
      </c>
      <c r="H12">
        <v>-0.15999999999999659</v>
      </c>
      <c r="I12">
        <v>0</v>
      </c>
      <c r="J12">
        <v>-0.59900000000197906</v>
      </c>
      <c r="K12">
        <v>0.33300000000000002</v>
      </c>
      <c r="L12">
        <v>0</v>
      </c>
      <c r="M12">
        <v>0</v>
      </c>
      <c r="N12">
        <v>0</v>
      </c>
      <c r="O12">
        <v>0.45282499290416212</v>
      </c>
      <c r="P12">
        <v>37730.65</v>
      </c>
    </row>
    <row r="13" spans="1:16" x14ac:dyDescent="0.25">
      <c r="A13" s="10">
        <v>37638</v>
      </c>
      <c r="B13">
        <v>-575.58000000000163</v>
      </c>
      <c r="C13">
        <v>48.397495999999997</v>
      </c>
      <c r="D13">
        <v>0</v>
      </c>
      <c r="E13">
        <v>0</v>
      </c>
      <c r="F13">
        <v>0</v>
      </c>
      <c r="G13">
        <v>-497.16747349171459</v>
      </c>
      <c r="H13">
        <v>6.9999999999993179E-2</v>
      </c>
      <c r="I13">
        <v>0</v>
      </c>
      <c r="J13">
        <v>0</v>
      </c>
      <c r="K13">
        <v>0.8</v>
      </c>
      <c r="L13">
        <v>-128.92564380703399</v>
      </c>
      <c r="M13">
        <v>0</v>
      </c>
      <c r="N13">
        <v>0</v>
      </c>
      <c r="O13">
        <v>1.245621298746983</v>
      </c>
      <c r="P13">
        <v>37155.07</v>
      </c>
    </row>
    <row r="14" spans="1:16" x14ac:dyDescent="0.25">
      <c r="A14" s="10">
        <v>37641</v>
      </c>
      <c r="B14">
        <v>50.659999999999862</v>
      </c>
      <c r="C14">
        <v>-2.6600799999999998</v>
      </c>
      <c r="D14">
        <v>0</v>
      </c>
      <c r="E14">
        <v>0</v>
      </c>
      <c r="F14">
        <v>0</v>
      </c>
      <c r="G14">
        <v>51.881</v>
      </c>
      <c r="H14">
        <v>0.53000000000000114</v>
      </c>
      <c r="I14">
        <v>0</v>
      </c>
      <c r="J14">
        <v>0</v>
      </c>
      <c r="K14">
        <v>0.70999999999999086</v>
      </c>
      <c r="L14">
        <v>0</v>
      </c>
      <c r="M14">
        <v>0</v>
      </c>
      <c r="N14">
        <v>0</v>
      </c>
      <c r="O14">
        <v>0.19907999999986711</v>
      </c>
      <c r="P14">
        <v>37205.730000000003</v>
      </c>
    </row>
    <row r="15" spans="1:16" x14ac:dyDescent="0.25">
      <c r="A15" s="10">
        <v>37642</v>
      </c>
      <c r="B15">
        <v>202.58000000000169</v>
      </c>
      <c r="C15">
        <v>161.29358300000001</v>
      </c>
      <c r="D15">
        <v>0</v>
      </c>
      <c r="E15">
        <v>0</v>
      </c>
      <c r="F15">
        <v>0</v>
      </c>
      <c r="G15">
        <v>6.8727257235560009</v>
      </c>
      <c r="H15">
        <v>34.94</v>
      </c>
      <c r="I15">
        <v>0</v>
      </c>
      <c r="J15">
        <v>0</v>
      </c>
      <c r="K15">
        <v>0.2</v>
      </c>
      <c r="L15">
        <v>0</v>
      </c>
      <c r="M15">
        <v>0</v>
      </c>
      <c r="N15">
        <v>0</v>
      </c>
      <c r="O15">
        <v>-0.7263087235543082</v>
      </c>
      <c r="P15">
        <v>37408.31</v>
      </c>
    </row>
    <row r="16" spans="1:16" x14ac:dyDescent="0.25">
      <c r="A16" s="10">
        <v>37643</v>
      </c>
      <c r="B16">
        <v>-21.240000000001611</v>
      </c>
      <c r="C16">
        <v>39.253984000000003</v>
      </c>
      <c r="D16">
        <v>0</v>
      </c>
      <c r="E16">
        <v>0</v>
      </c>
      <c r="F16">
        <v>0</v>
      </c>
      <c r="G16">
        <v>-84.141848992031996</v>
      </c>
      <c r="H16">
        <v>-1.430000000000007</v>
      </c>
      <c r="I16">
        <v>0</v>
      </c>
      <c r="J16">
        <v>0</v>
      </c>
      <c r="K16">
        <v>0.3</v>
      </c>
      <c r="L16">
        <v>-47.648621527946197</v>
      </c>
      <c r="M16">
        <v>0</v>
      </c>
      <c r="N16">
        <v>0</v>
      </c>
      <c r="O16">
        <v>72.426486519976592</v>
      </c>
      <c r="P16">
        <v>37387.07</v>
      </c>
    </row>
    <row r="17" spans="1:16" x14ac:dyDescent="0.25">
      <c r="A17" s="10">
        <v>37644</v>
      </c>
      <c r="B17">
        <v>38.06000000000131</v>
      </c>
      <c r="C17">
        <v>30.632999999999999</v>
      </c>
      <c r="D17">
        <v>-3616.6517900128861</v>
      </c>
      <c r="E17">
        <v>3616.6517900128861</v>
      </c>
      <c r="F17">
        <v>0</v>
      </c>
      <c r="G17">
        <v>4.1540233968589746</v>
      </c>
      <c r="H17">
        <v>0.27000000000001018</v>
      </c>
      <c r="I17">
        <v>0</v>
      </c>
      <c r="J17">
        <v>-3.1569999999992429</v>
      </c>
      <c r="K17">
        <v>6.3</v>
      </c>
      <c r="L17">
        <v>0</v>
      </c>
      <c r="M17">
        <v>0</v>
      </c>
      <c r="N17">
        <v>0</v>
      </c>
      <c r="O17">
        <v>-0.14002339685823981</v>
      </c>
      <c r="P17">
        <v>37425.129999999997</v>
      </c>
    </row>
    <row r="18" spans="1:16" x14ac:dyDescent="0.25">
      <c r="A18" s="10">
        <v>37645</v>
      </c>
      <c r="B18">
        <v>21.16999999999825</v>
      </c>
      <c r="C18">
        <v>58.343999999999987</v>
      </c>
      <c r="D18">
        <v>0</v>
      </c>
      <c r="E18">
        <v>0</v>
      </c>
      <c r="F18">
        <v>0</v>
      </c>
      <c r="G18">
        <v>-0.43665863439998992</v>
      </c>
      <c r="H18">
        <v>-0.77000000000001023</v>
      </c>
      <c r="I18">
        <v>0</v>
      </c>
      <c r="J18">
        <v>0</v>
      </c>
      <c r="K18">
        <v>2.7900000000000089</v>
      </c>
      <c r="L18">
        <v>-39.323910815959799</v>
      </c>
      <c r="M18">
        <v>0</v>
      </c>
      <c r="N18">
        <v>0</v>
      </c>
      <c r="O18">
        <v>0.56656945035805384</v>
      </c>
      <c r="P18">
        <v>37446.300000000003</v>
      </c>
    </row>
    <row r="19" spans="1:16" x14ac:dyDescent="0.25">
      <c r="A19" s="10">
        <v>37648</v>
      </c>
      <c r="B19">
        <v>-31.409999999999862</v>
      </c>
      <c r="C19">
        <v>-27.893307</v>
      </c>
      <c r="D19">
        <v>0</v>
      </c>
      <c r="E19">
        <v>0</v>
      </c>
      <c r="F19">
        <v>0</v>
      </c>
      <c r="G19">
        <v>-5.7668798777360006</v>
      </c>
      <c r="H19">
        <v>0.23000000000001819</v>
      </c>
      <c r="I19">
        <v>0</v>
      </c>
      <c r="J19">
        <v>0</v>
      </c>
      <c r="K19">
        <v>0.7</v>
      </c>
      <c r="L19">
        <v>0</v>
      </c>
      <c r="M19">
        <v>0</v>
      </c>
      <c r="N19">
        <v>0</v>
      </c>
      <c r="O19">
        <v>1.320186877736123</v>
      </c>
      <c r="P19">
        <v>37414.89</v>
      </c>
    </row>
    <row r="20" spans="1:16" x14ac:dyDescent="0.25">
      <c r="A20" s="10">
        <v>37649</v>
      </c>
      <c r="B20">
        <v>11.850000000002179</v>
      </c>
      <c r="C20">
        <v>10.559808</v>
      </c>
      <c r="D20">
        <v>0</v>
      </c>
      <c r="E20">
        <v>0</v>
      </c>
      <c r="F20">
        <v>0</v>
      </c>
      <c r="G20">
        <v>1.6080420739907999</v>
      </c>
      <c r="H20">
        <v>2.0999999999999939</v>
      </c>
      <c r="I20">
        <v>0</v>
      </c>
      <c r="J20">
        <v>-3.3709999999991851</v>
      </c>
      <c r="K20">
        <v>0.3</v>
      </c>
      <c r="L20">
        <v>0</v>
      </c>
      <c r="M20">
        <v>0</v>
      </c>
      <c r="N20">
        <v>0</v>
      </c>
      <c r="O20">
        <v>0.65314992601057642</v>
      </c>
      <c r="P20">
        <v>37426.740000000013</v>
      </c>
    </row>
    <row r="21" spans="1:16" x14ac:dyDescent="0.25">
      <c r="A21" s="10">
        <v>37650</v>
      </c>
      <c r="B21">
        <v>21.059999999997672</v>
      </c>
      <c r="C21">
        <v>-1.471052</v>
      </c>
      <c r="D21">
        <v>0</v>
      </c>
      <c r="E21">
        <v>0</v>
      </c>
      <c r="F21">
        <v>0</v>
      </c>
      <c r="G21">
        <v>2.0046071957109999</v>
      </c>
      <c r="H21">
        <v>0.53000000000000114</v>
      </c>
      <c r="I21">
        <v>0</v>
      </c>
      <c r="J21">
        <v>0</v>
      </c>
      <c r="K21">
        <v>0.2</v>
      </c>
      <c r="L21">
        <v>15.359674084811999</v>
      </c>
      <c r="M21">
        <v>0</v>
      </c>
      <c r="N21">
        <v>0</v>
      </c>
      <c r="O21">
        <v>4.4367707194746711</v>
      </c>
      <c r="P21">
        <v>37447.800000000003</v>
      </c>
    </row>
    <row r="22" spans="1:16" x14ac:dyDescent="0.25">
      <c r="A22" s="10">
        <v>37651</v>
      </c>
      <c r="B22">
        <v>12.69000000000233</v>
      </c>
      <c r="C22">
        <v>21.944299999999998</v>
      </c>
      <c r="D22">
        <v>0</v>
      </c>
      <c r="E22">
        <v>0</v>
      </c>
      <c r="F22">
        <v>0</v>
      </c>
      <c r="G22">
        <v>3.056244305549995</v>
      </c>
      <c r="H22">
        <v>-0.43000000000000682</v>
      </c>
      <c r="I22">
        <v>0</v>
      </c>
      <c r="J22">
        <v>-9</v>
      </c>
      <c r="K22">
        <v>0.3</v>
      </c>
      <c r="L22">
        <v>0</v>
      </c>
      <c r="M22">
        <v>0</v>
      </c>
      <c r="N22">
        <v>0</v>
      </c>
      <c r="O22">
        <v>-3.180544305547655</v>
      </c>
      <c r="P22">
        <v>37460.490000000013</v>
      </c>
    </row>
    <row r="23" spans="1:16" x14ac:dyDescent="0.25">
      <c r="A23" s="10">
        <v>37652</v>
      </c>
      <c r="B23">
        <v>-154.85000000000221</v>
      </c>
      <c r="C23">
        <v>22.58280000000001</v>
      </c>
      <c r="D23">
        <v>0</v>
      </c>
      <c r="E23">
        <v>0</v>
      </c>
      <c r="F23">
        <v>0</v>
      </c>
      <c r="G23">
        <v>-69.259807978399991</v>
      </c>
      <c r="H23">
        <v>0</v>
      </c>
      <c r="I23">
        <v>0</v>
      </c>
      <c r="J23">
        <v>2.7030000000013392</v>
      </c>
      <c r="K23">
        <v>-103.92999999999989</v>
      </c>
      <c r="L23">
        <v>-72.245354013339096</v>
      </c>
      <c r="M23">
        <v>0</v>
      </c>
      <c r="N23">
        <v>0</v>
      </c>
      <c r="O23">
        <v>65.299361991735466</v>
      </c>
      <c r="P23">
        <v>37305.64</v>
      </c>
    </row>
    <row r="24" spans="1:16" x14ac:dyDescent="0.25">
      <c r="A24" s="10">
        <v>37655</v>
      </c>
      <c r="B24">
        <v>-324.73999999999802</v>
      </c>
      <c r="C24">
        <v>32.930594999999997</v>
      </c>
      <c r="D24">
        <v>-119.99999999158599</v>
      </c>
      <c r="E24">
        <v>119.99999999158599</v>
      </c>
      <c r="F24">
        <v>0</v>
      </c>
      <c r="G24">
        <v>-355.16822000068191</v>
      </c>
      <c r="H24">
        <v>-0.15000000000000571</v>
      </c>
      <c r="I24">
        <v>0</v>
      </c>
      <c r="J24">
        <v>0</v>
      </c>
      <c r="K24">
        <v>0.8</v>
      </c>
      <c r="L24">
        <v>0</v>
      </c>
      <c r="M24">
        <v>0</v>
      </c>
      <c r="N24">
        <v>0</v>
      </c>
      <c r="O24">
        <v>-3.152374999316089</v>
      </c>
      <c r="P24">
        <v>36980.9</v>
      </c>
    </row>
    <row r="25" spans="1:16" x14ac:dyDescent="0.25">
      <c r="A25" s="10">
        <v>37656</v>
      </c>
      <c r="B25">
        <v>49.649999999997817</v>
      </c>
      <c r="C25">
        <v>55.010760000000012</v>
      </c>
      <c r="D25">
        <v>0</v>
      </c>
      <c r="E25">
        <v>0</v>
      </c>
      <c r="F25">
        <v>0</v>
      </c>
      <c r="G25">
        <v>-7.0178687989569966</v>
      </c>
      <c r="H25">
        <v>-0.20999999999997951</v>
      </c>
      <c r="I25">
        <v>0</v>
      </c>
      <c r="J25">
        <v>0</v>
      </c>
      <c r="K25">
        <v>0.2</v>
      </c>
      <c r="L25">
        <v>0</v>
      </c>
      <c r="M25">
        <v>0</v>
      </c>
      <c r="N25">
        <v>0</v>
      </c>
      <c r="O25">
        <v>1.667108798954789</v>
      </c>
      <c r="P25">
        <v>37030.550000000003</v>
      </c>
    </row>
    <row r="26" spans="1:16" x14ac:dyDescent="0.25">
      <c r="A26" s="10">
        <v>37657</v>
      </c>
      <c r="B26">
        <v>-30.45999999999912</v>
      </c>
      <c r="C26">
        <v>44.351635000000002</v>
      </c>
      <c r="D26">
        <v>0</v>
      </c>
      <c r="E26">
        <v>0</v>
      </c>
      <c r="F26">
        <v>0</v>
      </c>
      <c r="G26">
        <v>-7.6630315811260008</v>
      </c>
      <c r="H26">
        <v>-0.12000000000000451</v>
      </c>
      <c r="I26">
        <v>0</v>
      </c>
      <c r="J26">
        <v>0</v>
      </c>
      <c r="K26">
        <v>0.19546300999999999</v>
      </c>
      <c r="L26">
        <v>-62.187448977136398</v>
      </c>
      <c r="M26">
        <v>0</v>
      </c>
      <c r="N26">
        <v>0</v>
      </c>
      <c r="O26">
        <v>-5.0366174517367206</v>
      </c>
      <c r="P26">
        <v>37000.089999999997</v>
      </c>
    </row>
    <row r="27" spans="1:16" x14ac:dyDescent="0.25">
      <c r="A27" s="10">
        <v>37658</v>
      </c>
      <c r="B27">
        <v>27.41999999999825</v>
      </c>
      <c r="C27">
        <v>28.348167000000011</v>
      </c>
      <c r="D27">
        <v>0</v>
      </c>
      <c r="E27">
        <v>0</v>
      </c>
      <c r="F27">
        <v>0</v>
      </c>
      <c r="G27">
        <v>-6.5404318071349996</v>
      </c>
      <c r="H27">
        <v>1.4699999999999991</v>
      </c>
      <c r="I27">
        <v>0</v>
      </c>
      <c r="J27">
        <v>0</v>
      </c>
      <c r="K27">
        <v>0.2</v>
      </c>
      <c r="L27">
        <v>0</v>
      </c>
      <c r="M27">
        <v>0</v>
      </c>
      <c r="N27">
        <v>0</v>
      </c>
      <c r="O27">
        <v>3.94226480713324</v>
      </c>
      <c r="P27">
        <v>37027.51</v>
      </c>
    </row>
    <row r="28" spans="1:16" x14ac:dyDescent="0.25">
      <c r="A28" s="10">
        <v>37659</v>
      </c>
      <c r="B28">
        <v>-25.869999999998971</v>
      </c>
      <c r="C28">
        <v>60.242069999999991</v>
      </c>
      <c r="D28">
        <v>0</v>
      </c>
      <c r="E28">
        <v>0</v>
      </c>
      <c r="F28">
        <v>0</v>
      </c>
      <c r="G28">
        <v>-5.9283286581480006</v>
      </c>
      <c r="H28">
        <v>-0.1100000000000136</v>
      </c>
      <c r="I28">
        <v>0</v>
      </c>
      <c r="J28">
        <v>0</v>
      </c>
      <c r="K28">
        <v>-8.5900000000001899</v>
      </c>
      <c r="L28">
        <v>-68.893041023676105</v>
      </c>
      <c r="M28">
        <v>0</v>
      </c>
      <c r="N28">
        <v>0</v>
      </c>
      <c r="O28">
        <v>-2.5907003181746622</v>
      </c>
      <c r="P28">
        <v>37001.64</v>
      </c>
    </row>
    <row r="29" spans="1:16" x14ac:dyDescent="0.25">
      <c r="A29" s="10">
        <v>37662</v>
      </c>
      <c r="B29">
        <v>-438.09000000000009</v>
      </c>
      <c r="C29">
        <v>72.457583</v>
      </c>
      <c r="D29">
        <v>-520.03049999999996</v>
      </c>
      <c r="E29">
        <v>0</v>
      </c>
      <c r="F29">
        <v>0</v>
      </c>
      <c r="G29">
        <v>-3.2272142545100451</v>
      </c>
      <c r="H29">
        <v>0.1899999999999977</v>
      </c>
      <c r="I29">
        <v>0</v>
      </c>
      <c r="J29">
        <v>-4.4000000001688022E-2</v>
      </c>
      <c r="K29">
        <v>0.60000000000000009</v>
      </c>
      <c r="L29">
        <v>0</v>
      </c>
      <c r="M29">
        <v>0</v>
      </c>
      <c r="N29">
        <v>0</v>
      </c>
      <c r="O29">
        <v>11.96413125451161</v>
      </c>
      <c r="P29">
        <v>36563.550000000003</v>
      </c>
    </row>
    <row r="30" spans="1:16" x14ac:dyDescent="0.25">
      <c r="A30" s="10">
        <v>37663</v>
      </c>
      <c r="B30">
        <v>58.139999999999418</v>
      </c>
      <c r="C30">
        <v>67.697615999999996</v>
      </c>
      <c r="D30">
        <v>0</v>
      </c>
      <c r="E30">
        <v>0</v>
      </c>
      <c r="F30">
        <v>0</v>
      </c>
      <c r="G30">
        <v>-7.47</v>
      </c>
      <c r="H30">
        <v>-1.519999999999982</v>
      </c>
      <c r="I30">
        <v>0</v>
      </c>
      <c r="J30">
        <v>0</v>
      </c>
      <c r="K30">
        <v>0.2</v>
      </c>
      <c r="L30">
        <v>0</v>
      </c>
      <c r="M30">
        <v>0</v>
      </c>
      <c r="N30">
        <v>0</v>
      </c>
      <c r="O30">
        <v>-0.76761600000059937</v>
      </c>
      <c r="P30">
        <v>36621.69</v>
      </c>
    </row>
    <row r="31" spans="1:16" x14ac:dyDescent="0.25">
      <c r="A31" s="10">
        <v>37664</v>
      </c>
      <c r="B31">
        <v>114.2900000000009</v>
      </c>
      <c r="C31">
        <v>63.026544000000001</v>
      </c>
      <c r="D31">
        <v>0</v>
      </c>
      <c r="E31">
        <v>0</v>
      </c>
      <c r="F31">
        <v>0</v>
      </c>
      <c r="G31">
        <v>-7.1101935576249993</v>
      </c>
      <c r="H31">
        <v>-0.25999999999999091</v>
      </c>
      <c r="I31">
        <v>0</v>
      </c>
      <c r="J31">
        <v>0</v>
      </c>
      <c r="K31">
        <v>0.2</v>
      </c>
      <c r="L31">
        <v>34.127159524319801</v>
      </c>
      <c r="M31">
        <v>0</v>
      </c>
      <c r="N31">
        <v>0</v>
      </c>
      <c r="O31">
        <v>24.306490033306069</v>
      </c>
      <c r="P31">
        <v>36735.980000000003</v>
      </c>
    </row>
    <row r="32" spans="1:16" x14ac:dyDescent="0.25">
      <c r="A32" s="10">
        <v>37665</v>
      </c>
      <c r="B32">
        <v>42.880000000001033</v>
      </c>
      <c r="C32">
        <v>50.097151999999987</v>
      </c>
      <c r="D32">
        <v>0</v>
      </c>
      <c r="E32">
        <v>0</v>
      </c>
      <c r="F32">
        <v>0</v>
      </c>
      <c r="G32">
        <v>-6.7955874595839996</v>
      </c>
      <c r="H32">
        <v>0</v>
      </c>
      <c r="I32">
        <v>0</v>
      </c>
      <c r="J32">
        <v>0</v>
      </c>
      <c r="K32">
        <v>9.9999999999999978E-2</v>
      </c>
      <c r="L32">
        <v>0</v>
      </c>
      <c r="M32">
        <v>0</v>
      </c>
      <c r="N32">
        <v>0</v>
      </c>
      <c r="O32">
        <v>-0.52156454041497402</v>
      </c>
      <c r="P32">
        <v>36778.86</v>
      </c>
    </row>
    <row r="33" spans="1:16" x14ac:dyDescent="0.25">
      <c r="A33" s="10">
        <v>37666</v>
      </c>
      <c r="B33">
        <v>61.590000000000153</v>
      </c>
      <c r="C33">
        <v>24.029756999999989</v>
      </c>
      <c r="D33">
        <v>120</v>
      </c>
      <c r="E33">
        <v>0</v>
      </c>
      <c r="F33">
        <v>0</v>
      </c>
      <c r="G33">
        <v>-7.0999999934329594</v>
      </c>
      <c r="H33">
        <v>-0.25</v>
      </c>
      <c r="I33">
        <v>0</v>
      </c>
      <c r="J33">
        <v>-1.1320000000014261</v>
      </c>
      <c r="K33">
        <v>0.2</v>
      </c>
      <c r="L33">
        <v>-73.462985399953496</v>
      </c>
      <c r="M33">
        <v>0</v>
      </c>
      <c r="N33">
        <v>0</v>
      </c>
      <c r="O33">
        <v>-0.69477160661195114</v>
      </c>
      <c r="P33">
        <v>36840.449999999997</v>
      </c>
    </row>
    <row r="34" spans="1:16" x14ac:dyDescent="0.25">
      <c r="A34" s="10">
        <v>37669</v>
      </c>
      <c r="B34">
        <v>-1.8800000000010191</v>
      </c>
      <c r="C34">
        <v>-1.91448</v>
      </c>
      <c r="D34">
        <v>0</v>
      </c>
      <c r="E34">
        <v>0</v>
      </c>
      <c r="F34">
        <v>0</v>
      </c>
      <c r="G34">
        <v>-2.6461533768036989</v>
      </c>
      <c r="H34">
        <v>9.9999999999909051E-3</v>
      </c>
      <c r="I34">
        <v>0</v>
      </c>
      <c r="J34">
        <v>0</v>
      </c>
      <c r="K34">
        <v>0.7</v>
      </c>
      <c r="L34">
        <v>0</v>
      </c>
      <c r="M34">
        <v>0</v>
      </c>
      <c r="N34">
        <v>0</v>
      </c>
      <c r="O34">
        <v>1.9706333768026889</v>
      </c>
      <c r="P34">
        <v>36838.57</v>
      </c>
    </row>
    <row r="35" spans="1:16" x14ac:dyDescent="0.25">
      <c r="A35" s="10">
        <v>37670</v>
      </c>
      <c r="B35">
        <v>58.729999999999571</v>
      </c>
      <c r="C35">
        <v>70.822080000000014</v>
      </c>
      <c r="D35">
        <v>0</v>
      </c>
      <c r="E35">
        <v>0</v>
      </c>
      <c r="F35">
        <v>0</v>
      </c>
      <c r="G35">
        <v>-10.155520861998991</v>
      </c>
      <c r="H35">
        <v>0</v>
      </c>
      <c r="I35">
        <v>0</v>
      </c>
      <c r="J35">
        <v>0</v>
      </c>
      <c r="K35">
        <v>0.2</v>
      </c>
      <c r="L35">
        <v>0</v>
      </c>
      <c r="M35">
        <v>0</v>
      </c>
      <c r="N35">
        <v>0</v>
      </c>
      <c r="O35">
        <v>-2.1365591380014508</v>
      </c>
      <c r="P35">
        <v>36897.300000000003</v>
      </c>
    </row>
    <row r="36" spans="1:16" x14ac:dyDescent="0.25">
      <c r="A36" s="10">
        <v>37671</v>
      </c>
      <c r="B36">
        <v>82.130000000001019</v>
      </c>
      <c r="C36">
        <v>61.622335000000007</v>
      </c>
      <c r="D36">
        <v>0</v>
      </c>
      <c r="E36">
        <v>0</v>
      </c>
      <c r="F36">
        <v>0</v>
      </c>
      <c r="G36">
        <v>50.783036552354993</v>
      </c>
      <c r="H36">
        <v>-35.52000000000001</v>
      </c>
      <c r="I36">
        <v>0</v>
      </c>
      <c r="J36">
        <v>25.99600000000282</v>
      </c>
      <c r="K36">
        <v>-19.173127599999951</v>
      </c>
      <c r="L36">
        <v>5.2586654075026502E-2</v>
      </c>
      <c r="M36">
        <v>0</v>
      </c>
      <c r="N36">
        <v>0</v>
      </c>
      <c r="O36">
        <v>-1.6308306064318909</v>
      </c>
      <c r="P36">
        <v>36979.43</v>
      </c>
    </row>
    <row r="37" spans="1:16" x14ac:dyDescent="0.25">
      <c r="A37" s="10">
        <v>37672</v>
      </c>
      <c r="B37">
        <v>810.34999999999866</v>
      </c>
      <c r="C37">
        <v>33.976481</v>
      </c>
      <c r="D37">
        <v>800</v>
      </c>
      <c r="E37">
        <v>0</v>
      </c>
      <c r="F37">
        <v>0</v>
      </c>
      <c r="G37">
        <v>-6.0578337709421248</v>
      </c>
      <c r="H37">
        <v>0.12000000000000451</v>
      </c>
      <c r="I37">
        <v>0</v>
      </c>
      <c r="J37">
        <v>-18.82200000000012</v>
      </c>
      <c r="K37">
        <v>0.2</v>
      </c>
      <c r="L37">
        <v>0</v>
      </c>
      <c r="M37">
        <v>0</v>
      </c>
      <c r="N37">
        <v>0</v>
      </c>
      <c r="O37">
        <v>0.93335277094079172</v>
      </c>
      <c r="P37">
        <v>37789.78</v>
      </c>
    </row>
    <row r="38" spans="1:16" x14ac:dyDescent="0.25">
      <c r="A38" s="10">
        <v>37673</v>
      </c>
      <c r="B38">
        <v>51.520000000000451</v>
      </c>
      <c r="C38">
        <v>97.791241999999997</v>
      </c>
      <c r="D38">
        <v>0</v>
      </c>
      <c r="E38">
        <v>0</v>
      </c>
      <c r="F38">
        <v>0</v>
      </c>
      <c r="G38">
        <v>4.8400000000000034</v>
      </c>
      <c r="H38">
        <v>0.24000000000000909</v>
      </c>
      <c r="I38">
        <v>0</v>
      </c>
      <c r="J38">
        <v>0</v>
      </c>
      <c r="K38">
        <v>0.1021861</v>
      </c>
      <c r="L38">
        <v>-51.519486960275302</v>
      </c>
      <c r="M38">
        <v>0</v>
      </c>
      <c r="N38">
        <v>0</v>
      </c>
      <c r="O38">
        <v>6.6058860275745701E-2</v>
      </c>
      <c r="P38">
        <v>37841.300000000003</v>
      </c>
    </row>
    <row r="39" spans="1:16" x14ac:dyDescent="0.25">
      <c r="A39" s="10">
        <v>37676</v>
      </c>
      <c r="B39">
        <v>23.639999999999411</v>
      </c>
      <c r="C39">
        <v>44.995125000000009</v>
      </c>
      <c r="D39">
        <v>0</v>
      </c>
      <c r="E39">
        <v>0</v>
      </c>
      <c r="F39">
        <v>0</v>
      </c>
      <c r="G39">
        <v>3.3327623697000028</v>
      </c>
      <c r="H39">
        <v>0.10999999999998521</v>
      </c>
      <c r="I39">
        <v>0</v>
      </c>
      <c r="J39">
        <v>-34.724000000001979</v>
      </c>
      <c r="K39">
        <v>9.9700000000001179</v>
      </c>
      <c r="L39">
        <v>0</v>
      </c>
      <c r="M39">
        <v>0</v>
      </c>
      <c r="N39">
        <v>0</v>
      </c>
      <c r="O39">
        <v>-4.3887369698717982E-2</v>
      </c>
      <c r="P39">
        <v>37864.94</v>
      </c>
    </row>
    <row r="40" spans="1:16" x14ac:dyDescent="0.25">
      <c r="A40" s="10">
        <v>37677</v>
      </c>
      <c r="B40">
        <v>77.569999999999723</v>
      </c>
      <c r="C40">
        <v>63.389457999999998</v>
      </c>
      <c r="D40">
        <v>0</v>
      </c>
      <c r="E40">
        <v>0</v>
      </c>
      <c r="F40">
        <v>0</v>
      </c>
      <c r="G40">
        <v>-9.73</v>
      </c>
      <c r="H40">
        <v>24.900000000000009</v>
      </c>
      <c r="I40">
        <v>0</v>
      </c>
      <c r="J40">
        <v>0</v>
      </c>
      <c r="K40">
        <v>0.26300000000000001</v>
      </c>
      <c r="L40">
        <v>0</v>
      </c>
      <c r="M40">
        <v>0</v>
      </c>
      <c r="N40">
        <v>0</v>
      </c>
      <c r="O40">
        <v>-1.252458000000289</v>
      </c>
      <c r="P40">
        <v>37942.51</v>
      </c>
    </row>
    <row r="41" spans="1:16" x14ac:dyDescent="0.25">
      <c r="A41" s="10">
        <v>37678</v>
      </c>
      <c r="B41">
        <v>-11.819999999999711</v>
      </c>
      <c r="C41">
        <v>25.955999999999989</v>
      </c>
      <c r="D41">
        <v>0</v>
      </c>
      <c r="E41">
        <v>0</v>
      </c>
      <c r="F41">
        <v>0</v>
      </c>
      <c r="G41">
        <v>-7.1767949820000014</v>
      </c>
      <c r="H41">
        <v>-0.28999999999999199</v>
      </c>
      <c r="I41">
        <v>0</v>
      </c>
      <c r="J41">
        <v>8.5999999999330612E-2</v>
      </c>
      <c r="K41">
        <v>1.899</v>
      </c>
      <c r="L41">
        <v>-39.346637449082003</v>
      </c>
      <c r="M41">
        <v>0</v>
      </c>
      <c r="N41">
        <v>0</v>
      </c>
      <c r="O41">
        <v>7.0524324310829662</v>
      </c>
      <c r="P41">
        <v>37930.69</v>
      </c>
    </row>
    <row r="42" spans="1:16" x14ac:dyDescent="0.25">
      <c r="A42" s="10">
        <v>37679</v>
      </c>
      <c r="B42">
        <v>10.21000000000276</v>
      </c>
      <c r="C42">
        <v>16.791281999999999</v>
      </c>
      <c r="D42">
        <v>0</v>
      </c>
      <c r="E42">
        <v>0</v>
      </c>
      <c r="F42">
        <v>0</v>
      </c>
      <c r="G42">
        <v>-2.7199999999999989</v>
      </c>
      <c r="H42">
        <v>1.999999999998181E-2</v>
      </c>
      <c r="I42">
        <v>0</v>
      </c>
      <c r="J42">
        <v>0</v>
      </c>
      <c r="K42">
        <v>1.60018558</v>
      </c>
      <c r="L42">
        <v>0</v>
      </c>
      <c r="M42">
        <v>0</v>
      </c>
      <c r="N42">
        <v>0</v>
      </c>
      <c r="O42">
        <v>-5.4814675799972132</v>
      </c>
      <c r="P42">
        <v>37940.899999999987</v>
      </c>
    </row>
    <row r="43" spans="1:16" x14ac:dyDescent="0.25">
      <c r="A43" s="10">
        <v>37680</v>
      </c>
      <c r="B43">
        <v>36.659999999999933</v>
      </c>
      <c r="C43">
        <v>14.094931000000001</v>
      </c>
      <c r="D43">
        <v>799.999999996935</v>
      </c>
      <c r="E43">
        <v>-1000.000000004123</v>
      </c>
      <c r="F43">
        <v>200.00000000718799</v>
      </c>
      <c r="G43">
        <v>-36.831122464115992</v>
      </c>
      <c r="H43">
        <v>1.000000000001933E-2</v>
      </c>
      <c r="I43">
        <v>0</v>
      </c>
      <c r="J43">
        <v>-20.314000000002121</v>
      </c>
      <c r="K43">
        <v>-110.87981767000009</v>
      </c>
      <c r="L43">
        <v>144.17998166203901</v>
      </c>
      <c r="M43">
        <v>0</v>
      </c>
      <c r="N43">
        <v>0</v>
      </c>
      <c r="O43">
        <v>46.400027472079152</v>
      </c>
      <c r="P43">
        <v>37977.56</v>
      </c>
    </row>
    <row r="44" spans="1:16" x14ac:dyDescent="0.25">
      <c r="A44" s="10">
        <v>37683</v>
      </c>
      <c r="B44">
        <v>42.500000000000007</v>
      </c>
      <c r="C44">
        <v>-7.5550679999999906</v>
      </c>
      <c r="D44">
        <v>0</v>
      </c>
      <c r="E44">
        <v>0</v>
      </c>
      <c r="F44">
        <v>0</v>
      </c>
      <c r="G44">
        <v>1.429999999999978</v>
      </c>
      <c r="H44">
        <v>-6.4900000000000091</v>
      </c>
      <c r="I44">
        <v>0</v>
      </c>
      <c r="J44">
        <v>-7.2679999999963911</v>
      </c>
      <c r="K44">
        <v>0.86637081999999999</v>
      </c>
      <c r="L44">
        <v>0</v>
      </c>
      <c r="M44">
        <v>0</v>
      </c>
      <c r="N44">
        <v>0</v>
      </c>
      <c r="O44">
        <v>61.516697179996427</v>
      </c>
      <c r="P44">
        <v>38020.06</v>
      </c>
    </row>
    <row r="45" spans="1:16" x14ac:dyDescent="0.25">
      <c r="A45" s="10">
        <v>37684</v>
      </c>
      <c r="B45">
        <v>39.829999999998108</v>
      </c>
      <c r="C45">
        <v>20.535306000000009</v>
      </c>
      <c r="D45">
        <v>0</v>
      </c>
      <c r="E45">
        <v>0</v>
      </c>
      <c r="F45">
        <v>0</v>
      </c>
      <c r="G45">
        <v>-5.741941590952</v>
      </c>
      <c r="H45">
        <v>9.9999999999909051E-3</v>
      </c>
      <c r="I45">
        <v>0</v>
      </c>
      <c r="J45">
        <v>-1.978000000002794</v>
      </c>
      <c r="K45">
        <v>16.69082401</v>
      </c>
      <c r="L45">
        <v>0</v>
      </c>
      <c r="M45">
        <v>0</v>
      </c>
      <c r="N45">
        <v>0</v>
      </c>
      <c r="O45">
        <v>10.313811580952899</v>
      </c>
      <c r="P45">
        <v>38059.89</v>
      </c>
    </row>
    <row r="46" spans="1:16" x14ac:dyDescent="0.25">
      <c r="A46" s="10">
        <v>37685</v>
      </c>
      <c r="B46">
        <v>-35.930000000000277</v>
      </c>
      <c r="C46">
        <v>29.596812</v>
      </c>
      <c r="D46">
        <v>0</v>
      </c>
      <c r="E46">
        <v>0</v>
      </c>
      <c r="F46">
        <v>0</v>
      </c>
      <c r="G46">
        <v>-6.460920916040001</v>
      </c>
      <c r="H46">
        <v>0</v>
      </c>
      <c r="I46">
        <v>0</v>
      </c>
      <c r="J46">
        <v>-3.3559999999997672</v>
      </c>
      <c r="K46">
        <v>0.2</v>
      </c>
      <c r="L46">
        <v>-55.409321959101099</v>
      </c>
      <c r="M46">
        <v>0</v>
      </c>
      <c r="N46">
        <v>0</v>
      </c>
      <c r="O46">
        <v>-0.50056912485941607</v>
      </c>
      <c r="P46">
        <v>37883.96</v>
      </c>
    </row>
    <row r="47" spans="1:16" x14ac:dyDescent="0.25">
      <c r="A47" s="10">
        <v>37686</v>
      </c>
      <c r="B47">
        <v>18.75</v>
      </c>
      <c r="C47">
        <v>18.250499999999999</v>
      </c>
      <c r="D47">
        <v>0</v>
      </c>
      <c r="E47">
        <v>0</v>
      </c>
      <c r="F47">
        <v>0</v>
      </c>
      <c r="G47">
        <v>-3.4140977133399999</v>
      </c>
      <c r="H47">
        <v>0.14000000000001481</v>
      </c>
      <c r="I47">
        <v>0</v>
      </c>
      <c r="J47">
        <v>0</v>
      </c>
      <c r="K47">
        <v>0.2</v>
      </c>
      <c r="L47">
        <v>0</v>
      </c>
      <c r="M47">
        <v>0</v>
      </c>
      <c r="N47">
        <v>0</v>
      </c>
      <c r="O47">
        <v>3.573597713339983</v>
      </c>
      <c r="P47">
        <v>37902.71</v>
      </c>
    </row>
    <row r="48" spans="1:16" x14ac:dyDescent="0.25">
      <c r="A48" s="10">
        <v>37687</v>
      </c>
      <c r="B48">
        <v>-44.299999999999272</v>
      </c>
      <c r="C48">
        <v>2.4810239999999979</v>
      </c>
      <c r="D48">
        <v>0</v>
      </c>
      <c r="E48">
        <v>0</v>
      </c>
      <c r="F48">
        <v>0</v>
      </c>
      <c r="G48">
        <v>-4.2400557209600001</v>
      </c>
      <c r="H48">
        <v>-0.5</v>
      </c>
      <c r="I48">
        <v>0</v>
      </c>
      <c r="J48">
        <v>0</v>
      </c>
      <c r="K48">
        <v>4.2</v>
      </c>
      <c r="L48">
        <v>-46.1441828365977</v>
      </c>
      <c r="M48">
        <v>0</v>
      </c>
      <c r="N48">
        <v>0</v>
      </c>
      <c r="O48">
        <v>-9.6785442441567726E-2</v>
      </c>
      <c r="P48">
        <v>37858.410000000003</v>
      </c>
    </row>
    <row r="49" spans="1:16" x14ac:dyDescent="0.25">
      <c r="A49" s="10">
        <v>37690</v>
      </c>
      <c r="B49">
        <v>70.240000000001601</v>
      </c>
      <c r="C49">
        <v>83.347020000000001</v>
      </c>
      <c r="D49">
        <v>0</v>
      </c>
      <c r="E49">
        <v>0</v>
      </c>
      <c r="F49">
        <v>0</v>
      </c>
      <c r="G49">
        <v>-4.5113482239999971</v>
      </c>
      <c r="H49">
        <v>-2.7199999999999989</v>
      </c>
      <c r="I49">
        <v>0</v>
      </c>
      <c r="J49">
        <v>-4.8499999999985448</v>
      </c>
      <c r="K49">
        <v>1.2231803459999999</v>
      </c>
      <c r="L49">
        <v>0</v>
      </c>
      <c r="M49">
        <v>0</v>
      </c>
      <c r="N49">
        <v>0</v>
      </c>
      <c r="O49">
        <v>-2.2488521219998598</v>
      </c>
      <c r="P49">
        <v>37928.65</v>
      </c>
    </row>
    <row r="50" spans="1:16" x14ac:dyDescent="0.25">
      <c r="A50" s="10">
        <v>37691</v>
      </c>
      <c r="B50">
        <v>-19.03000000000247</v>
      </c>
      <c r="C50">
        <v>15.337090999999999</v>
      </c>
      <c r="D50">
        <v>0</v>
      </c>
      <c r="E50">
        <v>0</v>
      </c>
      <c r="F50">
        <v>0</v>
      </c>
      <c r="G50">
        <v>-6.7124253952769992</v>
      </c>
      <c r="H50">
        <v>-0.46999999999999892</v>
      </c>
      <c r="I50">
        <v>0</v>
      </c>
      <c r="J50">
        <v>-6.1710000000020946</v>
      </c>
      <c r="K50">
        <v>0.2</v>
      </c>
      <c r="L50">
        <v>0</v>
      </c>
      <c r="M50">
        <v>0</v>
      </c>
      <c r="N50">
        <v>0</v>
      </c>
      <c r="O50">
        <v>-21.213665604723381</v>
      </c>
      <c r="P50">
        <v>37909.620000000003</v>
      </c>
    </row>
    <row r="51" spans="1:16" x14ac:dyDescent="0.25">
      <c r="A51" s="10">
        <v>37692</v>
      </c>
      <c r="B51">
        <v>101.68000000000031</v>
      </c>
      <c r="C51">
        <v>5.5838600000000014</v>
      </c>
      <c r="D51">
        <v>0</v>
      </c>
      <c r="E51">
        <v>0</v>
      </c>
      <c r="F51">
        <v>0</v>
      </c>
      <c r="G51">
        <v>-5.8096700671299999</v>
      </c>
      <c r="H51">
        <v>-1.000000000001933E-2</v>
      </c>
      <c r="I51">
        <v>0</v>
      </c>
      <c r="J51">
        <v>0</v>
      </c>
      <c r="K51">
        <v>-0.1</v>
      </c>
      <c r="L51">
        <v>84.750485113015998</v>
      </c>
      <c r="M51">
        <v>0</v>
      </c>
      <c r="N51">
        <v>0</v>
      </c>
      <c r="O51">
        <v>17.265324954114309</v>
      </c>
      <c r="P51">
        <v>38011.300000000003</v>
      </c>
    </row>
    <row r="52" spans="1:16" x14ac:dyDescent="0.25">
      <c r="A52" s="10">
        <v>37693</v>
      </c>
      <c r="B52">
        <v>-16.110000000000579</v>
      </c>
      <c r="C52">
        <v>-5.4794080000000056</v>
      </c>
      <c r="D52">
        <v>0</v>
      </c>
      <c r="E52">
        <v>0</v>
      </c>
      <c r="F52">
        <v>0</v>
      </c>
      <c r="G52">
        <v>-8.3266198859349991</v>
      </c>
      <c r="H52">
        <v>-0.21999999999999889</v>
      </c>
      <c r="I52">
        <v>0</v>
      </c>
      <c r="J52">
        <v>0</v>
      </c>
      <c r="K52">
        <v>-0.1</v>
      </c>
      <c r="L52">
        <v>0</v>
      </c>
      <c r="M52">
        <v>0</v>
      </c>
      <c r="N52">
        <v>0</v>
      </c>
      <c r="O52">
        <v>-1.9839721140655779</v>
      </c>
      <c r="P52">
        <v>37995.19</v>
      </c>
    </row>
    <row r="53" spans="1:16" x14ac:dyDescent="0.25">
      <c r="A53" s="10">
        <v>37694</v>
      </c>
      <c r="B53">
        <v>-19.91899999999805</v>
      </c>
      <c r="C53">
        <v>-21.661366000000001</v>
      </c>
      <c r="D53">
        <v>0</v>
      </c>
      <c r="E53">
        <v>0</v>
      </c>
      <c r="F53">
        <v>0</v>
      </c>
      <c r="G53">
        <v>-3.846248555096011</v>
      </c>
      <c r="H53">
        <v>8.9950000000000045</v>
      </c>
      <c r="I53">
        <v>0</v>
      </c>
      <c r="J53">
        <v>-0.98500000000058208</v>
      </c>
      <c r="K53">
        <v>0.3</v>
      </c>
      <c r="L53">
        <v>-2.2457935152929398</v>
      </c>
      <c r="M53">
        <v>0</v>
      </c>
      <c r="N53">
        <v>0</v>
      </c>
      <c r="O53">
        <v>-0.47559192960851671</v>
      </c>
      <c r="P53">
        <v>37975.271000000001</v>
      </c>
    </row>
    <row r="54" spans="1:16" x14ac:dyDescent="0.25">
      <c r="A54" s="10">
        <v>37697</v>
      </c>
      <c r="B54">
        <v>52.528999999998653</v>
      </c>
      <c r="C54">
        <v>58.98312</v>
      </c>
      <c r="D54">
        <v>0</v>
      </c>
      <c r="E54">
        <v>0</v>
      </c>
      <c r="F54">
        <v>0</v>
      </c>
      <c r="G54">
        <v>0.70302703444798453</v>
      </c>
      <c r="H54">
        <v>-1.805000000000007</v>
      </c>
      <c r="I54">
        <v>0</v>
      </c>
      <c r="J54">
        <v>-3.7269999999953138</v>
      </c>
      <c r="K54">
        <v>0.8197211900000001</v>
      </c>
      <c r="L54">
        <v>0</v>
      </c>
      <c r="M54">
        <v>0</v>
      </c>
      <c r="N54">
        <v>0</v>
      </c>
      <c r="O54">
        <v>-2.444868224454019</v>
      </c>
      <c r="P54">
        <v>38027.800000000003</v>
      </c>
    </row>
    <row r="55" spans="1:16" x14ac:dyDescent="0.25">
      <c r="A55" s="10">
        <v>37698</v>
      </c>
      <c r="B55">
        <v>12.19000000000233</v>
      </c>
      <c r="C55">
        <v>37.107000000000014</v>
      </c>
      <c r="D55">
        <v>0</v>
      </c>
      <c r="E55">
        <v>0</v>
      </c>
      <c r="F55">
        <v>0</v>
      </c>
      <c r="G55">
        <v>-11.901234335</v>
      </c>
      <c r="H55">
        <v>-9.1799999999999784</v>
      </c>
      <c r="I55">
        <v>0</v>
      </c>
      <c r="J55">
        <v>-3.8390000000035802</v>
      </c>
      <c r="K55">
        <v>0.30704762200000002</v>
      </c>
      <c r="L55">
        <v>0</v>
      </c>
      <c r="M55">
        <v>0</v>
      </c>
      <c r="N55">
        <v>0</v>
      </c>
      <c r="O55">
        <v>-0.30381328699412369</v>
      </c>
      <c r="P55">
        <v>38039.99</v>
      </c>
    </row>
    <row r="56" spans="1:16" x14ac:dyDescent="0.25">
      <c r="A56" s="10">
        <v>37699</v>
      </c>
      <c r="B56">
        <v>41.23999999999797</v>
      </c>
      <c r="C56">
        <v>-10.30008000000001</v>
      </c>
      <c r="D56">
        <v>0</v>
      </c>
      <c r="E56">
        <v>0</v>
      </c>
      <c r="F56">
        <v>0</v>
      </c>
      <c r="G56">
        <v>50.721741192124988</v>
      </c>
      <c r="H56">
        <v>0.2299999999999898</v>
      </c>
      <c r="I56">
        <v>0</v>
      </c>
      <c r="J56">
        <v>-0.17000000000189169</v>
      </c>
      <c r="K56">
        <v>0.31000000000000011</v>
      </c>
      <c r="L56">
        <v>0.74574630563566102</v>
      </c>
      <c r="M56">
        <v>0</v>
      </c>
      <c r="N56">
        <v>0</v>
      </c>
      <c r="O56">
        <v>-0.29740749776077863</v>
      </c>
      <c r="P56">
        <v>38081.230000000003</v>
      </c>
    </row>
    <row r="57" spans="1:16" x14ac:dyDescent="0.25">
      <c r="A57" s="10">
        <v>37700</v>
      </c>
      <c r="B57">
        <v>62.049999999999287</v>
      </c>
      <c r="C57">
        <v>69.562368000000006</v>
      </c>
      <c r="D57">
        <v>0</v>
      </c>
      <c r="E57">
        <v>0</v>
      </c>
      <c r="F57">
        <v>0</v>
      </c>
      <c r="G57">
        <v>-6.7400000000000091</v>
      </c>
      <c r="H57">
        <v>-0.2299999999999898</v>
      </c>
      <c r="I57">
        <v>0</v>
      </c>
      <c r="J57">
        <v>-0.1209999999955471</v>
      </c>
      <c r="K57">
        <v>0.3</v>
      </c>
      <c r="L57">
        <v>0</v>
      </c>
      <c r="M57">
        <v>0</v>
      </c>
      <c r="N57">
        <v>0</v>
      </c>
      <c r="O57">
        <v>-0.72136800000517243</v>
      </c>
      <c r="P57">
        <v>38143.279999999999</v>
      </c>
    </row>
    <row r="58" spans="1:16" x14ac:dyDescent="0.25">
      <c r="A58" s="10">
        <v>37701</v>
      </c>
      <c r="B58">
        <v>29.220000000001161</v>
      </c>
      <c r="C58">
        <v>3.2006700000000019</v>
      </c>
      <c r="D58">
        <v>0</v>
      </c>
      <c r="E58">
        <v>0</v>
      </c>
      <c r="F58">
        <v>0</v>
      </c>
      <c r="G58">
        <v>2.2700000000000031</v>
      </c>
      <c r="H58">
        <v>0</v>
      </c>
      <c r="I58">
        <v>0</v>
      </c>
      <c r="J58">
        <v>0</v>
      </c>
      <c r="K58">
        <v>0.2148593</v>
      </c>
      <c r="L58">
        <v>24.269603378262399</v>
      </c>
      <c r="M58">
        <v>0</v>
      </c>
      <c r="N58">
        <v>0</v>
      </c>
      <c r="O58">
        <v>-0.73513267826123974</v>
      </c>
      <c r="P58">
        <v>38172.5</v>
      </c>
    </row>
    <row r="59" spans="1:16" x14ac:dyDescent="0.25">
      <c r="A59" s="10">
        <v>37704</v>
      </c>
      <c r="B59">
        <v>73.759999999998399</v>
      </c>
      <c r="C59">
        <v>64.447911000000005</v>
      </c>
      <c r="D59">
        <v>0</v>
      </c>
      <c r="E59">
        <v>0</v>
      </c>
      <c r="F59">
        <v>0</v>
      </c>
      <c r="G59">
        <v>-0.8193252922719978</v>
      </c>
      <c r="H59">
        <v>0.28999999999999199</v>
      </c>
      <c r="I59">
        <v>0</v>
      </c>
      <c r="J59">
        <v>-1.569999999999709</v>
      </c>
      <c r="K59">
        <v>0.62838714000000007</v>
      </c>
      <c r="L59">
        <v>0</v>
      </c>
      <c r="M59">
        <v>0</v>
      </c>
      <c r="N59">
        <v>0</v>
      </c>
      <c r="O59">
        <v>10.78302715227011</v>
      </c>
      <c r="P59">
        <v>38246.26</v>
      </c>
    </row>
    <row r="60" spans="1:16" x14ac:dyDescent="0.25">
      <c r="A60" s="10">
        <v>37705</v>
      </c>
      <c r="B60">
        <v>26.25</v>
      </c>
      <c r="C60">
        <v>57.377816000000003</v>
      </c>
      <c r="D60">
        <v>0</v>
      </c>
      <c r="E60">
        <v>0</v>
      </c>
      <c r="F60">
        <v>0</v>
      </c>
      <c r="G60">
        <v>-19.356350654431999</v>
      </c>
      <c r="H60">
        <v>6.9999999999993179E-2</v>
      </c>
      <c r="I60">
        <v>0</v>
      </c>
      <c r="J60">
        <v>-0.31999999999970902</v>
      </c>
      <c r="K60">
        <v>-8.5506142399999003</v>
      </c>
      <c r="L60">
        <v>0</v>
      </c>
      <c r="M60">
        <v>0</v>
      </c>
      <c r="N60">
        <v>0</v>
      </c>
      <c r="O60">
        <v>-2.9708511055683848</v>
      </c>
      <c r="P60">
        <v>38272.509999999987</v>
      </c>
    </row>
    <row r="61" spans="1:16" x14ac:dyDescent="0.25">
      <c r="A61" s="10">
        <v>37706</v>
      </c>
      <c r="B61">
        <v>13.690000000002341</v>
      </c>
      <c r="C61">
        <v>50.685490999999992</v>
      </c>
      <c r="D61">
        <v>0</v>
      </c>
      <c r="E61">
        <v>0</v>
      </c>
      <c r="F61">
        <v>0</v>
      </c>
      <c r="G61">
        <v>-5.28</v>
      </c>
      <c r="H61">
        <v>-0.18000000000000679</v>
      </c>
      <c r="I61">
        <v>0</v>
      </c>
      <c r="J61">
        <v>0</v>
      </c>
      <c r="K61">
        <v>0.24</v>
      </c>
      <c r="L61">
        <v>-32.303600523278099</v>
      </c>
      <c r="M61">
        <v>0</v>
      </c>
      <c r="N61">
        <v>0</v>
      </c>
      <c r="O61">
        <v>0.52810952328044869</v>
      </c>
      <c r="P61">
        <v>38286.199999999997</v>
      </c>
    </row>
    <row r="62" spans="1:16" x14ac:dyDescent="0.25">
      <c r="A62" s="10">
        <v>37707</v>
      </c>
      <c r="B62">
        <v>50.619999999998988</v>
      </c>
      <c r="C62">
        <v>57.791903999999988</v>
      </c>
      <c r="D62">
        <v>0</v>
      </c>
      <c r="E62">
        <v>0</v>
      </c>
      <c r="F62">
        <v>0</v>
      </c>
      <c r="G62">
        <v>-8.3142735236000007</v>
      </c>
      <c r="H62">
        <v>-0.15999999999999659</v>
      </c>
      <c r="I62">
        <v>0</v>
      </c>
      <c r="J62">
        <v>0</v>
      </c>
      <c r="K62">
        <v>0.32291286000000002</v>
      </c>
      <c r="L62">
        <v>0</v>
      </c>
      <c r="M62">
        <v>0</v>
      </c>
      <c r="N62">
        <v>0</v>
      </c>
      <c r="O62">
        <v>0.97945666359899808</v>
      </c>
      <c r="P62">
        <v>38336.82</v>
      </c>
    </row>
    <row r="63" spans="1:16" x14ac:dyDescent="0.25">
      <c r="A63" s="10">
        <v>37708</v>
      </c>
      <c r="B63">
        <v>4.5499999999994571</v>
      </c>
      <c r="C63">
        <v>4.2490799999999922</v>
      </c>
      <c r="D63">
        <v>564.49999999705005</v>
      </c>
      <c r="E63">
        <v>-611.9999999982</v>
      </c>
      <c r="F63">
        <v>87.500000001149999</v>
      </c>
      <c r="G63">
        <v>3.4787129682499649</v>
      </c>
      <c r="H63">
        <v>9.0000000000003411E-2</v>
      </c>
      <c r="I63">
        <v>0</v>
      </c>
      <c r="J63">
        <v>1.180000000000291</v>
      </c>
      <c r="K63">
        <v>-94.750000000000171</v>
      </c>
      <c r="L63">
        <v>-0.16873203123295299</v>
      </c>
      <c r="M63">
        <v>0</v>
      </c>
      <c r="N63">
        <v>0</v>
      </c>
      <c r="O63">
        <v>50.470939062982218</v>
      </c>
      <c r="P63">
        <v>38341.370000000003</v>
      </c>
    </row>
    <row r="64" spans="1:16" x14ac:dyDescent="0.25">
      <c r="A64" s="10">
        <v>37712</v>
      </c>
      <c r="B64">
        <v>5.7600000000020382</v>
      </c>
      <c r="C64">
        <v>9.3318750000000037</v>
      </c>
      <c r="D64">
        <v>0</v>
      </c>
      <c r="E64">
        <v>0</v>
      </c>
      <c r="F64">
        <v>0</v>
      </c>
      <c r="G64">
        <v>1.72225000525</v>
      </c>
      <c r="H64">
        <v>0.12000000000000451</v>
      </c>
      <c r="I64">
        <v>0</v>
      </c>
      <c r="J64">
        <v>-2.680000000000291</v>
      </c>
      <c r="K64">
        <v>1.3919999999999999</v>
      </c>
      <c r="L64">
        <v>0</v>
      </c>
      <c r="M64">
        <v>0</v>
      </c>
      <c r="N64">
        <v>0</v>
      </c>
      <c r="O64">
        <v>-4.1261250052476788</v>
      </c>
      <c r="P64">
        <v>38347.129999999997</v>
      </c>
    </row>
    <row r="65" spans="1:16" x14ac:dyDescent="0.25">
      <c r="A65" s="10">
        <v>37713</v>
      </c>
      <c r="B65">
        <v>-10.990000000001601</v>
      </c>
      <c r="C65">
        <v>26.24675199999999</v>
      </c>
      <c r="D65">
        <v>0</v>
      </c>
      <c r="E65">
        <v>0</v>
      </c>
      <c r="F65">
        <v>0</v>
      </c>
      <c r="G65">
        <v>-9.5575298279039984</v>
      </c>
      <c r="H65">
        <v>0.36000000000001359</v>
      </c>
      <c r="I65">
        <v>0</v>
      </c>
      <c r="J65">
        <v>-8.000000000174623E-2</v>
      </c>
      <c r="K65">
        <v>0.31290038999999997</v>
      </c>
      <c r="L65">
        <v>-28.2181226306577</v>
      </c>
      <c r="M65">
        <v>0</v>
      </c>
      <c r="N65">
        <v>0</v>
      </c>
      <c r="O65">
        <v>-5.3999931438162292E-2</v>
      </c>
      <c r="P65">
        <v>38336.14</v>
      </c>
    </row>
    <row r="66" spans="1:16" x14ac:dyDescent="0.25">
      <c r="A66" s="10">
        <v>37714</v>
      </c>
      <c r="B66">
        <v>113.4400000000023</v>
      </c>
      <c r="C66">
        <v>95.887797000000006</v>
      </c>
      <c r="D66">
        <v>0</v>
      </c>
      <c r="E66">
        <v>0</v>
      </c>
      <c r="F66">
        <v>0</v>
      </c>
      <c r="G66">
        <v>4.7960428727090001</v>
      </c>
      <c r="H66">
        <v>0.1199999999999761</v>
      </c>
      <c r="I66">
        <v>0</v>
      </c>
      <c r="J66">
        <v>0</v>
      </c>
      <c r="K66">
        <v>0.93633584999999997</v>
      </c>
      <c r="L66">
        <v>9.69</v>
      </c>
      <c r="M66">
        <v>0</v>
      </c>
      <c r="N66">
        <v>0</v>
      </c>
      <c r="O66">
        <v>2.009824277293339</v>
      </c>
      <c r="P66">
        <v>38449.58</v>
      </c>
    </row>
    <row r="67" spans="1:16" x14ac:dyDescent="0.25">
      <c r="A67" s="10">
        <v>37715</v>
      </c>
      <c r="B67">
        <v>-71.860000000000582</v>
      </c>
      <c r="C67">
        <v>7.6560000000000059</v>
      </c>
      <c r="D67">
        <v>0</v>
      </c>
      <c r="E67">
        <v>0</v>
      </c>
      <c r="F67">
        <v>0</v>
      </c>
      <c r="G67">
        <v>-7.5341397808999986</v>
      </c>
      <c r="H67">
        <v>1.2000000000000171</v>
      </c>
      <c r="I67">
        <v>0</v>
      </c>
      <c r="J67">
        <v>0</v>
      </c>
      <c r="K67">
        <v>0.36631367999997272</v>
      </c>
      <c r="L67">
        <v>-73.201409871379994</v>
      </c>
      <c r="M67">
        <v>0</v>
      </c>
      <c r="N67">
        <v>0</v>
      </c>
      <c r="O67">
        <v>-0.34676402772058729</v>
      </c>
      <c r="P67">
        <v>38377.72</v>
      </c>
    </row>
    <row r="68" spans="1:16" x14ac:dyDescent="0.25">
      <c r="A68" s="10">
        <v>37718</v>
      </c>
      <c r="B68">
        <v>30.309999999997672</v>
      </c>
      <c r="C68">
        <v>31.575935999999999</v>
      </c>
      <c r="D68">
        <v>0</v>
      </c>
      <c r="E68">
        <v>0</v>
      </c>
      <c r="F68">
        <v>0</v>
      </c>
      <c r="G68">
        <v>-7.2423265832000112</v>
      </c>
      <c r="H68">
        <v>0</v>
      </c>
      <c r="I68">
        <v>0</v>
      </c>
      <c r="J68">
        <v>0</v>
      </c>
      <c r="K68">
        <v>0.43609383000000013</v>
      </c>
      <c r="L68">
        <v>0</v>
      </c>
      <c r="M68">
        <v>0</v>
      </c>
      <c r="N68">
        <v>0</v>
      </c>
      <c r="O68">
        <v>5.5402967531976834</v>
      </c>
      <c r="P68">
        <v>38408.03</v>
      </c>
    </row>
    <row r="69" spans="1:16" x14ac:dyDescent="0.25">
      <c r="A69" s="10">
        <v>37719</v>
      </c>
      <c r="B69">
        <v>8.5100000000020373</v>
      </c>
      <c r="C69">
        <v>17.59065600000001</v>
      </c>
      <c r="D69">
        <v>0</v>
      </c>
      <c r="E69">
        <v>0</v>
      </c>
      <c r="F69">
        <v>0</v>
      </c>
      <c r="G69">
        <v>-7.4442561757119989</v>
      </c>
      <c r="H69">
        <v>-3.7000000000000171</v>
      </c>
      <c r="I69">
        <v>0</v>
      </c>
      <c r="J69">
        <v>0</v>
      </c>
      <c r="K69">
        <v>0.17899999999999999</v>
      </c>
      <c r="L69">
        <v>0</v>
      </c>
      <c r="M69">
        <v>0</v>
      </c>
      <c r="N69">
        <v>0</v>
      </c>
      <c r="O69">
        <v>1.8846001757140429</v>
      </c>
      <c r="P69">
        <v>38416.54</v>
      </c>
    </row>
    <row r="70" spans="1:16" x14ac:dyDescent="0.25">
      <c r="A70" s="10">
        <v>37720</v>
      </c>
      <c r="B70">
        <v>98.069999999999695</v>
      </c>
      <c r="C70">
        <v>9.1348880000000037</v>
      </c>
      <c r="D70">
        <v>79.42116</v>
      </c>
      <c r="E70">
        <v>0</v>
      </c>
      <c r="F70">
        <v>0</v>
      </c>
      <c r="G70">
        <v>-5.751159996132003</v>
      </c>
      <c r="H70">
        <v>-0.2399999999999807</v>
      </c>
      <c r="I70">
        <v>0</v>
      </c>
      <c r="J70">
        <v>-7.9999999998108251E-2</v>
      </c>
      <c r="K70">
        <v>0.17951397999999999</v>
      </c>
      <c r="L70">
        <v>14.215979338676499</v>
      </c>
      <c r="M70">
        <v>0</v>
      </c>
      <c r="N70">
        <v>0</v>
      </c>
      <c r="O70">
        <v>1.18961867745328</v>
      </c>
      <c r="P70">
        <v>38514.61</v>
      </c>
    </row>
    <row r="71" spans="1:16" x14ac:dyDescent="0.25">
      <c r="A71" s="10">
        <v>37721</v>
      </c>
      <c r="B71">
        <v>59.919999999998247</v>
      </c>
      <c r="C71">
        <v>62.868798000000012</v>
      </c>
      <c r="D71">
        <v>0</v>
      </c>
      <c r="E71">
        <v>0</v>
      </c>
      <c r="F71">
        <v>0</v>
      </c>
      <c r="G71">
        <v>-6.6087808650850093</v>
      </c>
      <c r="H71">
        <v>0.68000000000000682</v>
      </c>
      <c r="I71">
        <v>0</v>
      </c>
      <c r="J71">
        <v>0</v>
      </c>
      <c r="K71">
        <v>0.27339806</v>
      </c>
      <c r="L71">
        <v>0</v>
      </c>
      <c r="M71">
        <v>0</v>
      </c>
      <c r="N71">
        <v>0</v>
      </c>
      <c r="O71">
        <v>2.7065848050832559</v>
      </c>
      <c r="P71">
        <v>38574.53</v>
      </c>
    </row>
    <row r="72" spans="1:16" x14ac:dyDescent="0.25">
      <c r="A72" s="10">
        <v>37722</v>
      </c>
      <c r="B72">
        <v>-50.360000000000568</v>
      </c>
      <c r="C72">
        <v>47.188500000000012</v>
      </c>
      <c r="D72">
        <v>0</v>
      </c>
      <c r="E72">
        <v>0</v>
      </c>
      <c r="F72">
        <v>0</v>
      </c>
      <c r="G72">
        <v>-7.0526894366500006</v>
      </c>
      <c r="H72">
        <v>0.5</v>
      </c>
      <c r="I72">
        <v>0</v>
      </c>
      <c r="J72">
        <v>-7.5</v>
      </c>
      <c r="K72">
        <v>0.32324725999999998</v>
      </c>
      <c r="L72">
        <v>-62.834815976663201</v>
      </c>
      <c r="M72">
        <v>0</v>
      </c>
      <c r="N72">
        <v>0</v>
      </c>
      <c r="O72">
        <v>-20.984241846687389</v>
      </c>
      <c r="P72">
        <v>38524.17</v>
      </c>
    </row>
    <row r="73" spans="1:16" x14ac:dyDescent="0.25">
      <c r="A73" s="10">
        <v>37725</v>
      </c>
      <c r="B73">
        <v>13.350000000002179</v>
      </c>
      <c r="C73">
        <v>12.483504</v>
      </c>
      <c r="D73">
        <v>0</v>
      </c>
      <c r="E73">
        <v>0</v>
      </c>
      <c r="F73">
        <v>0</v>
      </c>
      <c r="G73">
        <v>-8.5699999999999985</v>
      </c>
      <c r="H73">
        <v>-0.31000000000000227</v>
      </c>
      <c r="I73">
        <v>0</v>
      </c>
      <c r="J73">
        <v>-5.8800000000010186</v>
      </c>
      <c r="K73">
        <v>0.8</v>
      </c>
      <c r="L73">
        <v>0</v>
      </c>
      <c r="M73">
        <v>0</v>
      </c>
      <c r="N73">
        <v>0</v>
      </c>
      <c r="O73">
        <v>14.8264960000032</v>
      </c>
      <c r="P73">
        <v>38537.519999999997</v>
      </c>
    </row>
    <row r="74" spans="1:16" x14ac:dyDescent="0.25">
      <c r="A74" s="10">
        <v>37726</v>
      </c>
      <c r="B74">
        <v>2.700000000000728</v>
      </c>
      <c r="C74">
        <v>4.5906800000000061</v>
      </c>
      <c r="D74">
        <v>0</v>
      </c>
      <c r="E74">
        <v>0</v>
      </c>
      <c r="F74">
        <v>0</v>
      </c>
      <c r="G74">
        <v>-4.3141163520000001</v>
      </c>
      <c r="H74">
        <v>0.73999999999998067</v>
      </c>
      <c r="I74">
        <v>0</v>
      </c>
      <c r="J74">
        <v>-9.9999999998544808E-2</v>
      </c>
      <c r="K74">
        <v>0.27</v>
      </c>
      <c r="L74">
        <v>0</v>
      </c>
      <c r="M74">
        <v>0</v>
      </c>
      <c r="N74">
        <v>0</v>
      </c>
      <c r="O74">
        <v>1.5134363519992859</v>
      </c>
      <c r="P74">
        <v>38540.22</v>
      </c>
    </row>
    <row r="75" spans="1:16" x14ac:dyDescent="0.25">
      <c r="A75" s="10">
        <v>37727</v>
      </c>
      <c r="B75">
        <v>-13.900000000001461</v>
      </c>
      <c r="C75">
        <v>6.6281600000000012</v>
      </c>
      <c r="D75">
        <v>0</v>
      </c>
      <c r="E75">
        <v>0</v>
      </c>
      <c r="F75">
        <v>0</v>
      </c>
      <c r="G75">
        <v>-5.6632920732200009</v>
      </c>
      <c r="H75">
        <v>2.9200000000000159</v>
      </c>
      <c r="I75">
        <v>0</v>
      </c>
      <c r="J75">
        <v>-9.0000000000145519E-2</v>
      </c>
      <c r="K75">
        <v>0.3</v>
      </c>
      <c r="L75">
        <v>-17.758827862065601</v>
      </c>
      <c r="M75">
        <v>0</v>
      </c>
      <c r="N75">
        <v>0</v>
      </c>
      <c r="O75">
        <v>-0.23604006471572411</v>
      </c>
      <c r="P75">
        <v>38526.32</v>
      </c>
    </row>
    <row r="76" spans="1:16" x14ac:dyDescent="0.25">
      <c r="A76" s="10">
        <v>37732</v>
      </c>
      <c r="B76">
        <v>22.220000000001161</v>
      </c>
      <c r="C76">
        <v>27.08559399999999</v>
      </c>
      <c r="D76">
        <v>0</v>
      </c>
      <c r="E76">
        <v>0</v>
      </c>
      <c r="F76">
        <v>0</v>
      </c>
      <c r="G76">
        <v>-4.7640552343790006</v>
      </c>
      <c r="H76">
        <v>-0.62000000000000455</v>
      </c>
      <c r="I76">
        <v>0</v>
      </c>
      <c r="J76">
        <v>-3.75</v>
      </c>
      <c r="K76">
        <v>1.325</v>
      </c>
      <c r="L76">
        <v>0</v>
      </c>
      <c r="M76">
        <v>0</v>
      </c>
      <c r="N76">
        <v>0</v>
      </c>
      <c r="O76">
        <v>2.9434612343801749</v>
      </c>
      <c r="P76">
        <v>38548.54</v>
      </c>
    </row>
    <row r="77" spans="1:16" x14ac:dyDescent="0.25">
      <c r="A77" s="10">
        <v>37733</v>
      </c>
      <c r="B77">
        <v>180.0699999999961</v>
      </c>
      <c r="C77">
        <v>118.070334</v>
      </c>
      <c r="D77">
        <v>0</v>
      </c>
      <c r="E77">
        <v>0</v>
      </c>
      <c r="F77">
        <v>0</v>
      </c>
      <c r="G77">
        <v>63.991915258099993</v>
      </c>
      <c r="H77">
        <v>-6.0000000000002267E-2</v>
      </c>
      <c r="I77">
        <v>0</v>
      </c>
      <c r="J77">
        <v>-7.0000000003346941E-2</v>
      </c>
      <c r="K77">
        <v>0.31437717999999998</v>
      </c>
      <c r="L77">
        <v>0</v>
      </c>
      <c r="M77">
        <v>0</v>
      </c>
      <c r="N77">
        <v>0</v>
      </c>
      <c r="O77">
        <v>-2.17662643810058</v>
      </c>
      <c r="P77">
        <v>38728.61</v>
      </c>
    </row>
    <row r="78" spans="1:16" x14ac:dyDescent="0.25">
      <c r="A78" s="10">
        <v>37734</v>
      </c>
      <c r="B78">
        <v>-41.869999999998988</v>
      </c>
      <c r="C78">
        <v>136.73552799999999</v>
      </c>
      <c r="D78">
        <v>0</v>
      </c>
      <c r="E78">
        <v>0</v>
      </c>
      <c r="F78">
        <v>0</v>
      </c>
      <c r="G78">
        <v>-4.4615426585039986</v>
      </c>
      <c r="H78">
        <v>0.43999999999999773</v>
      </c>
      <c r="I78">
        <v>0</v>
      </c>
      <c r="J78">
        <v>-50</v>
      </c>
      <c r="K78">
        <v>0.31438888999999998</v>
      </c>
      <c r="L78">
        <v>-124.157603708869</v>
      </c>
      <c r="M78">
        <v>0</v>
      </c>
      <c r="N78">
        <v>0</v>
      </c>
      <c r="O78">
        <v>-0.74077052262601173</v>
      </c>
      <c r="P78">
        <v>38686.740000000013</v>
      </c>
    </row>
    <row r="79" spans="1:16" x14ac:dyDescent="0.25">
      <c r="A79" s="10">
        <v>37735</v>
      </c>
      <c r="B79">
        <v>28.22999999999956</v>
      </c>
      <c r="C79">
        <v>26.78883200000001</v>
      </c>
      <c r="D79">
        <v>0</v>
      </c>
      <c r="E79">
        <v>0</v>
      </c>
      <c r="F79">
        <v>0</v>
      </c>
      <c r="G79">
        <v>-1.995043693128</v>
      </c>
      <c r="H79">
        <v>0.58000000000001251</v>
      </c>
      <c r="I79">
        <v>0</v>
      </c>
      <c r="J79">
        <v>0</v>
      </c>
      <c r="K79">
        <v>0.41972941000000002</v>
      </c>
      <c r="L79">
        <v>0</v>
      </c>
      <c r="M79">
        <v>0</v>
      </c>
      <c r="N79">
        <v>0</v>
      </c>
      <c r="O79">
        <v>2.4364822831275461</v>
      </c>
      <c r="P79">
        <v>38714.97</v>
      </c>
    </row>
    <row r="80" spans="1:16" x14ac:dyDescent="0.25">
      <c r="A80" s="10">
        <v>37736</v>
      </c>
      <c r="B80">
        <v>-154.43000000000029</v>
      </c>
      <c r="C80">
        <v>29.575240000000012</v>
      </c>
      <c r="D80">
        <v>0</v>
      </c>
      <c r="E80">
        <v>0</v>
      </c>
      <c r="F80">
        <v>0</v>
      </c>
      <c r="G80">
        <v>-6.8899999999999864</v>
      </c>
      <c r="H80">
        <v>0</v>
      </c>
      <c r="I80">
        <v>0</v>
      </c>
      <c r="J80">
        <v>14.430000000000289</v>
      </c>
      <c r="K80">
        <v>-107.46040262</v>
      </c>
      <c r="L80">
        <v>-84.414353103522402</v>
      </c>
      <c r="M80">
        <v>0</v>
      </c>
      <c r="N80">
        <v>0</v>
      </c>
      <c r="O80">
        <v>0.32951572352175162</v>
      </c>
      <c r="P80">
        <v>38560.54</v>
      </c>
    </row>
    <row r="81" spans="1:16" x14ac:dyDescent="0.25">
      <c r="A81" s="10">
        <v>37739</v>
      </c>
      <c r="B81">
        <v>65.709999999999141</v>
      </c>
      <c r="C81">
        <v>73.89264</v>
      </c>
      <c r="D81">
        <v>0</v>
      </c>
      <c r="E81">
        <v>0</v>
      </c>
      <c r="F81">
        <v>0</v>
      </c>
      <c r="G81">
        <v>-4.6785419274239999</v>
      </c>
      <c r="H81">
        <v>9.9999999999909051E-3</v>
      </c>
      <c r="I81">
        <v>0</v>
      </c>
      <c r="J81">
        <v>-3.7799999999988358</v>
      </c>
      <c r="K81">
        <v>0.90000000000000013</v>
      </c>
      <c r="L81">
        <v>0</v>
      </c>
      <c r="M81">
        <v>0</v>
      </c>
      <c r="N81">
        <v>0</v>
      </c>
      <c r="O81">
        <v>-0.63409807257803263</v>
      </c>
      <c r="P81">
        <v>38626.25</v>
      </c>
    </row>
    <row r="82" spans="1:16" x14ac:dyDescent="0.25">
      <c r="A82" s="10">
        <v>37740</v>
      </c>
      <c r="B82">
        <v>126.3400000000001</v>
      </c>
      <c r="C82">
        <v>130.65393599999999</v>
      </c>
      <c r="D82">
        <v>0</v>
      </c>
      <c r="E82">
        <v>0</v>
      </c>
      <c r="F82">
        <v>0</v>
      </c>
      <c r="G82">
        <v>-6.65</v>
      </c>
      <c r="H82">
        <v>-1.210000000000008</v>
      </c>
      <c r="I82">
        <v>0</v>
      </c>
      <c r="J82">
        <v>0</v>
      </c>
      <c r="K82">
        <v>0.32</v>
      </c>
      <c r="L82">
        <v>0</v>
      </c>
      <c r="M82">
        <v>0</v>
      </c>
      <c r="N82">
        <v>0</v>
      </c>
      <c r="O82">
        <v>3.2260640000001621</v>
      </c>
      <c r="P82">
        <v>38752.589999999997</v>
      </c>
    </row>
    <row r="83" spans="1:16" x14ac:dyDescent="0.25">
      <c r="A83" s="10">
        <v>37741</v>
      </c>
      <c r="B83">
        <v>396.07999999999811</v>
      </c>
      <c r="C83">
        <v>134.798934</v>
      </c>
      <c r="D83">
        <v>0</v>
      </c>
      <c r="E83">
        <v>-100.000000006367</v>
      </c>
      <c r="F83">
        <v>100.000000006367</v>
      </c>
      <c r="G83">
        <v>-18.841429447488022</v>
      </c>
      <c r="H83">
        <v>-0.76999999999998181</v>
      </c>
      <c r="I83">
        <v>0</v>
      </c>
      <c r="J83">
        <v>-2.999999999883585E-2</v>
      </c>
      <c r="K83">
        <v>0.32</v>
      </c>
      <c r="L83">
        <v>235.849782294275</v>
      </c>
      <c r="M83">
        <v>0</v>
      </c>
      <c r="N83">
        <v>0</v>
      </c>
      <c r="O83">
        <v>44.752713153209939</v>
      </c>
      <c r="P83">
        <v>39148.67</v>
      </c>
    </row>
    <row r="84" spans="1:16" x14ac:dyDescent="0.25">
      <c r="A84" s="10">
        <v>37743</v>
      </c>
      <c r="B84">
        <v>231.10999999999689</v>
      </c>
      <c r="C84">
        <v>267.50092999999998</v>
      </c>
      <c r="D84">
        <v>0</v>
      </c>
      <c r="E84">
        <v>0</v>
      </c>
      <c r="F84">
        <v>0</v>
      </c>
      <c r="G84">
        <v>-9.9489664578199992</v>
      </c>
      <c r="H84">
        <v>-0.69000000000002615</v>
      </c>
      <c r="I84">
        <v>0</v>
      </c>
      <c r="J84">
        <v>-0.1000000000021828</v>
      </c>
      <c r="K84">
        <v>0.85105399999999998</v>
      </c>
      <c r="L84">
        <v>-17.758827862065601</v>
      </c>
      <c r="M84">
        <v>0</v>
      </c>
      <c r="N84">
        <v>0</v>
      </c>
      <c r="O84">
        <v>-8.7441896801152534</v>
      </c>
      <c r="P84">
        <v>39379.26740257143</v>
      </c>
    </row>
    <row r="85" spans="1:16" x14ac:dyDescent="0.25">
      <c r="A85" s="10">
        <v>37746</v>
      </c>
      <c r="B85">
        <v>197.38000000000099</v>
      </c>
      <c r="C85">
        <v>220.138519</v>
      </c>
      <c r="D85">
        <v>0</v>
      </c>
      <c r="E85">
        <v>0</v>
      </c>
      <c r="F85">
        <v>0</v>
      </c>
      <c r="G85">
        <v>3.5172969617000001</v>
      </c>
      <c r="H85">
        <v>0.1100000000000136</v>
      </c>
      <c r="I85">
        <v>0</v>
      </c>
      <c r="J85">
        <v>-11.799999999999271</v>
      </c>
      <c r="K85">
        <v>-1.618999999999982</v>
      </c>
      <c r="L85">
        <v>0</v>
      </c>
      <c r="M85">
        <v>0</v>
      </c>
      <c r="N85">
        <v>0</v>
      </c>
      <c r="O85">
        <v>-12.96681596169973</v>
      </c>
      <c r="P85">
        <v>39576.134805142858</v>
      </c>
    </row>
    <row r="86" spans="1:16" x14ac:dyDescent="0.25">
      <c r="A86" s="10">
        <v>37747</v>
      </c>
      <c r="B86">
        <v>148.6599999999998</v>
      </c>
      <c r="C86">
        <v>208.63755</v>
      </c>
      <c r="D86">
        <v>-699.99999999593706</v>
      </c>
      <c r="E86">
        <v>699.99999999593706</v>
      </c>
      <c r="F86">
        <v>0</v>
      </c>
      <c r="G86">
        <v>-0.66928790427505191</v>
      </c>
      <c r="H86">
        <v>-1.4499999999999891</v>
      </c>
      <c r="I86">
        <v>0</v>
      </c>
      <c r="J86">
        <v>-60</v>
      </c>
      <c r="K86">
        <v>0.3</v>
      </c>
      <c r="L86">
        <v>0</v>
      </c>
      <c r="M86">
        <v>0</v>
      </c>
      <c r="N86">
        <v>0</v>
      </c>
      <c r="O86">
        <v>1.841737904274783</v>
      </c>
      <c r="P86">
        <v>39724.282207714277</v>
      </c>
    </row>
    <row r="87" spans="1:16" x14ac:dyDescent="0.25">
      <c r="A87" s="10">
        <v>37748</v>
      </c>
      <c r="B87">
        <v>-74.900000000001455</v>
      </c>
      <c r="C87">
        <v>15.38075000000001</v>
      </c>
      <c r="D87">
        <v>0</v>
      </c>
      <c r="E87">
        <v>0</v>
      </c>
      <c r="F87">
        <v>0</v>
      </c>
      <c r="G87">
        <v>-6.5838387313149997</v>
      </c>
      <c r="H87">
        <v>1</v>
      </c>
      <c r="I87">
        <v>0</v>
      </c>
      <c r="J87">
        <v>0</v>
      </c>
      <c r="K87">
        <v>0.3</v>
      </c>
      <c r="L87">
        <v>-85.437923182956695</v>
      </c>
      <c r="M87">
        <v>0</v>
      </c>
      <c r="N87">
        <v>0</v>
      </c>
      <c r="O87">
        <v>0.44101191427023761</v>
      </c>
      <c r="P87">
        <v>39648.869610285707</v>
      </c>
    </row>
    <row r="88" spans="1:16" x14ac:dyDescent="0.25">
      <c r="A88" s="10">
        <v>37749</v>
      </c>
      <c r="B88">
        <v>389.63000000000108</v>
      </c>
      <c r="C88">
        <v>399.69958500000001</v>
      </c>
      <c r="D88">
        <v>0</v>
      </c>
      <c r="E88">
        <v>0</v>
      </c>
      <c r="F88">
        <v>0</v>
      </c>
      <c r="G88">
        <v>-8.85</v>
      </c>
      <c r="H88">
        <v>2.5</v>
      </c>
      <c r="I88">
        <v>0</v>
      </c>
      <c r="J88">
        <v>0</v>
      </c>
      <c r="K88">
        <v>0.32025913</v>
      </c>
      <c r="L88">
        <v>0</v>
      </c>
      <c r="M88">
        <v>0</v>
      </c>
      <c r="N88">
        <v>0</v>
      </c>
      <c r="O88">
        <v>-4.0398441299989098</v>
      </c>
      <c r="P88">
        <v>40037.987012857149</v>
      </c>
    </row>
    <row r="89" spans="1:16" x14ac:dyDescent="0.25">
      <c r="A89" s="10">
        <v>37750</v>
      </c>
      <c r="B89">
        <v>494.15999999999991</v>
      </c>
      <c r="C89">
        <v>423.85441300000002</v>
      </c>
      <c r="D89">
        <v>0</v>
      </c>
      <c r="E89">
        <v>0</v>
      </c>
      <c r="F89">
        <v>0</v>
      </c>
      <c r="G89">
        <v>-4.9043942196890002</v>
      </c>
      <c r="H89">
        <v>-2.0100000000000189</v>
      </c>
      <c r="I89">
        <v>0</v>
      </c>
      <c r="J89">
        <v>0</v>
      </c>
      <c r="K89">
        <v>0.52</v>
      </c>
      <c r="L89">
        <v>98.477619808839407</v>
      </c>
      <c r="M89">
        <v>0</v>
      </c>
      <c r="N89">
        <v>0</v>
      </c>
      <c r="O89">
        <v>-21.777638589150531</v>
      </c>
      <c r="P89">
        <v>40531.634415428583</v>
      </c>
    </row>
    <row r="90" spans="1:16" x14ac:dyDescent="0.25">
      <c r="A90" s="10">
        <v>37753</v>
      </c>
      <c r="B90">
        <v>160.37000000000259</v>
      </c>
      <c r="C90">
        <v>171.60163399999999</v>
      </c>
      <c r="D90">
        <v>0</v>
      </c>
      <c r="E90">
        <v>0</v>
      </c>
      <c r="F90">
        <v>0</v>
      </c>
      <c r="G90">
        <v>-8.718036884</v>
      </c>
      <c r="H90">
        <v>-0.98999999999998067</v>
      </c>
      <c r="I90">
        <v>0</v>
      </c>
      <c r="J90">
        <v>-0.52999999999883585</v>
      </c>
      <c r="K90">
        <v>0.79899999999999993</v>
      </c>
      <c r="L90">
        <v>0</v>
      </c>
      <c r="M90">
        <v>0</v>
      </c>
      <c r="N90">
        <v>0</v>
      </c>
      <c r="O90">
        <v>-1.792597115998539</v>
      </c>
      <c r="P90">
        <v>40691.491818000002</v>
      </c>
    </row>
    <row r="91" spans="1:16" x14ac:dyDescent="0.25">
      <c r="A91" s="10">
        <v>37754</v>
      </c>
      <c r="B91">
        <v>244.9199999999982</v>
      </c>
      <c r="C91">
        <v>251.90693999999999</v>
      </c>
      <c r="D91">
        <v>0</v>
      </c>
      <c r="E91">
        <v>0</v>
      </c>
      <c r="F91">
        <v>0</v>
      </c>
      <c r="G91">
        <v>-4.4732595517800036</v>
      </c>
      <c r="H91">
        <v>-1.980000000000018</v>
      </c>
      <c r="I91">
        <v>0</v>
      </c>
      <c r="J91">
        <v>0</v>
      </c>
      <c r="K91">
        <v>0.26976941999999998</v>
      </c>
      <c r="L91">
        <v>0</v>
      </c>
      <c r="M91">
        <v>0</v>
      </c>
      <c r="N91">
        <v>0</v>
      </c>
      <c r="O91">
        <v>-0.80344986822174747</v>
      </c>
      <c r="P91">
        <v>40935.899220571431</v>
      </c>
    </row>
    <row r="92" spans="1:16" x14ac:dyDescent="0.25">
      <c r="A92" s="10">
        <v>37755</v>
      </c>
      <c r="B92">
        <v>-105.5199999999968</v>
      </c>
      <c r="C92">
        <v>35.07086000000001</v>
      </c>
      <c r="D92">
        <v>-1199.9999999983149</v>
      </c>
      <c r="E92">
        <v>1199.9999999983149</v>
      </c>
      <c r="F92">
        <v>0</v>
      </c>
      <c r="G92">
        <v>-8.3099999999999454</v>
      </c>
      <c r="H92">
        <v>-0.62999999999999545</v>
      </c>
      <c r="I92">
        <v>0</v>
      </c>
      <c r="J92">
        <v>0</v>
      </c>
      <c r="K92">
        <v>-0.13979510000000001</v>
      </c>
      <c r="L92">
        <v>-131.34191765222801</v>
      </c>
      <c r="M92">
        <v>0</v>
      </c>
      <c r="N92">
        <v>0</v>
      </c>
      <c r="O92">
        <v>-0.1691472477688967</v>
      </c>
      <c r="P92">
        <v>40829.866623142858</v>
      </c>
    </row>
    <row r="93" spans="1:16" x14ac:dyDescent="0.25">
      <c r="A93" s="10">
        <v>37756</v>
      </c>
      <c r="B93">
        <v>61.19999999999709</v>
      </c>
      <c r="C93">
        <v>43.537493999999981</v>
      </c>
      <c r="D93">
        <v>0</v>
      </c>
      <c r="E93">
        <v>0</v>
      </c>
      <c r="F93">
        <v>0</v>
      </c>
      <c r="G93">
        <v>0.54</v>
      </c>
      <c r="H93">
        <v>9.0000000000003411E-2</v>
      </c>
      <c r="I93">
        <v>0</v>
      </c>
      <c r="J93">
        <v>0</v>
      </c>
      <c r="K93">
        <v>7.8872730000000002E-2</v>
      </c>
      <c r="L93">
        <v>0</v>
      </c>
      <c r="M93">
        <v>0</v>
      </c>
      <c r="N93">
        <v>0</v>
      </c>
      <c r="O93">
        <v>16.953633269997098</v>
      </c>
      <c r="P93">
        <v>40890.554025714293</v>
      </c>
    </row>
    <row r="94" spans="1:16" x14ac:dyDescent="0.25">
      <c r="A94" s="10">
        <v>37757</v>
      </c>
      <c r="B94">
        <v>151.36000000000061</v>
      </c>
      <c r="C94">
        <v>1.3629599999999871</v>
      </c>
      <c r="D94">
        <v>0</v>
      </c>
      <c r="E94">
        <v>0</v>
      </c>
      <c r="F94">
        <v>0</v>
      </c>
      <c r="G94">
        <v>-8.194703808349999</v>
      </c>
      <c r="H94">
        <v>-137.47999999999999</v>
      </c>
      <c r="I94">
        <v>0</v>
      </c>
      <c r="J94">
        <v>2.3899999999994179</v>
      </c>
      <c r="K94">
        <v>0.42110666000000002</v>
      </c>
      <c r="L94">
        <v>-60.439364501780503</v>
      </c>
      <c r="M94">
        <v>0</v>
      </c>
      <c r="N94">
        <v>0</v>
      </c>
      <c r="O94">
        <v>353.30000165013172</v>
      </c>
      <c r="P94">
        <v>41041.401428285717</v>
      </c>
    </row>
    <row r="95" spans="1:16" x14ac:dyDescent="0.25">
      <c r="A95" s="10">
        <v>37760</v>
      </c>
      <c r="B95">
        <v>58.260000000002037</v>
      </c>
      <c r="C95">
        <v>-0.58166000000001361</v>
      </c>
      <c r="D95">
        <v>0</v>
      </c>
      <c r="E95">
        <v>0</v>
      </c>
      <c r="F95">
        <v>0</v>
      </c>
      <c r="G95">
        <v>45.815467235000007</v>
      </c>
      <c r="H95">
        <v>-0.1099999999999994</v>
      </c>
      <c r="I95">
        <v>0</v>
      </c>
      <c r="J95">
        <v>-0.24000000000160071</v>
      </c>
      <c r="K95">
        <v>1.0687069000000819</v>
      </c>
      <c r="L95">
        <v>0</v>
      </c>
      <c r="M95">
        <v>0</v>
      </c>
      <c r="N95">
        <v>0</v>
      </c>
      <c r="O95">
        <v>12.30748586500356</v>
      </c>
      <c r="P95">
        <v>41099.14883085715</v>
      </c>
    </row>
    <row r="96" spans="1:16" x14ac:dyDescent="0.25">
      <c r="A96" s="10">
        <v>37761</v>
      </c>
      <c r="B96">
        <v>240.4799999999959</v>
      </c>
      <c r="C96">
        <v>247.91800000000001</v>
      </c>
      <c r="D96">
        <v>0</v>
      </c>
      <c r="E96">
        <v>0</v>
      </c>
      <c r="F96">
        <v>0</v>
      </c>
      <c r="G96">
        <v>-5.512806595499999</v>
      </c>
      <c r="H96">
        <v>-2.9899999999999949</v>
      </c>
      <c r="I96">
        <v>0</v>
      </c>
      <c r="J96">
        <v>0</v>
      </c>
      <c r="K96">
        <v>2.6</v>
      </c>
      <c r="L96">
        <v>0</v>
      </c>
      <c r="M96">
        <v>0</v>
      </c>
      <c r="N96">
        <v>0</v>
      </c>
      <c r="O96">
        <v>-1.5351934045040421</v>
      </c>
      <c r="P96">
        <v>41339.116233428576</v>
      </c>
    </row>
    <row r="97" spans="1:16" x14ac:dyDescent="0.25">
      <c r="A97" s="10">
        <v>37762</v>
      </c>
      <c r="B97">
        <v>158.9800000000032</v>
      </c>
      <c r="C97">
        <v>23.065600000000021</v>
      </c>
      <c r="D97">
        <v>0</v>
      </c>
      <c r="E97">
        <v>0</v>
      </c>
      <c r="F97">
        <v>0</v>
      </c>
      <c r="G97">
        <v>5.732205194624</v>
      </c>
      <c r="H97">
        <v>-1.4100000000000039</v>
      </c>
      <c r="I97">
        <v>0</v>
      </c>
      <c r="J97">
        <v>-30</v>
      </c>
      <c r="K97">
        <v>0.35358684000000001</v>
      </c>
      <c r="L97">
        <v>-70.217234921955907</v>
      </c>
      <c r="M97">
        <v>230.55</v>
      </c>
      <c r="N97">
        <v>0</v>
      </c>
      <c r="O97">
        <v>0.90584288733506924</v>
      </c>
      <c r="P97">
        <v>41267.037549809997</v>
      </c>
    </row>
    <row r="98" spans="1:16" x14ac:dyDescent="0.25">
      <c r="A98" s="10">
        <v>37763</v>
      </c>
      <c r="B98">
        <v>89.739999999997963</v>
      </c>
      <c r="C98">
        <v>-2.8815299999999979</v>
      </c>
      <c r="D98">
        <v>0</v>
      </c>
      <c r="E98">
        <v>0</v>
      </c>
      <c r="F98">
        <v>0</v>
      </c>
      <c r="G98">
        <v>-3.9232514639400051</v>
      </c>
      <c r="H98">
        <v>2.0500000000000038</v>
      </c>
      <c r="I98">
        <v>0</v>
      </c>
      <c r="J98">
        <v>0</v>
      </c>
      <c r="K98">
        <v>0.40389771000000002</v>
      </c>
      <c r="L98">
        <v>0</v>
      </c>
      <c r="M98">
        <v>92.46999999999997</v>
      </c>
      <c r="N98">
        <v>0</v>
      </c>
      <c r="O98">
        <v>1.6208837539379941</v>
      </c>
      <c r="P98">
        <v>41263.74909958143</v>
      </c>
    </row>
    <row r="99" spans="1:16" x14ac:dyDescent="0.25">
      <c r="A99" s="10">
        <v>37764</v>
      </c>
      <c r="B99">
        <v>-180.5199999999968</v>
      </c>
      <c r="C99">
        <v>5.5928300000000206</v>
      </c>
      <c r="D99">
        <v>0</v>
      </c>
      <c r="E99">
        <v>0</v>
      </c>
      <c r="F99">
        <v>0</v>
      </c>
      <c r="G99">
        <v>-8.6276627010399949</v>
      </c>
      <c r="H99">
        <v>0.62999999999999545</v>
      </c>
      <c r="I99">
        <v>0</v>
      </c>
      <c r="J99">
        <v>-0.56999999999970896</v>
      </c>
      <c r="K99">
        <v>-16.009999999999991</v>
      </c>
      <c r="L99">
        <v>-165.24410314476199</v>
      </c>
      <c r="M99">
        <v>4.1400000000000432</v>
      </c>
      <c r="N99">
        <v>0</v>
      </c>
      <c r="O99">
        <v>-0.43106415419516109</v>
      </c>
      <c r="P99">
        <v>41078.572895082863</v>
      </c>
    </row>
    <row r="100" spans="1:16" x14ac:dyDescent="0.25">
      <c r="A100" s="10">
        <v>37767</v>
      </c>
      <c r="B100">
        <v>9.7199999999938864</v>
      </c>
      <c r="C100">
        <v>-4.1923849999999998</v>
      </c>
      <c r="D100">
        <v>0</v>
      </c>
      <c r="E100">
        <v>0</v>
      </c>
      <c r="F100">
        <v>0</v>
      </c>
      <c r="G100">
        <v>0.50827985261599995</v>
      </c>
      <c r="H100">
        <v>0.82999999999999829</v>
      </c>
      <c r="I100">
        <v>0</v>
      </c>
      <c r="J100">
        <v>-1.8899999999994179</v>
      </c>
      <c r="K100">
        <v>1.4</v>
      </c>
      <c r="L100">
        <v>0</v>
      </c>
      <c r="M100">
        <v>13.599999999999969</v>
      </c>
      <c r="N100">
        <v>0</v>
      </c>
      <c r="O100">
        <v>-0.53589485262265879</v>
      </c>
      <c r="P100">
        <v>41074.178954864277</v>
      </c>
    </row>
    <row r="101" spans="1:16" x14ac:dyDescent="0.25">
      <c r="A101" s="10">
        <v>37768</v>
      </c>
      <c r="B101">
        <v>144.74000000000521</v>
      </c>
      <c r="C101">
        <v>16.949099999999991</v>
      </c>
      <c r="D101">
        <v>-199.999999996925</v>
      </c>
      <c r="E101">
        <v>199.999999996925</v>
      </c>
      <c r="F101">
        <v>0</v>
      </c>
      <c r="G101">
        <v>-64.726635566524948</v>
      </c>
      <c r="H101">
        <v>-1.9999999999996021E-2</v>
      </c>
      <c r="I101">
        <v>0</v>
      </c>
      <c r="J101">
        <v>0</v>
      </c>
      <c r="K101">
        <v>-0.82000000000002726</v>
      </c>
      <c r="L101">
        <v>0</v>
      </c>
      <c r="M101">
        <v>184.53</v>
      </c>
      <c r="N101">
        <v>0</v>
      </c>
      <c r="O101">
        <v>8.8275355665302637</v>
      </c>
      <c r="P101">
        <v>41033.875672595721</v>
      </c>
    </row>
    <row r="102" spans="1:16" x14ac:dyDescent="0.25">
      <c r="A102" s="10">
        <v>37769</v>
      </c>
      <c r="B102">
        <v>-88.470000000001164</v>
      </c>
      <c r="C102">
        <v>-5.6218679999999992</v>
      </c>
      <c r="D102">
        <v>0</v>
      </c>
      <c r="E102">
        <v>0</v>
      </c>
      <c r="F102">
        <v>0</v>
      </c>
      <c r="G102">
        <v>-5.0820366455909998</v>
      </c>
      <c r="H102">
        <v>-1.5399999999999989</v>
      </c>
      <c r="I102">
        <v>0</v>
      </c>
      <c r="J102">
        <v>0</v>
      </c>
      <c r="K102">
        <v>0</v>
      </c>
      <c r="L102">
        <v>-129.31749373965201</v>
      </c>
      <c r="M102">
        <v>50.580000000000041</v>
      </c>
      <c r="N102">
        <v>0</v>
      </c>
      <c r="O102">
        <v>2.511398385241796</v>
      </c>
      <c r="P102">
        <v>40894.310419177149</v>
      </c>
    </row>
    <row r="103" spans="1:16" x14ac:dyDescent="0.25">
      <c r="A103" s="10">
        <v>37770</v>
      </c>
      <c r="B103">
        <v>370.58999999999651</v>
      </c>
      <c r="C103">
        <v>12.507555</v>
      </c>
      <c r="D103">
        <v>0</v>
      </c>
      <c r="E103">
        <v>0</v>
      </c>
      <c r="F103">
        <v>0</v>
      </c>
      <c r="G103">
        <v>-6.6550562647879996</v>
      </c>
      <c r="H103">
        <v>-0.60000000000000142</v>
      </c>
      <c r="I103">
        <v>0</v>
      </c>
      <c r="J103">
        <v>0</v>
      </c>
      <c r="K103">
        <v>0.5</v>
      </c>
      <c r="L103">
        <v>0</v>
      </c>
      <c r="M103">
        <v>353.1</v>
      </c>
      <c r="N103">
        <v>0</v>
      </c>
      <c r="O103">
        <v>11.737501264784511</v>
      </c>
      <c r="P103">
        <v>40897.501195048571</v>
      </c>
    </row>
    <row r="104" spans="1:16" x14ac:dyDescent="0.25">
      <c r="A104" s="10">
        <v>37771</v>
      </c>
      <c r="B104">
        <v>-27.3699999999954</v>
      </c>
      <c r="C104">
        <v>12.769475</v>
      </c>
      <c r="D104">
        <v>0</v>
      </c>
      <c r="E104">
        <v>0</v>
      </c>
      <c r="F104">
        <v>0</v>
      </c>
      <c r="G104">
        <v>-23.41908545940009</v>
      </c>
      <c r="H104">
        <v>0.57000000000000028</v>
      </c>
      <c r="I104">
        <v>0</v>
      </c>
      <c r="J104">
        <v>-38.5</v>
      </c>
      <c r="K104">
        <v>0.5</v>
      </c>
      <c r="L104">
        <v>-1.8429700706005001E-2</v>
      </c>
      <c r="M104">
        <v>29.779999999999969</v>
      </c>
      <c r="N104">
        <v>0</v>
      </c>
      <c r="O104">
        <v>-9.0519598398892729</v>
      </c>
      <c r="P104">
        <v>40839.834771880007</v>
      </c>
    </row>
    <row r="105" spans="1:16" x14ac:dyDescent="0.25">
      <c r="A105" s="10">
        <v>37774</v>
      </c>
      <c r="B105">
        <v>145.13999999999939</v>
      </c>
      <c r="C105">
        <v>46.498367999999999</v>
      </c>
      <c r="D105">
        <v>0</v>
      </c>
      <c r="E105">
        <v>0</v>
      </c>
      <c r="F105">
        <v>0</v>
      </c>
      <c r="G105">
        <v>5.1338212525919857</v>
      </c>
      <c r="H105">
        <v>5.240000000000002</v>
      </c>
      <c r="I105">
        <v>0</v>
      </c>
      <c r="J105">
        <v>-0.25</v>
      </c>
      <c r="K105">
        <v>-0.1</v>
      </c>
      <c r="L105">
        <v>0</v>
      </c>
      <c r="M105">
        <v>52.659999999999968</v>
      </c>
      <c r="N105">
        <v>0</v>
      </c>
      <c r="O105">
        <v>35.957810747407429</v>
      </c>
      <c r="P105">
        <v>40930.066830650008</v>
      </c>
    </row>
    <row r="106" spans="1:16" x14ac:dyDescent="0.25">
      <c r="A106" s="10">
        <v>37775</v>
      </c>
      <c r="B106">
        <v>207.97999999999959</v>
      </c>
      <c r="C106">
        <v>143.19404</v>
      </c>
      <c r="D106">
        <v>0</v>
      </c>
      <c r="E106">
        <v>0</v>
      </c>
      <c r="F106">
        <v>0</v>
      </c>
      <c r="G106">
        <v>-6.2271836987160007</v>
      </c>
      <c r="H106">
        <v>-1.0000000000005119E-2</v>
      </c>
      <c r="I106">
        <v>0</v>
      </c>
      <c r="J106">
        <v>-0.30999999999767169</v>
      </c>
      <c r="K106">
        <v>-67.240000000000009</v>
      </c>
      <c r="L106">
        <v>0</v>
      </c>
      <c r="M106">
        <v>134.42999999999989</v>
      </c>
      <c r="N106">
        <v>0</v>
      </c>
      <c r="O106">
        <v>4.143143698713283</v>
      </c>
      <c r="P106">
        <v>40985.358964339997</v>
      </c>
    </row>
    <row r="107" spans="1:16" x14ac:dyDescent="0.25">
      <c r="A107" s="10">
        <v>37776</v>
      </c>
      <c r="B107">
        <v>96.639999999999418</v>
      </c>
      <c r="C107">
        <v>85.253520000000009</v>
      </c>
      <c r="D107">
        <v>0</v>
      </c>
      <c r="E107">
        <v>0</v>
      </c>
      <c r="F107">
        <v>0</v>
      </c>
      <c r="G107">
        <v>3.6089545215599999</v>
      </c>
      <c r="H107">
        <v>1.0000000000005119E-2</v>
      </c>
      <c r="I107">
        <v>0</v>
      </c>
      <c r="J107">
        <v>0</v>
      </c>
      <c r="K107">
        <v>0.5</v>
      </c>
      <c r="L107">
        <v>-62.627358708120703</v>
      </c>
      <c r="M107">
        <v>70.370000000000118</v>
      </c>
      <c r="N107">
        <v>0</v>
      </c>
      <c r="O107">
        <v>-0.47511581344000148</v>
      </c>
      <c r="P107">
        <v>41008.065152990013</v>
      </c>
    </row>
    <row r="108" spans="1:16" x14ac:dyDescent="0.25">
      <c r="A108" s="10">
        <v>37777</v>
      </c>
      <c r="B108">
        <v>108.6700000000055</v>
      </c>
      <c r="C108">
        <v>86.686340000000001</v>
      </c>
      <c r="D108">
        <v>0</v>
      </c>
      <c r="E108">
        <v>0</v>
      </c>
      <c r="F108">
        <v>0</v>
      </c>
      <c r="G108">
        <v>-7.0898875917999931</v>
      </c>
      <c r="H108">
        <v>-4.0000000000006253E-2</v>
      </c>
      <c r="I108">
        <v>0</v>
      </c>
      <c r="J108">
        <v>0</v>
      </c>
      <c r="K108">
        <v>0.4</v>
      </c>
      <c r="L108">
        <v>0</v>
      </c>
      <c r="M108">
        <v>11.529999999999969</v>
      </c>
      <c r="N108">
        <v>0</v>
      </c>
      <c r="O108">
        <v>17.183547591805539</v>
      </c>
      <c r="P108">
        <v>41103.507416239998</v>
      </c>
    </row>
    <row r="109" spans="1:16" x14ac:dyDescent="0.25">
      <c r="A109" s="10">
        <v>37778</v>
      </c>
      <c r="B109">
        <v>141.33999999999651</v>
      </c>
      <c r="C109">
        <v>120.6901</v>
      </c>
      <c r="D109">
        <v>0</v>
      </c>
      <c r="E109">
        <v>0</v>
      </c>
      <c r="F109">
        <v>0</v>
      </c>
      <c r="G109">
        <v>-8.4056928183749982</v>
      </c>
      <c r="H109">
        <v>-9.9999999999980105E-3</v>
      </c>
      <c r="I109">
        <v>0</v>
      </c>
      <c r="J109">
        <v>0</v>
      </c>
      <c r="K109">
        <v>0.4</v>
      </c>
      <c r="L109">
        <v>-6.4</v>
      </c>
      <c r="M109">
        <v>36.5</v>
      </c>
      <c r="N109">
        <v>0</v>
      </c>
      <c r="O109">
        <v>-1.434407181628512</v>
      </c>
      <c r="P109">
        <v>41201.158662750007</v>
      </c>
    </row>
    <row r="110" spans="1:16" x14ac:dyDescent="0.25">
      <c r="A110" s="10">
        <v>37781</v>
      </c>
      <c r="B110">
        <v>264.61000000000058</v>
      </c>
      <c r="C110">
        <v>209.11117200000001</v>
      </c>
      <c r="D110">
        <v>0</v>
      </c>
      <c r="E110">
        <v>0</v>
      </c>
      <c r="F110">
        <v>0</v>
      </c>
      <c r="G110">
        <v>-0.1374753198769999</v>
      </c>
      <c r="H110">
        <v>0</v>
      </c>
      <c r="I110">
        <v>0</v>
      </c>
      <c r="J110">
        <v>0</v>
      </c>
      <c r="K110">
        <v>1.1000000000000001</v>
      </c>
      <c r="L110">
        <v>0</v>
      </c>
      <c r="M110">
        <v>58.496211200000062</v>
      </c>
      <c r="N110">
        <v>0</v>
      </c>
      <c r="O110">
        <v>-3.9599078801224779</v>
      </c>
      <c r="P110">
        <v>41401.913563399998</v>
      </c>
    </row>
    <row r="111" spans="1:16" x14ac:dyDescent="0.25">
      <c r="A111" s="10">
        <v>37782</v>
      </c>
      <c r="B111">
        <v>256.37000000000262</v>
      </c>
      <c r="C111">
        <v>239.80985000000001</v>
      </c>
      <c r="D111">
        <v>0</v>
      </c>
      <c r="E111">
        <v>0</v>
      </c>
      <c r="F111">
        <v>0</v>
      </c>
      <c r="G111">
        <v>-18.477378272630599</v>
      </c>
      <c r="H111">
        <v>-4.0300000000000011</v>
      </c>
      <c r="I111">
        <v>0</v>
      </c>
      <c r="J111">
        <v>0</v>
      </c>
      <c r="K111">
        <v>0.4</v>
      </c>
      <c r="L111">
        <v>0</v>
      </c>
      <c r="M111">
        <v>25.688829180000081</v>
      </c>
      <c r="N111">
        <v>0</v>
      </c>
      <c r="O111">
        <v>12.9786990926331</v>
      </c>
      <c r="P111">
        <v>41631.582096200007</v>
      </c>
    </row>
    <row r="112" spans="1:16" x14ac:dyDescent="0.25">
      <c r="A112" s="10">
        <v>37783</v>
      </c>
      <c r="B112">
        <v>-104.6399999999994</v>
      </c>
      <c r="C112">
        <v>79.017209999999949</v>
      </c>
      <c r="D112">
        <v>0</v>
      </c>
      <c r="E112">
        <v>0</v>
      </c>
      <c r="F112">
        <v>0</v>
      </c>
      <c r="G112">
        <v>-189.37</v>
      </c>
      <c r="H112">
        <v>-3.4699999999999989</v>
      </c>
      <c r="I112">
        <v>0</v>
      </c>
      <c r="J112">
        <v>0</v>
      </c>
      <c r="K112">
        <v>0.7</v>
      </c>
      <c r="L112">
        <v>-26.4</v>
      </c>
      <c r="M112">
        <v>35.684959619999738</v>
      </c>
      <c r="N112">
        <v>0</v>
      </c>
      <c r="O112">
        <v>-0.8021696199991255</v>
      </c>
      <c r="P112">
        <v>41485.76167166001</v>
      </c>
    </row>
    <row r="113" spans="1:16" x14ac:dyDescent="0.25">
      <c r="A113" s="10">
        <v>37784</v>
      </c>
      <c r="B113">
        <v>450.0399999999936</v>
      </c>
      <c r="C113">
        <v>64.404592000000008</v>
      </c>
      <c r="D113">
        <v>0</v>
      </c>
      <c r="E113">
        <v>0</v>
      </c>
      <c r="F113">
        <v>0</v>
      </c>
      <c r="G113">
        <v>159.32</v>
      </c>
      <c r="H113">
        <v>1.1700000000000019</v>
      </c>
      <c r="I113">
        <v>0</v>
      </c>
      <c r="J113">
        <v>0</v>
      </c>
      <c r="K113">
        <v>0.5</v>
      </c>
      <c r="L113">
        <v>0</v>
      </c>
      <c r="M113">
        <v>89.880000000000109</v>
      </c>
      <c r="N113">
        <v>0</v>
      </c>
      <c r="O113">
        <v>134.7654079999935</v>
      </c>
      <c r="P113">
        <v>41840.059744140002</v>
      </c>
    </row>
    <row r="114" spans="1:16" x14ac:dyDescent="0.25">
      <c r="A114" s="10">
        <v>37785</v>
      </c>
      <c r="B114">
        <v>527.89000000000294</v>
      </c>
      <c r="C114">
        <v>289.22277000000003</v>
      </c>
      <c r="D114">
        <v>-299.99999999687702</v>
      </c>
      <c r="E114">
        <v>299.99999999687702</v>
      </c>
      <c r="F114">
        <v>0</v>
      </c>
      <c r="G114">
        <v>23.127017512615051</v>
      </c>
      <c r="H114">
        <v>-0.71999999999999886</v>
      </c>
      <c r="I114">
        <v>0</v>
      </c>
      <c r="J114">
        <v>-1.260000000002037</v>
      </c>
      <c r="K114">
        <v>-0.5</v>
      </c>
      <c r="L114">
        <v>173.4</v>
      </c>
      <c r="M114">
        <v>47.839999999999918</v>
      </c>
      <c r="N114">
        <v>0</v>
      </c>
      <c r="O114">
        <v>-3.219787512609992</v>
      </c>
      <c r="P114">
        <v>42311.838788510002</v>
      </c>
    </row>
    <row r="115" spans="1:16" x14ac:dyDescent="0.25">
      <c r="A115" s="10">
        <v>37789</v>
      </c>
      <c r="B115">
        <v>304.75999999999482</v>
      </c>
      <c r="C115">
        <v>252.51951</v>
      </c>
      <c r="D115">
        <v>0</v>
      </c>
      <c r="E115">
        <v>0</v>
      </c>
      <c r="F115">
        <v>0</v>
      </c>
      <c r="G115">
        <v>-11.467309390440001</v>
      </c>
      <c r="H115">
        <v>3.000000000000114E-2</v>
      </c>
      <c r="I115">
        <v>0</v>
      </c>
      <c r="J115">
        <v>0</v>
      </c>
      <c r="K115">
        <v>1.7</v>
      </c>
      <c r="L115">
        <v>0</v>
      </c>
      <c r="M115">
        <v>69.480000000000018</v>
      </c>
      <c r="N115">
        <v>0</v>
      </c>
      <c r="O115">
        <v>-7.5022006095652953</v>
      </c>
      <c r="P115">
        <v>42543.088772110001</v>
      </c>
    </row>
    <row r="116" spans="1:16" x14ac:dyDescent="0.25">
      <c r="A116" s="10">
        <v>37790</v>
      </c>
      <c r="B116">
        <v>218.09999999999849</v>
      </c>
      <c r="C116">
        <v>197.42272</v>
      </c>
      <c r="D116">
        <v>0</v>
      </c>
      <c r="E116">
        <v>0</v>
      </c>
      <c r="F116">
        <v>0</v>
      </c>
      <c r="G116">
        <v>-42.964633078535009</v>
      </c>
      <c r="H116">
        <v>0</v>
      </c>
      <c r="I116">
        <v>0</v>
      </c>
      <c r="J116">
        <v>0</v>
      </c>
      <c r="K116">
        <v>0.5</v>
      </c>
      <c r="L116">
        <v>-2.7</v>
      </c>
      <c r="M116">
        <v>66.940000000000055</v>
      </c>
      <c r="N116">
        <v>0</v>
      </c>
      <c r="O116">
        <v>-1.0980869214665181</v>
      </c>
      <c r="P116">
        <v>42685.880455420003</v>
      </c>
    </row>
    <row r="117" spans="1:16" x14ac:dyDescent="0.25">
      <c r="A117" s="10">
        <v>37791</v>
      </c>
      <c r="B117">
        <v>38.470000000001157</v>
      </c>
      <c r="C117">
        <v>98.244250000000008</v>
      </c>
      <c r="D117">
        <v>0</v>
      </c>
      <c r="E117">
        <v>0</v>
      </c>
      <c r="F117">
        <v>0</v>
      </c>
      <c r="G117">
        <v>-110.57135530925</v>
      </c>
      <c r="H117">
        <v>-1.0000000000005119E-2</v>
      </c>
      <c r="I117">
        <v>0</v>
      </c>
      <c r="J117">
        <v>0</v>
      </c>
      <c r="K117">
        <v>0.5</v>
      </c>
      <c r="L117">
        <v>0</v>
      </c>
      <c r="M117">
        <v>50.6099999999999</v>
      </c>
      <c r="N117">
        <v>0</v>
      </c>
      <c r="O117">
        <v>-0.30289469074873948</v>
      </c>
      <c r="P117">
        <v>42668.813455140007</v>
      </c>
    </row>
    <row r="118" spans="1:16" x14ac:dyDescent="0.25">
      <c r="A118" s="10">
        <v>37792</v>
      </c>
      <c r="B118">
        <v>167.73000000000681</v>
      </c>
      <c r="C118">
        <v>97.562681999999995</v>
      </c>
      <c r="D118">
        <v>0</v>
      </c>
      <c r="E118">
        <v>0</v>
      </c>
      <c r="F118">
        <v>0</v>
      </c>
      <c r="G118">
        <v>-6.5365362756559966</v>
      </c>
      <c r="H118">
        <v>0</v>
      </c>
      <c r="I118">
        <v>0</v>
      </c>
      <c r="J118">
        <v>-1.579999999998108</v>
      </c>
      <c r="K118">
        <v>-3.999999999996362E-2</v>
      </c>
      <c r="L118">
        <v>-7.7</v>
      </c>
      <c r="M118">
        <v>84.870000000000118</v>
      </c>
      <c r="N118">
        <v>0</v>
      </c>
      <c r="O118">
        <v>1.153854275660819</v>
      </c>
      <c r="P118">
        <v>42746.238341130011</v>
      </c>
    </row>
    <row r="119" spans="1:16" x14ac:dyDescent="0.25">
      <c r="A119" s="10">
        <v>37795</v>
      </c>
      <c r="B119">
        <v>297.69999999999709</v>
      </c>
      <c r="C119">
        <v>251.40107</v>
      </c>
      <c r="D119">
        <v>0</v>
      </c>
      <c r="E119">
        <v>0</v>
      </c>
      <c r="F119">
        <v>0</v>
      </c>
      <c r="G119">
        <v>-1.600910026095</v>
      </c>
      <c r="H119">
        <v>-9.9999999999980105E-3</v>
      </c>
      <c r="I119">
        <v>0</v>
      </c>
      <c r="J119">
        <v>0</v>
      </c>
      <c r="K119">
        <v>0.8600000000000364</v>
      </c>
      <c r="L119">
        <v>-1.5</v>
      </c>
      <c r="M119">
        <v>44.019999999999982</v>
      </c>
      <c r="N119">
        <v>0</v>
      </c>
      <c r="O119">
        <v>4.5298400260920859</v>
      </c>
      <c r="P119">
        <v>42995.75863691001</v>
      </c>
    </row>
    <row r="120" spans="1:16" x14ac:dyDescent="0.25">
      <c r="A120" s="10">
        <v>37796</v>
      </c>
      <c r="B120">
        <v>280.95999999999901</v>
      </c>
      <c r="C120">
        <v>219.04309499999999</v>
      </c>
      <c r="D120">
        <v>0</v>
      </c>
      <c r="E120">
        <v>0</v>
      </c>
      <c r="F120">
        <v>0</v>
      </c>
      <c r="G120">
        <v>11.81885208235394</v>
      </c>
      <c r="H120">
        <v>2.0200000000000031</v>
      </c>
      <c r="I120">
        <v>0</v>
      </c>
      <c r="J120">
        <v>0</v>
      </c>
      <c r="K120">
        <v>0.5</v>
      </c>
      <c r="L120">
        <v>0</v>
      </c>
      <c r="M120">
        <v>37.029999999999973</v>
      </c>
      <c r="N120">
        <v>0</v>
      </c>
      <c r="O120">
        <v>10.5480529176451</v>
      </c>
      <c r="P120">
        <v>43232.751975460007</v>
      </c>
    </row>
    <row r="121" spans="1:16" x14ac:dyDescent="0.25">
      <c r="A121" s="10">
        <v>37797</v>
      </c>
      <c r="B121">
        <v>-97.509999999994747</v>
      </c>
      <c r="C121">
        <v>91.419216000000006</v>
      </c>
      <c r="D121">
        <v>0</v>
      </c>
      <c r="E121">
        <v>0</v>
      </c>
      <c r="F121">
        <v>0</v>
      </c>
      <c r="G121">
        <v>26.420782710415999</v>
      </c>
      <c r="H121">
        <v>2.9600000000000009</v>
      </c>
      <c r="I121">
        <v>0</v>
      </c>
      <c r="J121">
        <v>0</v>
      </c>
      <c r="K121">
        <v>0.5</v>
      </c>
      <c r="L121">
        <v>-245.3</v>
      </c>
      <c r="M121">
        <v>32.610000000000127</v>
      </c>
      <c r="N121">
        <v>0</v>
      </c>
      <c r="O121">
        <v>-6.1199987104108864</v>
      </c>
      <c r="P121">
        <v>43100.291998620007</v>
      </c>
    </row>
    <row r="122" spans="1:16" x14ac:dyDescent="0.25">
      <c r="A122" s="10">
        <v>37798</v>
      </c>
      <c r="B122">
        <v>271.51199999999523</v>
      </c>
      <c r="C122">
        <v>160.672</v>
      </c>
      <c r="D122">
        <v>0</v>
      </c>
      <c r="E122">
        <v>0</v>
      </c>
      <c r="F122">
        <v>0</v>
      </c>
      <c r="G122">
        <v>-2.58262091834</v>
      </c>
      <c r="H122">
        <v>-1.143000000000022</v>
      </c>
      <c r="I122">
        <v>0</v>
      </c>
      <c r="J122">
        <v>0</v>
      </c>
      <c r="K122">
        <v>0.4</v>
      </c>
      <c r="L122">
        <v>0</v>
      </c>
      <c r="M122">
        <v>108.309</v>
      </c>
      <c r="N122">
        <v>0</v>
      </c>
      <c r="O122">
        <v>5.85662091833525</v>
      </c>
      <c r="P122">
        <v>43261.460696050002</v>
      </c>
    </row>
    <row r="123" spans="1:16" x14ac:dyDescent="0.25">
      <c r="A123" s="10">
        <v>37799</v>
      </c>
      <c r="B123">
        <v>-102.9279999999999</v>
      </c>
      <c r="C123">
        <v>34.609000000000009</v>
      </c>
      <c r="D123">
        <v>0</v>
      </c>
      <c r="E123">
        <v>0</v>
      </c>
      <c r="F123">
        <v>0</v>
      </c>
      <c r="G123">
        <v>-9.6713005331549997</v>
      </c>
      <c r="H123">
        <v>3.00000000002143E-3</v>
      </c>
      <c r="I123">
        <v>0</v>
      </c>
      <c r="J123">
        <v>0</v>
      </c>
      <c r="K123">
        <v>0.5</v>
      </c>
      <c r="L123">
        <v>-205.6</v>
      </c>
      <c r="M123">
        <v>53.750999999999749</v>
      </c>
      <c r="N123">
        <v>0</v>
      </c>
      <c r="O123">
        <v>23.480300533155319</v>
      </c>
      <c r="P123">
        <v>43097.904330830002</v>
      </c>
    </row>
    <row r="124" spans="1:16" x14ac:dyDescent="0.25">
      <c r="A124" s="10">
        <v>37802</v>
      </c>
      <c r="B124">
        <v>52.522000000004489</v>
      </c>
      <c r="C124">
        <v>35.870999999999988</v>
      </c>
      <c r="D124">
        <v>0</v>
      </c>
      <c r="E124">
        <v>0</v>
      </c>
      <c r="F124">
        <v>0</v>
      </c>
      <c r="G124">
        <v>-23.18733323345435</v>
      </c>
      <c r="H124">
        <v>-3.845000000000006</v>
      </c>
      <c r="I124">
        <v>0</v>
      </c>
      <c r="J124">
        <v>-2.0000000000436561E-2</v>
      </c>
      <c r="K124">
        <v>1.3</v>
      </c>
      <c r="L124">
        <v>0</v>
      </c>
      <c r="M124">
        <v>33.157000000000153</v>
      </c>
      <c r="N124">
        <v>0</v>
      </c>
      <c r="O124">
        <v>9.2463332334591488</v>
      </c>
      <c r="P124">
        <v>43109.964369230009</v>
      </c>
    </row>
    <row r="125" spans="1:16" x14ac:dyDescent="0.25">
      <c r="A125" s="10">
        <v>37803</v>
      </c>
      <c r="B125">
        <v>243.56799999999919</v>
      </c>
      <c r="C125">
        <v>61.677999999999997</v>
      </c>
      <c r="D125">
        <v>124.93375</v>
      </c>
      <c r="E125">
        <v>0</v>
      </c>
      <c r="F125">
        <v>0</v>
      </c>
      <c r="G125">
        <v>8.599206815225017</v>
      </c>
      <c r="H125">
        <v>0.99200000000002575</v>
      </c>
      <c r="I125">
        <v>0</v>
      </c>
      <c r="J125">
        <v>0</v>
      </c>
      <c r="K125">
        <v>0.7</v>
      </c>
      <c r="L125">
        <v>0</v>
      </c>
      <c r="M125">
        <v>33.990999999999993</v>
      </c>
      <c r="N125">
        <v>0</v>
      </c>
      <c r="O125">
        <v>12.67404318477424</v>
      </c>
      <c r="P125">
        <v>43318.458375714552</v>
      </c>
    </row>
    <row r="126" spans="1:16" x14ac:dyDescent="0.25">
      <c r="A126" s="10">
        <v>37804</v>
      </c>
      <c r="B126">
        <v>-153.84200000000439</v>
      </c>
      <c r="C126">
        <v>70.421999999999997</v>
      </c>
      <c r="D126">
        <v>0</v>
      </c>
      <c r="E126">
        <v>0</v>
      </c>
      <c r="F126">
        <v>0</v>
      </c>
      <c r="G126">
        <v>-2.9353226003109998</v>
      </c>
      <c r="H126">
        <v>0.49500000000000449</v>
      </c>
      <c r="I126">
        <v>0</v>
      </c>
      <c r="J126">
        <v>-0.2000000000007276</v>
      </c>
      <c r="K126">
        <v>-54.910000000000167</v>
      </c>
      <c r="L126">
        <v>-180.2</v>
      </c>
      <c r="M126">
        <v>13.834000000000289</v>
      </c>
      <c r="N126">
        <v>0</v>
      </c>
      <c r="O126">
        <v>-0.3476773996928102</v>
      </c>
      <c r="P126">
        <v>43145.490802169094</v>
      </c>
    </row>
    <row r="127" spans="1:16" x14ac:dyDescent="0.25">
      <c r="A127" s="10">
        <v>37805</v>
      </c>
      <c r="B127">
        <v>179.97599999999511</v>
      </c>
      <c r="C127">
        <v>35.230999999999987</v>
      </c>
      <c r="D127">
        <v>124.93352</v>
      </c>
      <c r="E127">
        <v>0</v>
      </c>
      <c r="F127">
        <v>0</v>
      </c>
      <c r="G127">
        <v>0.76208231004399352</v>
      </c>
      <c r="H127">
        <v>0.49499999999998318</v>
      </c>
      <c r="I127">
        <v>0</v>
      </c>
      <c r="J127">
        <v>-0.34999999999854481</v>
      </c>
      <c r="K127">
        <v>0.4</v>
      </c>
      <c r="L127">
        <v>0</v>
      </c>
      <c r="M127">
        <v>18.90099999999984</v>
      </c>
      <c r="N127">
        <v>0</v>
      </c>
      <c r="O127">
        <v>-0.39660231005018431</v>
      </c>
      <c r="P127">
        <v>43305.844483223627</v>
      </c>
    </row>
    <row r="128" spans="1:16" x14ac:dyDescent="0.25">
      <c r="A128" s="10">
        <v>37806</v>
      </c>
      <c r="B128">
        <v>-145.57899999999779</v>
      </c>
      <c r="C128">
        <v>-2.794</v>
      </c>
      <c r="D128">
        <v>0</v>
      </c>
      <c r="E128">
        <v>0</v>
      </c>
      <c r="F128">
        <v>0</v>
      </c>
      <c r="G128">
        <v>-6.8644839391322421</v>
      </c>
      <c r="H128">
        <v>2.0479999999999881</v>
      </c>
      <c r="I128">
        <v>0</v>
      </c>
      <c r="J128">
        <v>0</v>
      </c>
      <c r="K128">
        <v>0.4</v>
      </c>
      <c r="L128">
        <v>-152.30000000000001</v>
      </c>
      <c r="M128">
        <v>7.5380000000000109</v>
      </c>
      <c r="N128">
        <v>0</v>
      </c>
      <c r="O128">
        <v>6.3934839391344438</v>
      </c>
      <c r="P128">
        <v>43146.642948678193</v>
      </c>
    </row>
    <row r="129" spans="1:16" x14ac:dyDescent="0.25">
      <c r="A129" s="10">
        <v>37809</v>
      </c>
      <c r="B129">
        <v>175.63000000000471</v>
      </c>
      <c r="C129">
        <v>159.36600000000001</v>
      </c>
      <c r="D129">
        <v>0</v>
      </c>
      <c r="E129">
        <v>0</v>
      </c>
      <c r="F129">
        <v>0</v>
      </c>
      <c r="G129">
        <v>-2.739098584022003</v>
      </c>
      <c r="H129">
        <v>-0.17099999999997101</v>
      </c>
      <c r="I129">
        <v>0</v>
      </c>
      <c r="J129">
        <v>-0.2000000000007276</v>
      </c>
      <c r="K129">
        <v>1</v>
      </c>
      <c r="L129">
        <v>0</v>
      </c>
      <c r="M129">
        <v>19.69299999999976</v>
      </c>
      <c r="N129">
        <v>0</v>
      </c>
      <c r="O129">
        <v>-1.3189014159724139</v>
      </c>
      <c r="P129">
        <v>43299.583492392732</v>
      </c>
    </row>
    <row r="130" spans="1:16" x14ac:dyDescent="0.25">
      <c r="A130" s="10">
        <v>37810</v>
      </c>
      <c r="B130">
        <v>138.74699999999581</v>
      </c>
      <c r="C130">
        <v>94.493999999999986</v>
      </c>
      <c r="D130">
        <v>0</v>
      </c>
      <c r="E130">
        <v>0</v>
      </c>
      <c r="F130">
        <v>0</v>
      </c>
      <c r="G130">
        <v>19.983690375872001</v>
      </c>
      <c r="H130">
        <v>-4.800000000001603E-2</v>
      </c>
      <c r="I130">
        <v>0</v>
      </c>
      <c r="J130">
        <v>0</v>
      </c>
      <c r="K130">
        <v>0.4</v>
      </c>
      <c r="L130">
        <v>0</v>
      </c>
      <c r="M130">
        <v>22.416000000000171</v>
      </c>
      <c r="N130">
        <v>0</v>
      </c>
      <c r="O130">
        <v>1.501309624123621</v>
      </c>
      <c r="P130">
        <v>43407.430503847267</v>
      </c>
    </row>
    <row r="131" spans="1:16" x14ac:dyDescent="0.25">
      <c r="A131" s="10">
        <v>37812</v>
      </c>
      <c r="B131">
        <v>-101.916999999994</v>
      </c>
      <c r="C131">
        <v>107.658</v>
      </c>
      <c r="D131">
        <v>0</v>
      </c>
      <c r="E131">
        <v>0</v>
      </c>
      <c r="F131">
        <v>0</v>
      </c>
      <c r="G131">
        <v>7.6636101075411984</v>
      </c>
      <c r="H131">
        <v>0.1820000000000235</v>
      </c>
      <c r="I131">
        <v>0</v>
      </c>
      <c r="J131">
        <v>0</v>
      </c>
      <c r="K131">
        <v>0.6</v>
      </c>
      <c r="L131">
        <v>-218.8</v>
      </c>
      <c r="M131">
        <v>6.5859999999997854</v>
      </c>
      <c r="N131">
        <v>0</v>
      </c>
      <c r="O131">
        <v>-5.8066101075349934</v>
      </c>
      <c r="P131">
        <v>43295.616577301829</v>
      </c>
    </row>
    <row r="132" spans="1:16" x14ac:dyDescent="0.25">
      <c r="A132" s="10">
        <v>37813</v>
      </c>
      <c r="B132">
        <v>-122.16300000000049</v>
      </c>
      <c r="C132">
        <v>90.753</v>
      </c>
      <c r="D132">
        <v>0</v>
      </c>
      <c r="E132">
        <v>0</v>
      </c>
      <c r="F132">
        <v>0</v>
      </c>
      <c r="G132">
        <v>-5.7082822690860002</v>
      </c>
      <c r="H132">
        <v>2.499999999999147E-2</v>
      </c>
      <c r="I132">
        <v>0</v>
      </c>
      <c r="J132">
        <v>0</v>
      </c>
      <c r="K132">
        <v>0.4</v>
      </c>
      <c r="L132">
        <v>-192.3</v>
      </c>
      <c r="M132">
        <v>12.137000000000169</v>
      </c>
      <c r="N132">
        <v>0</v>
      </c>
      <c r="O132">
        <v>-27.46971773091461</v>
      </c>
      <c r="P132">
        <v>43160.322203756368</v>
      </c>
    </row>
    <row r="133" spans="1:16" x14ac:dyDescent="0.25">
      <c r="A133" s="10">
        <v>37816</v>
      </c>
      <c r="B133">
        <v>98.639999999999432</v>
      </c>
      <c r="C133">
        <v>71.724000000000004</v>
      </c>
      <c r="D133">
        <v>0</v>
      </c>
      <c r="E133">
        <v>0</v>
      </c>
      <c r="F133">
        <v>0</v>
      </c>
      <c r="G133">
        <v>-6.4851611674800012</v>
      </c>
      <c r="H133">
        <v>-1.051000000000009</v>
      </c>
      <c r="I133">
        <v>0</v>
      </c>
      <c r="J133">
        <v>0</v>
      </c>
      <c r="K133">
        <v>0.9</v>
      </c>
      <c r="L133">
        <v>0</v>
      </c>
      <c r="M133">
        <v>17.030999999999949</v>
      </c>
      <c r="N133">
        <v>0</v>
      </c>
      <c r="O133">
        <v>16.521161167479491</v>
      </c>
      <c r="P133">
        <v>43240.492641890924</v>
      </c>
    </row>
    <row r="134" spans="1:16" x14ac:dyDescent="0.25">
      <c r="A134" s="10">
        <v>37817</v>
      </c>
      <c r="B134">
        <v>192.49500000000259</v>
      </c>
      <c r="C134">
        <v>165.101</v>
      </c>
      <c r="D134">
        <v>0</v>
      </c>
      <c r="E134">
        <v>0</v>
      </c>
      <c r="F134">
        <v>0</v>
      </c>
      <c r="G134">
        <v>5.2867699499998373E-2</v>
      </c>
      <c r="H134">
        <v>-0.42900000000002342</v>
      </c>
      <c r="I134">
        <v>0</v>
      </c>
      <c r="J134">
        <v>-4.0000000000873108E-2</v>
      </c>
      <c r="K134">
        <v>0.4</v>
      </c>
      <c r="L134">
        <v>0</v>
      </c>
      <c r="M134">
        <v>27.260999999999971</v>
      </c>
      <c r="N134">
        <v>0</v>
      </c>
      <c r="O134">
        <v>0.14913230050356099</v>
      </c>
      <c r="P134">
        <v>43400.828647435468</v>
      </c>
    </row>
    <row r="135" spans="1:16" x14ac:dyDescent="0.25">
      <c r="A135" s="10">
        <v>37818</v>
      </c>
      <c r="B135">
        <v>-219.33200000000221</v>
      </c>
      <c r="C135">
        <v>31.765000000000001</v>
      </c>
      <c r="D135">
        <v>0</v>
      </c>
      <c r="E135">
        <v>0</v>
      </c>
      <c r="F135">
        <v>0</v>
      </c>
      <c r="G135">
        <v>-18.959</v>
      </c>
      <c r="H135">
        <v>-1.000000000033197E-3</v>
      </c>
      <c r="I135">
        <v>0</v>
      </c>
      <c r="J135">
        <v>0</v>
      </c>
      <c r="K135">
        <v>0.4</v>
      </c>
      <c r="L135">
        <v>-289.39999999999998</v>
      </c>
      <c r="M135">
        <v>57.385999999999967</v>
      </c>
      <c r="N135">
        <v>0</v>
      </c>
      <c r="O135">
        <v>-0.52300000000213909</v>
      </c>
      <c r="P135">
        <v>43111.190864420008</v>
      </c>
    </row>
    <row r="136" spans="1:16" x14ac:dyDescent="0.25">
      <c r="A136" s="10">
        <v>37819</v>
      </c>
      <c r="B136">
        <v>-287.5099999999947</v>
      </c>
      <c r="C136">
        <v>104.88800000000001</v>
      </c>
      <c r="D136">
        <v>-179.99999999398</v>
      </c>
      <c r="E136">
        <v>179.99999999398</v>
      </c>
      <c r="F136">
        <v>0</v>
      </c>
      <c r="G136">
        <v>-412.52099999894023</v>
      </c>
      <c r="H136">
        <v>-6.0000000000144382E-3</v>
      </c>
      <c r="I136">
        <v>0</v>
      </c>
      <c r="J136">
        <v>0</v>
      </c>
      <c r="K136">
        <v>0.4</v>
      </c>
      <c r="L136">
        <v>0</v>
      </c>
      <c r="M136">
        <v>16.55600000000004</v>
      </c>
      <c r="N136">
        <v>0</v>
      </c>
      <c r="O136">
        <v>3.172999998945556</v>
      </c>
      <c r="P136">
        <v>42806.193374684561</v>
      </c>
    </row>
    <row r="137" spans="1:16" x14ac:dyDescent="0.25">
      <c r="A137" s="10">
        <v>37820</v>
      </c>
      <c r="B137">
        <v>5.0819999999948831</v>
      </c>
      <c r="C137">
        <v>87.177000000000007</v>
      </c>
      <c r="D137">
        <v>0</v>
      </c>
      <c r="E137">
        <v>0</v>
      </c>
      <c r="F137">
        <v>0</v>
      </c>
      <c r="G137">
        <v>-1.618948563472</v>
      </c>
      <c r="H137">
        <v>-1.041000000000025</v>
      </c>
      <c r="I137">
        <v>0</v>
      </c>
      <c r="J137">
        <v>0</v>
      </c>
      <c r="K137">
        <v>0.4</v>
      </c>
      <c r="L137">
        <v>-97.995724116643899</v>
      </c>
      <c r="M137">
        <v>18.148000000000138</v>
      </c>
      <c r="N137">
        <v>0</v>
      </c>
      <c r="O137">
        <v>1.2672680110659921E-2</v>
      </c>
      <c r="P137">
        <v>42792.021931629097</v>
      </c>
    </row>
    <row r="138" spans="1:16" x14ac:dyDescent="0.25">
      <c r="A138" s="10">
        <v>37823</v>
      </c>
      <c r="B138">
        <v>153.40600000000259</v>
      </c>
      <c r="C138">
        <v>70.260000000000005</v>
      </c>
      <c r="D138">
        <v>0</v>
      </c>
      <c r="E138">
        <v>0</v>
      </c>
      <c r="F138">
        <v>0</v>
      </c>
      <c r="G138">
        <v>60.184499510000023</v>
      </c>
      <c r="H138">
        <v>-1.5109999999999959</v>
      </c>
      <c r="I138">
        <v>0</v>
      </c>
      <c r="J138">
        <v>0</v>
      </c>
      <c r="K138">
        <v>0.95</v>
      </c>
      <c r="L138">
        <v>0</v>
      </c>
      <c r="M138">
        <v>23.575999999999571</v>
      </c>
      <c r="N138">
        <v>0</v>
      </c>
      <c r="O138">
        <v>-5.3499509996936423E-2</v>
      </c>
      <c r="P138">
        <v>42921.056841693637</v>
      </c>
    </row>
    <row r="139" spans="1:16" x14ac:dyDescent="0.25">
      <c r="A139" s="10">
        <v>37824</v>
      </c>
      <c r="B139">
        <v>125.1319999999978</v>
      </c>
      <c r="C139">
        <v>117.52</v>
      </c>
      <c r="D139">
        <v>0</v>
      </c>
      <c r="E139">
        <v>0</v>
      </c>
      <c r="F139">
        <v>0</v>
      </c>
      <c r="G139">
        <v>-8.4103913888159987</v>
      </c>
      <c r="H139">
        <v>2.9999999999930078E-3</v>
      </c>
      <c r="I139">
        <v>0</v>
      </c>
      <c r="J139">
        <v>0</v>
      </c>
      <c r="K139">
        <v>0.35</v>
      </c>
      <c r="L139">
        <v>0</v>
      </c>
      <c r="M139">
        <v>14.220000000000249</v>
      </c>
      <c r="N139">
        <v>0</v>
      </c>
      <c r="O139">
        <v>1.4493913888135239</v>
      </c>
      <c r="P139">
        <v>43031.027825628189</v>
      </c>
    </row>
    <row r="140" spans="1:16" x14ac:dyDescent="0.25">
      <c r="A140" s="10">
        <v>37825</v>
      </c>
      <c r="B140">
        <v>-122.62299999999939</v>
      </c>
      <c r="C140">
        <v>48.080000000000013</v>
      </c>
      <c r="D140">
        <v>0</v>
      </c>
      <c r="E140">
        <v>0</v>
      </c>
      <c r="F140">
        <v>0</v>
      </c>
      <c r="G140">
        <v>-10.180726218013</v>
      </c>
      <c r="H140">
        <v>2.9999999999859028E-3</v>
      </c>
      <c r="I140">
        <v>0</v>
      </c>
      <c r="J140">
        <v>0</v>
      </c>
      <c r="K140">
        <v>-0.30999999999980898</v>
      </c>
      <c r="L140">
        <v>-173.950969397373</v>
      </c>
      <c r="M140">
        <v>14.402999999999791</v>
      </c>
      <c r="N140">
        <v>0</v>
      </c>
      <c r="O140">
        <v>-0.66730438461333397</v>
      </c>
      <c r="P140">
        <v>42893.326384262728</v>
      </c>
    </row>
    <row r="141" spans="1:16" x14ac:dyDescent="0.25">
      <c r="A141" s="10">
        <v>37826</v>
      </c>
      <c r="B141">
        <v>199.49699999999581</v>
      </c>
      <c r="C141">
        <v>98.661999999999992</v>
      </c>
      <c r="D141">
        <v>0</v>
      </c>
      <c r="E141">
        <v>0</v>
      </c>
      <c r="F141">
        <v>0</v>
      </c>
      <c r="G141">
        <v>73.187811750641998</v>
      </c>
      <c r="H141">
        <v>8.9979999999999905</v>
      </c>
      <c r="I141">
        <v>0</v>
      </c>
      <c r="J141">
        <v>0</v>
      </c>
      <c r="K141">
        <v>0.4</v>
      </c>
      <c r="L141">
        <v>0</v>
      </c>
      <c r="M141">
        <v>14.086999999999991</v>
      </c>
      <c r="N141">
        <v>0</v>
      </c>
      <c r="O141">
        <v>4.1621882493537612</v>
      </c>
      <c r="P141">
        <v>43078.037587677267</v>
      </c>
    </row>
    <row r="142" spans="1:16" x14ac:dyDescent="0.25">
      <c r="A142" s="10">
        <v>37827</v>
      </c>
      <c r="B142">
        <v>20.336000000002969</v>
      </c>
      <c r="C142">
        <v>77.311000000000007</v>
      </c>
      <c r="D142">
        <v>0</v>
      </c>
      <c r="E142">
        <v>0</v>
      </c>
      <c r="F142">
        <v>0</v>
      </c>
      <c r="G142">
        <v>-10.1795773797</v>
      </c>
      <c r="H142">
        <v>-9.0010000000000332</v>
      </c>
      <c r="I142">
        <v>0</v>
      </c>
      <c r="J142">
        <v>0</v>
      </c>
      <c r="K142">
        <v>0.4</v>
      </c>
      <c r="L142">
        <v>-116.689300570265</v>
      </c>
      <c r="M142">
        <v>85.98299999999972</v>
      </c>
      <c r="N142">
        <v>0</v>
      </c>
      <c r="O142">
        <v>-7.4881220500317154</v>
      </c>
      <c r="P142">
        <v>43010.711920671827</v>
      </c>
    </row>
    <row r="143" spans="1:16" x14ac:dyDescent="0.25">
      <c r="A143" s="10">
        <v>37830</v>
      </c>
      <c r="B143">
        <v>107.3739999999962</v>
      </c>
      <c r="C143">
        <v>45.058999999999997</v>
      </c>
      <c r="D143">
        <v>0</v>
      </c>
      <c r="E143">
        <v>0</v>
      </c>
      <c r="F143">
        <v>0</v>
      </c>
      <c r="G143">
        <v>8.1603292289570035</v>
      </c>
      <c r="H143">
        <v>-2.0000000000024438E-3</v>
      </c>
      <c r="I143">
        <v>0</v>
      </c>
      <c r="J143">
        <v>0</v>
      </c>
      <c r="K143">
        <v>1.1000000000000001</v>
      </c>
      <c r="L143">
        <v>0</v>
      </c>
      <c r="M143">
        <v>51.822999999999873</v>
      </c>
      <c r="N143">
        <v>0</v>
      </c>
      <c r="O143">
        <v>1.2336707710392829</v>
      </c>
      <c r="P143">
        <v>43065.590888576357</v>
      </c>
    </row>
    <row r="144" spans="1:16" x14ac:dyDescent="0.25">
      <c r="A144" s="10">
        <v>37831</v>
      </c>
      <c r="B144">
        <v>299.08400000000262</v>
      </c>
      <c r="C144">
        <v>71.697000000000003</v>
      </c>
      <c r="D144">
        <v>0</v>
      </c>
      <c r="E144">
        <v>0</v>
      </c>
      <c r="F144">
        <v>0</v>
      </c>
      <c r="G144">
        <v>8.3431393772220002</v>
      </c>
      <c r="H144">
        <v>-8.0000000000097771E-3</v>
      </c>
      <c r="I144">
        <v>0</v>
      </c>
      <c r="J144">
        <v>0</v>
      </c>
      <c r="K144">
        <v>0.4</v>
      </c>
      <c r="L144">
        <v>0</v>
      </c>
      <c r="M144">
        <v>216.83300000000099</v>
      </c>
      <c r="N144">
        <v>0</v>
      </c>
      <c r="O144">
        <v>1.8188606227795781</v>
      </c>
      <c r="P144">
        <v>43147.216912270917</v>
      </c>
    </row>
    <row r="145" spans="1:16" x14ac:dyDescent="0.25">
      <c r="A145" s="10">
        <v>37832</v>
      </c>
      <c r="B145">
        <v>71.01600000000326</v>
      </c>
      <c r="C145">
        <v>-12.271000000000001</v>
      </c>
      <c r="D145">
        <v>0</v>
      </c>
      <c r="E145">
        <v>0</v>
      </c>
      <c r="F145">
        <v>0</v>
      </c>
      <c r="G145">
        <v>-0.4847083173950002</v>
      </c>
      <c r="H145">
        <v>3.9999999999906777E-3</v>
      </c>
      <c r="I145">
        <v>0</v>
      </c>
      <c r="J145">
        <v>-250.0400000000009</v>
      </c>
      <c r="K145">
        <v>-0.82000000000002726</v>
      </c>
      <c r="L145">
        <v>69.334377970913593</v>
      </c>
      <c r="M145">
        <v>265.73399999999992</v>
      </c>
      <c r="N145">
        <v>0</v>
      </c>
      <c r="O145">
        <v>-0.44066965351430548</v>
      </c>
      <c r="P145">
        <v>42951.886920475466</v>
      </c>
    </row>
    <row r="146" spans="1:16" x14ac:dyDescent="0.25">
      <c r="A146" s="10">
        <v>37833</v>
      </c>
      <c r="B146">
        <v>41.526999999994359</v>
      </c>
      <c r="C146">
        <v>18.884</v>
      </c>
      <c r="D146">
        <v>0</v>
      </c>
      <c r="E146">
        <v>0</v>
      </c>
      <c r="F146">
        <v>0</v>
      </c>
      <c r="G146">
        <v>-10.371716952839</v>
      </c>
      <c r="H146">
        <v>8.9029999999999916</v>
      </c>
      <c r="I146">
        <v>0</v>
      </c>
      <c r="J146">
        <v>0</v>
      </c>
      <c r="K146">
        <v>0.2999999999998636</v>
      </c>
      <c r="L146">
        <v>0</v>
      </c>
      <c r="M146">
        <v>31.179000000000091</v>
      </c>
      <c r="N146">
        <v>0</v>
      </c>
      <c r="O146">
        <v>-7.367283047166584</v>
      </c>
      <c r="P146">
        <v>42959.616835340013</v>
      </c>
    </row>
    <row r="147" spans="1:16" x14ac:dyDescent="0.25">
      <c r="A147" s="10">
        <v>37834</v>
      </c>
      <c r="B147">
        <v>128.03000000000611</v>
      </c>
      <c r="C147">
        <v>-11.004</v>
      </c>
      <c r="D147">
        <v>-199.91466</v>
      </c>
      <c r="E147">
        <v>0</v>
      </c>
      <c r="F147">
        <v>0</v>
      </c>
      <c r="G147">
        <v>387.1380643811018</v>
      </c>
      <c r="H147">
        <v>-0.2489999999999952</v>
      </c>
      <c r="I147">
        <v>0</v>
      </c>
      <c r="J147">
        <v>8.2700000000004366</v>
      </c>
      <c r="K147">
        <v>0.43</v>
      </c>
      <c r="L147">
        <v>-108.965906328725</v>
      </c>
      <c r="M147">
        <v>43.050000000000182</v>
      </c>
      <c r="N147">
        <v>0</v>
      </c>
      <c r="O147">
        <v>9.2755019476286069</v>
      </c>
      <c r="P147">
        <v>43043.889598690002</v>
      </c>
    </row>
    <row r="148" spans="1:16" x14ac:dyDescent="0.25">
      <c r="A148" s="10">
        <v>37837</v>
      </c>
      <c r="B148">
        <v>-442.45599999999831</v>
      </c>
      <c r="C148">
        <v>14.97</v>
      </c>
      <c r="D148">
        <v>-399.94500000000011</v>
      </c>
      <c r="E148">
        <v>0</v>
      </c>
      <c r="F148">
        <v>0</v>
      </c>
      <c r="G148">
        <v>192.9202338549</v>
      </c>
      <c r="H148">
        <v>-6.6630000000000251</v>
      </c>
      <c r="I148">
        <v>0</v>
      </c>
      <c r="J148">
        <v>-2.180000000000291</v>
      </c>
      <c r="K148">
        <v>-68.389999999999958</v>
      </c>
      <c r="L148">
        <v>0</v>
      </c>
      <c r="M148">
        <v>14.97299999999996</v>
      </c>
      <c r="N148">
        <v>0</v>
      </c>
      <c r="O148">
        <v>-188.14123385489799</v>
      </c>
      <c r="P148">
        <v>42585.752550240009</v>
      </c>
    </row>
    <row r="149" spans="1:16" x14ac:dyDescent="0.25">
      <c r="A149" s="10">
        <v>37838</v>
      </c>
      <c r="B149">
        <v>23.492999999994939</v>
      </c>
      <c r="C149">
        <v>10.28900000000001</v>
      </c>
      <c r="D149">
        <v>0</v>
      </c>
      <c r="E149">
        <v>0</v>
      </c>
      <c r="F149">
        <v>0</v>
      </c>
      <c r="G149">
        <v>-8.8789999999999978</v>
      </c>
      <c r="H149">
        <v>-0.98999999999999488</v>
      </c>
      <c r="I149">
        <v>0</v>
      </c>
      <c r="J149">
        <v>-2.0000000000436561E-2</v>
      </c>
      <c r="K149">
        <v>0.38700000000000001</v>
      </c>
      <c r="L149">
        <v>0</v>
      </c>
      <c r="M149">
        <v>20.992000000000189</v>
      </c>
      <c r="N149">
        <v>0</v>
      </c>
      <c r="O149">
        <v>1.7139999999951669</v>
      </c>
      <c r="P149">
        <v>42587.545651640008</v>
      </c>
    </row>
    <row r="150" spans="1:16" x14ac:dyDescent="0.25">
      <c r="A150" s="10">
        <v>37839</v>
      </c>
      <c r="B150">
        <v>-99.312999999998283</v>
      </c>
      <c r="C150">
        <v>5.6359999999999957</v>
      </c>
      <c r="D150">
        <v>0</v>
      </c>
      <c r="E150">
        <v>0</v>
      </c>
      <c r="F150">
        <v>0</v>
      </c>
      <c r="G150">
        <v>-6.2160000000000011</v>
      </c>
      <c r="H150">
        <v>-1.0030000000000361</v>
      </c>
      <c r="I150">
        <v>0</v>
      </c>
      <c r="J150">
        <v>-1.239999999997963</v>
      </c>
      <c r="K150">
        <v>0.3871</v>
      </c>
      <c r="L150">
        <v>-102.576480481795</v>
      </c>
      <c r="M150">
        <v>9.1480000000001382</v>
      </c>
      <c r="N150">
        <v>0</v>
      </c>
      <c r="O150">
        <v>-3.4486195182054189</v>
      </c>
      <c r="P150">
        <v>42478.376849139997</v>
      </c>
    </row>
    <row r="151" spans="1:16" x14ac:dyDescent="0.25">
      <c r="A151" s="10">
        <v>37840</v>
      </c>
      <c r="B151">
        <v>15.362999999997561</v>
      </c>
      <c r="C151">
        <v>5.1550000000000082</v>
      </c>
      <c r="D151">
        <v>0</v>
      </c>
      <c r="E151">
        <v>0</v>
      </c>
      <c r="F151">
        <v>0</v>
      </c>
      <c r="G151">
        <v>-4.2550000000000008</v>
      </c>
      <c r="H151">
        <v>1.5899999999999821</v>
      </c>
      <c r="I151">
        <v>0</v>
      </c>
      <c r="J151">
        <v>-0.15999999999985451</v>
      </c>
      <c r="K151">
        <v>0.28915099999999999</v>
      </c>
      <c r="L151">
        <v>0</v>
      </c>
      <c r="M151">
        <v>12.19500000000016</v>
      </c>
      <c r="N151">
        <v>0</v>
      </c>
      <c r="O151">
        <v>0.54884899999725612</v>
      </c>
      <c r="P151">
        <v>42480.836509640001</v>
      </c>
    </row>
    <row r="152" spans="1:16" x14ac:dyDescent="0.25">
      <c r="A152" s="10">
        <v>37841</v>
      </c>
      <c r="B152">
        <v>-27.845999999997719</v>
      </c>
      <c r="C152">
        <v>12.740999999999991</v>
      </c>
      <c r="D152">
        <v>0</v>
      </c>
      <c r="E152">
        <v>0</v>
      </c>
      <c r="F152">
        <v>0</v>
      </c>
      <c r="G152">
        <v>19.12810625774398</v>
      </c>
      <c r="H152">
        <v>-1.591000000000008</v>
      </c>
      <c r="I152">
        <v>0</v>
      </c>
      <c r="J152">
        <v>0</v>
      </c>
      <c r="K152">
        <v>0.34907899999999997</v>
      </c>
      <c r="L152">
        <v>-103.830454548039</v>
      </c>
      <c r="M152">
        <v>34.454000000000178</v>
      </c>
      <c r="N152">
        <v>0</v>
      </c>
      <c r="O152">
        <v>10.903269290297141</v>
      </c>
      <c r="P152">
        <v>42417.828447729997</v>
      </c>
    </row>
    <row r="153" spans="1:16" x14ac:dyDescent="0.25">
      <c r="A153" s="10">
        <v>37844</v>
      </c>
      <c r="B153">
        <v>223.86099999999351</v>
      </c>
      <c r="C153">
        <v>24.63600000000001</v>
      </c>
      <c r="D153">
        <v>0</v>
      </c>
      <c r="E153">
        <v>0</v>
      </c>
      <c r="F153">
        <v>0</v>
      </c>
      <c r="G153">
        <v>143.861106169344</v>
      </c>
      <c r="H153">
        <v>1.9999999999953388E-3</v>
      </c>
      <c r="I153">
        <v>0</v>
      </c>
      <c r="J153">
        <v>-5.0000000002910383E-2</v>
      </c>
      <c r="K153">
        <v>0.86860000000000004</v>
      </c>
      <c r="L153">
        <v>0</v>
      </c>
      <c r="M153">
        <v>53.800999999999931</v>
      </c>
      <c r="N153">
        <v>0</v>
      </c>
      <c r="O153">
        <v>0.74229383065248844</v>
      </c>
      <c r="P153">
        <v>42587.180436319999</v>
      </c>
    </row>
    <row r="154" spans="1:16" x14ac:dyDescent="0.25">
      <c r="A154" s="10">
        <v>37845</v>
      </c>
      <c r="B154">
        <v>84.374000000003434</v>
      </c>
      <c r="C154">
        <v>49.189</v>
      </c>
      <c r="D154">
        <v>150</v>
      </c>
      <c r="E154">
        <v>0</v>
      </c>
      <c r="F154">
        <v>0</v>
      </c>
      <c r="G154">
        <v>-167.47309540077299</v>
      </c>
      <c r="H154">
        <v>9.9999999997635314E-4</v>
      </c>
      <c r="I154">
        <v>0</v>
      </c>
      <c r="J154">
        <v>0</v>
      </c>
      <c r="K154">
        <v>-2.7704830000000822</v>
      </c>
      <c r="L154">
        <v>0</v>
      </c>
      <c r="M154">
        <v>41.653999999999087</v>
      </c>
      <c r="N154">
        <v>0</v>
      </c>
      <c r="O154">
        <v>13.773578400777451</v>
      </c>
      <c r="P154">
        <v>42629.192026780001</v>
      </c>
    </row>
    <row r="155" spans="1:16" x14ac:dyDescent="0.25">
      <c r="A155" s="10">
        <v>37846</v>
      </c>
      <c r="B155">
        <v>476.81800000000658</v>
      </c>
      <c r="C155">
        <v>44.165000000000013</v>
      </c>
      <c r="D155">
        <v>0</v>
      </c>
      <c r="E155">
        <v>0</v>
      </c>
      <c r="F155">
        <v>0</v>
      </c>
      <c r="G155">
        <v>-4.8910000000000053</v>
      </c>
      <c r="H155">
        <v>1.9999999999953388E-3</v>
      </c>
      <c r="I155">
        <v>0</v>
      </c>
      <c r="J155">
        <v>0</v>
      </c>
      <c r="K155">
        <v>0.39</v>
      </c>
      <c r="L155">
        <v>404.47198379414101</v>
      </c>
      <c r="M155">
        <v>33.811000000000149</v>
      </c>
      <c r="N155">
        <v>0</v>
      </c>
      <c r="O155">
        <v>-1.130983794134568</v>
      </c>
      <c r="P155">
        <v>43071.491492640009</v>
      </c>
    </row>
    <row r="156" spans="1:16" x14ac:dyDescent="0.25">
      <c r="A156" s="10">
        <v>37847</v>
      </c>
      <c r="B156">
        <v>68.135999999998603</v>
      </c>
      <c r="C156">
        <v>12.601000000000001</v>
      </c>
      <c r="D156">
        <v>0</v>
      </c>
      <c r="E156">
        <v>0</v>
      </c>
      <c r="F156">
        <v>0</v>
      </c>
      <c r="G156">
        <v>-8.369531254145997</v>
      </c>
      <c r="H156">
        <v>1.0000000000118801E-3</v>
      </c>
      <c r="I156">
        <v>0</v>
      </c>
      <c r="J156">
        <v>0.34000000000014552</v>
      </c>
      <c r="K156">
        <v>-8.9999999999999993E-3</v>
      </c>
      <c r="L156">
        <v>0</v>
      </c>
      <c r="M156">
        <v>64.001000000000204</v>
      </c>
      <c r="N156">
        <v>0</v>
      </c>
      <c r="O156">
        <v>-0.42846874585575839</v>
      </c>
      <c r="P156">
        <v>43074.918049840009</v>
      </c>
    </row>
    <row r="157" spans="1:16" x14ac:dyDescent="0.25">
      <c r="A157" s="10">
        <v>37848</v>
      </c>
      <c r="B157">
        <v>-16.270999999996999</v>
      </c>
      <c r="C157">
        <v>-7.9779999999999944</v>
      </c>
      <c r="D157">
        <v>0</v>
      </c>
      <c r="E157">
        <v>0</v>
      </c>
      <c r="F157">
        <v>0</v>
      </c>
      <c r="G157">
        <v>10.256121138239999</v>
      </c>
      <c r="H157">
        <v>9.0000000000145519E-3</v>
      </c>
      <c r="I157">
        <v>0</v>
      </c>
      <c r="J157">
        <v>0.87000000000261934</v>
      </c>
      <c r="K157">
        <v>0.28010000000009999</v>
      </c>
      <c r="L157">
        <v>-61.073601993325397</v>
      </c>
      <c r="M157">
        <v>40.641000000000084</v>
      </c>
      <c r="N157">
        <v>0</v>
      </c>
      <c r="O157">
        <v>0.72438085508557748</v>
      </c>
      <c r="P157">
        <v>43017.298089340009</v>
      </c>
    </row>
    <row r="158" spans="1:16" x14ac:dyDescent="0.25">
      <c r="A158" s="10">
        <v>37852</v>
      </c>
      <c r="B158">
        <v>320.59999999999849</v>
      </c>
      <c r="C158">
        <v>26.98</v>
      </c>
      <c r="D158">
        <v>0</v>
      </c>
      <c r="E158">
        <v>0</v>
      </c>
      <c r="F158">
        <v>0</v>
      </c>
      <c r="G158">
        <v>216.252951376</v>
      </c>
      <c r="H158">
        <v>-3.9999999999764668E-3</v>
      </c>
      <c r="I158">
        <v>0</v>
      </c>
      <c r="J158">
        <v>0</v>
      </c>
      <c r="K158">
        <v>1.4603999999999999</v>
      </c>
      <c r="L158">
        <v>0</v>
      </c>
      <c r="M158">
        <v>74.820999999999913</v>
      </c>
      <c r="N158">
        <v>0</v>
      </c>
      <c r="O158">
        <v>1.0896486239986529</v>
      </c>
      <c r="P158">
        <v>43262.368865700009</v>
      </c>
    </row>
    <row r="159" spans="1:16" x14ac:dyDescent="0.25">
      <c r="A159" s="10">
        <v>37853</v>
      </c>
      <c r="B159">
        <v>23.477999999999149</v>
      </c>
      <c r="C159">
        <v>42.587999999999987</v>
      </c>
      <c r="D159">
        <v>0</v>
      </c>
      <c r="E159">
        <v>0</v>
      </c>
      <c r="F159">
        <v>0</v>
      </c>
      <c r="G159">
        <v>-22.481000000000002</v>
      </c>
      <c r="H159">
        <v>-2.0000000000024438E-3</v>
      </c>
      <c r="I159">
        <v>0</v>
      </c>
      <c r="J159">
        <v>0.98999999999796273</v>
      </c>
      <c r="K159">
        <v>0.39100000000000001</v>
      </c>
      <c r="L159">
        <v>-5.2</v>
      </c>
      <c r="M159">
        <v>7.6219999999998436</v>
      </c>
      <c r="N159">
        <v>0</v>
      </c>
      <c r="O159">
        <v>-0.4299999999986433</v>
      </c>
      <c r="P159">
        <v>43277.516805200008</v>
      </c>
    </row>
    <row r="160" spans="1:16" x14ac:dyDescent="0.25">
      <c r="A160" s="10">
        <v>37854</v>
      </c>
      <c r="B160">
        <v>75.366205999991507</v>
      </c>
      <c r="C160">
        <v>15.157999999999991</v>
      </c>
      <c r="D160">
        <v>0</v>
      </c>
      <c r="E160">
        <v>0</v>
      </c>
      <c r="F160">
        <v>0</v>
      </c>
      <c r="G160">
        <v>6.5527876814319974</v>
      </c>
      <c r="H160">
        <v>-9.9999999999766942E-4</v>
      </c>
      <c r="I160">
        <v>0</v>
      </c>
      <c r="J160">
        <v>0</v>
      </c>
      <c r="K160">
        <v>0.4</v>
      </c>
      <c r="L160">
        <v>6.35</v>
      </c>
      <c r="M160">
        <v>43.679000000000087</v>
      </c>
      <c r="N160">
        <v>0</v>
      </c>
      <c r="O160">
        <v>3.2274183185594412</v>
      </c>
      <c r="P160">
        <v>43308.496668959997</v>
      </c>
    </row>
    <row r="161" spans="1:16" x14ac:dyDescent="0.25">
      <c r="A161" s="10">
        <v>37855</v>
      </c>
      <c r="B161">
        <v>-74.349205999998929</v>
      </c>
      <c r="C161">
        <v>3.6480000000000099</v>
      </c>
      <c r="D161">
        <v>0</v>
      </c>
      <c r="E161">
        <v>0</v>
      </c>
      <c r="F161">
        <v>0</v>
      </c>
      <c r="G161">
        <v>24.321212318568001</v>
      </c>
      <c r="H161">
        <v>5.2006999999999914</v>
      </c>
      <c r="I161">
        <v>0</v>
      </c>
      <c r="J161">
        <v>0</v>
      </c>
      <c r="K161">
        <v>0.38025000000000908</v>
      </c>
      <c r="L161">
        <v>-173.441441881603</v>
      </c>
      <c r="M161">
        <v>60.882999999999811</v>
      </c>
      <c r="N161">
        <v>0</v>
      </c>
      <c r="O161">
        <v>4.659073563036225</v>
      </c>
      <c r="P161">
        <v>43172.556784750013</v>
      </c>
    </row>
    <row r="162" spans="1:16" x14ac:dyDescent="0.25">
      <c r="A162" s="10">
        <v>37858</v>
      </c>
      <c r="B162">
        <v>33.87200000000302</v>
      </c>
      <c r="C162">
        <v>-0.98199999999999932</v>
      </c>
      <c r="D162">
        <v>0</v>
      </c>
      <c r="E162">
        <v>0</v>
      </c>
      <c r="F162">
        <v>0</v>
      </c>
      <c r="G162">
        <v>-22.275804621900001</v>
      </c>
      <c r="H162">
        <v>3.4999999999982379E-2</v>
      </c>
      <c r="I162">
        <v>0</v>
      </c>
      <c r="J162">
        <v>0</v>
      </c>
      <c r="K162">
        <v>1.170134</v>
      </c>
      <c r="L162">
        <v>0</v>
      </c>
      <c r="M162">
        <v>53.173999999999978</v>
      </c>
      <c r="N162">
        <v>0</v>
      </c>
      <c r="O162">
        <v>2.750670621903057</v>
      </c>
      <c r="P162">
        <v>43152.546358100008</v>
      </c>
    </row>
    <row r="163" spans="1:16" x14ac:dyDescent="0.25">
      <c r="A163" s="10">
        <v>37859</v>
      </c>
      <c r="B163">
        <v>189.2900000000009</v>
      </c>
      <c r="C163">
        <v>26.119</v>
      </c>
      <c r="D163">
        <v>0</v>
      </c>
      <c r="E163">
        <v>0</v>
      </c>
      <c r="F163">
        <v>0</v>
      </c>
      <c r="G163">
        <v>24.831330613403999</v>
      </c>
      <c r="H163">
        <v>1.300000000001234E-2</v>
      </c>
      <c r="I163">
        <v>0</v>
      </c>
      <c r="J163">
        <v>0</v>
      </c>
      <c r="K163">
        <v>0.3901</v>
      </c>
      <c r="L163">
        <v>0</v>
      </c>
      <c r="M163">
        <v>132.53499999999991</v>
      </c>
      <c r="N163">
        <v>0</v>
      </c>
      <c r="O163">
        <v>5.4015693865970151</v>
      </c>
      <c r="P163">
        <v>43208.593342970009</v>
      </c>
    </row>
    <row r="164" spans="1:16" x14ac:dyDescent="0.25">
      <c r="A164" s="10">
        <v>37860</v>
      </c>
      <c r="B164">
        <v>16.489999999997959</v>
      </c>
      <c r="C164">
        <v>29.615000000000009</v>
      </c>
      <c r="D164">
        <v>0</v>
      </c>
      <c r="E164">
        <v>0</v>
      </c>
      <c r="F164">
        <v>0</v>
      </c>
      <c r="G164">
        <v>4.0762461600000037</v>
      </c>
      <c r="H164">
        <v>-5.2480000000000189</v>
      </c>
      <c r="I164">
        <v>0</v>
      </c>
      <c r="J164">
        <v>-2.0000000000436561E-2</v>
      </c>
      <c r="K164">
        <v>1.650099999999991</v>
      </c>
      <c r="L164">
        <v>-54.373521607463204</v>
      </c>
      <c r="M164">
        <v>40.996000000000087</v>
      </c>
      <c r="N164">
        <v>0</v>
      </c>
      <c r="O164">
        <v>-0.20582455253847581</v>
      </c>
      <c r="P164">
        <v>43183.379833510007</v>
      </c>
    </row>
    <row r="165" spans="1:16" x14ac:dyDescent="0.25">
      <c r="A165" s="10">
        <v>37861</v>
      </c>
      <c r="B165">
        <v>36.55200000000697</v>
      </c>
      <c r="C165">
        <v>-2.0960000000000041</v>
      </c>
      <c r="D165">
        <v>0</v>
      </c>
      <c r="E165">
        <v>0</v>
      </c>
      <c r="F165">
        <v>0</v>
      </c>
      <c r="G165">
        <v>-4.0447832746720014</v>
      </c>
      <c r="H165">
        <v>-8.9699999999999847</v>
      </c>
      <c r="I165">
        <v>0</v>
      </c>
      <c r="J165">
        <v>-1.9999999996798579E-2</v>
      </c>
      <c r="K165">
        <v>-4.0400000000000089</v>
      </c>
      <c r="L165">
        <v>0</v>
      </c>
      <c r="M165">
        <v>43.20699999999988</v>
      </c>
      <c r="N165">
        <v>0</v>
      </c>
      <c r="O165">
        <v>12.51578327467589</v>
      </c>
      <c r="P165">
        <v>43176.017200110007</v>
      </c>
    </row>
    <row r="166" spans="1:16" x14ac:dyDescent="0.25">
      <c r="A166" s="10">
        <v>37862</v>
      </c>
      <c r="B166">
        <v>184.24819999999821</v>
      </c>
      <c r="C166">
        <v>-5.4469999999999956</v>
      </c>
      <c r="D166">
        <v>0</v>
      </c>
      <c r="E166">
        <v>0</v>
      </c>
      <c r="F166">
        <v>0</v>
      </c>
      <c r="G166">
        <v>-9.9789838518800025</v>
      </c>
      <c r="H166">
        <v>-4.9999999999954534E-3</v>
      </c>
      <c r="I166">
        <v>0</v>
      </c>
      <c r="J166">
        <v>3.9999999997235143E-2</v>
      </c>
      <c r="K166">
        <v>0.39150000000000001</v>
      </c>
      <c r="L166">
        <v>-12.4258806946906</v>
      </c>
      <c r="M166">
        <v>42.65099999999984</v>
      </c>
      <c r="N166">
        <v>0</v>
      </c>
      <c r="O166">
        <v>169.02256454657169</v>
      </c>
      <c r="P166">
        <v>43316.905968590007</v>
      </c>
    </row>
    <row r="167" spans="1:16" x14ac:dyDescent="0.25">
      <c r="A167" s="10">
        <v>37865</v>
      </c>
      <c r="B167">
        <v>109.2419999999984</v>
      </c>
      <c r="C167">
        <v>-1.1819999999999999</v>
      </c>
      <c r="D167">
        <v>0</v>
      </c>
      <c r="E167">
        <v>0</v>
      </c>
      <c r="F167">
        <v>0</v>
      </c>
      <c r="G167">
        <v>-4.7479288424399968</v>
      </c>
      <c r="H167">
        <v>0</v>
      </c>
      <c r="I167">
        <v>0</v>
      </c>
      <c r="J167">
        <v>-6.9999999999708962E-2</v>
      </c>
      <c r="K167">
        <v>1.2410000000000001</v>
      </c>
      <c r="L167">
        <v>0</v>
      </c>
      <c r="M167">
        <v>105.663</v>
      </c>
      <c r="N167">
        <v>0</v>
      </c>
      <c r="O167">
        <v>8.3379288424380604</v>
      </c>
      <c r="P167">
        <v>43320.242011182738</v>
      </c>
    </row>
    <row r="168" spans="1:16" x14ac:dyDescent="0.25">
      <c r="A168" s="10">
        <v>37866</v>
      </c>
      <c r="B168">
        <v>43.659800000005127</v>
      </c>
      <c r="C168">
        <v>23.815999999999988</v>
      </c>
      <c r="D168">
        <v>0</v>
      </c>
      <c r="E168">
        <v>0</v>
      </c>
      <c r="F168">
        <v>0</v>
      </c>
      <c r="G168">
        <v>-7.8390000102200004</v>
      </c>
      <c r="H168">
        <v>3.6999999999999027E-2</v>
      </c>
      <c r="I168">
        <v>0</v>
      </c>
      <c r="J168">
        <v>-0.96999999999752617</v>
      </c>
      <c r="K168">
        <v>-52.74959999999988</v>
      </c>
      <c r="L168">
        <v>0</v>
      </c>
      <c r="M168">
        <v>80.576000000000022</v>
      </c>
      <c r="N168">
        <v>0</v>
      </c>
      <c r="O168">
        <v>0.78940001022253625</v>
      </c>
      <c r="P168">
        <v>43283.083099875468</v>
      </c>
    </row>
    <row r="169" spans="1:16" x14ac:dyDescent="0.25">
      <c r="A169" s="10">
        <v>37867</v>
      </c>
      <c r="B169">
        <v>-19.257000000005071</v>
      </c>
      <c r="C169">
        <v>10.955</v>
      </c>
      <c r="D169">
        <v>0</v>
      </c>
      <c r="E169">
        <v>0</v>
      </c>
      <c r="F169">
        <v>0</v>
      </c>
      <c r="G169">
        <v>8.7916137073940028</v>
      </c>
      <c r="H169">
        <v>5.4629999999999939</v>
      </c>
      <c r="I169">
        <v>0</v>
      </c>
      <c r="J169">
        <v>-8.000000000174623E-2</v>
      </c>
      <c r="K169">
        <v>0.38030000000000003</v>
      </c>
      <c r="L169">
        <v>-71.4137015173105</v>
      </c>
      <c r="M169">
        <v>26.52599999999984</v>
      </c>
      <c r="N169">
        <v>0</v>
      </c>
      <c r="O169">
        <v>0.1207878099133467</v>
      </c>
      <c r="P169">
        <v>43237.057469858177</v>
      </c>
    </row>
    <row r="170" spans="1:16" x14ac:dyDescent="0.25">
      <c r="A170" s="10">
        <v>37868</v>
      </c>
      <c r="B170">
        <v>-17.710999999995689</v>
      </c>
      <c r="C170">
        <v>-0.66399999999999437</v>
      </c>
      <c r="D170">
        <v>0</v>
      </c>
      <c r="E170">
        <v>0</v>
      </c>
      <c r="F170">
        <v>0</v>
      </c>
      <c r="G170">
        <v>13.748019421512</v>
      </c>
      <c r="H170">
        <v>-1.4969999999999859</v>
      </c>
      <c r="I170">
        <v>0</v>
      </c>
      <c r="J170">
        <v>0</v>
      </c>
      <c r="K170">
        <v>0.379799</v>
      </c>
      <c r="L170">
        <v>1.8089999999999999</v>
      </c>
      <c r="M170">
        <v>35.358000000000168</v>
      </c>
      <c r="N170">
        <v>0</v>
      </c>
      <c r="O170">
        <v>-66.844818421507881</v>
      </c>
      <c r="P170">
        <v>43183.746074210911</v>
      </c>
    </row>
    <row r="171" spans="1:16" x14ac:dyDescent="0.25">
      <c r="A171" s="10">
        <v>37869</v>
      </c>
      <c r="B171">
        <v>29.495000000002619</v>
      </c>
      <c r="C171">
        <v>26.545999999999999</v>
      </c>
      <c r="D171">
        <v>0</v>
      </c>
      <c r="E171">
        <v>0</v>
      </c>
      <c r="F171">
        <v>0</v>
      </c>
      <c r="G171">
        <v>-6.8298342146169979</v>
      </c>
      <c r="H171">
        <v>-0.99799999999996203</v>
      </c>
      <c r="I171">
        <v>0</v>
      </c>
      <c r="J171">
        <v>0</v>
      </c>
      <c r="K171">
        <v>0.38</v>
      </c>
      <c r="L171">
        <v>6.3023608538937301</v>
      </c>
      <c r="M171">
        <v>34.226999999999862</v>
      </c>
      <c r="N171">
        <v>0</v>
      </c>
      <c r="O171">
        <v>-30.132526639274008</v>
      </c>
      <c r="P171">
        <v>43178.771128803652</v>
      </c>
    </row>
    <row r="172" spans="1:16" x14ac:dyDescent="0.25">
      <c r="A172" s="10">
        <v>37872</v>
      </c>
      <c r="B172">
        <v>38.356999999996333</v>
      </c>
      <c r="C172">
        <v>4.0990000000000038</v>
      </c>
      <c r="D172">
        <v>0</v>
      </c>
      <c r="E172">
        <v>0</v>
      </c>
      <c r="F172">
        <v>0</v>
      </c>
      <c r="G172">
        <v>4.3695837965800024</v>
      </c>
      <c r="H172">
        <v>-0.79599999999999227</v>
      </c>
      <c r="I172">
        <v>0</v>
      </c>
      <c r="J172">
        <v>0</v>
      </c>
      <c r="K172">
        <v>0.98</v>
      </c>
      <c r="L172">
        <v>0</v>
      </c>
      <c r="M172">
        <v>29.77599999999984</v>
      </c>
      <c r="N172">
        <v>0</v>
      </c>
      <c r="O172">
        <v>-7.1583796583524872E-2</v>
      </c>
      <c r="P172">
        <v>43187.109313576373</v>
      </c>
    </row>
    <row r="173" spans="1:16" x14ac:dyDescent="0.25">
      <c r="A173" s="10">
        <v>37873</v>
      </c>
      <c r="B173">
        <v>105.4830000000002</v>
      </c>
      <c r="C173">
        <v>-4.0240000000000009</v>
      </c>
      <c r="D173">
        <v>0</v>
      </c>
      <c r="E173">
        <v>0</v>
      </c>
      <c r="F173">
        <v>0</v>
      </c>
      <c r="G173">
        <v>-2.371</v>
      </c>
      <c r="H173">
        <v>-0.51312399999996927</v>
      </c>
      <c r="I173">
        <v>0</v>
      </c>
      <c r="J173">
        <v>0</v>
      </c>
      <c r="K173">
        <v>0.36309999999999998</v>
      </c>
      <c r="L173">
        <v>0</v>
      </c>
      <c r="M173">
        <v>40.855000000000473</v>
      </c>
      <c r="N173">
        <v>0</v>
      </c>
      <c r="O173">
        <v>71.173023999999671</v>
      </c>
      <c r="P173">
        <v>43251.494491019097</v>
      </c>
    </row>
    <row r="174" spans="1:16" x14ac:dyDescent="0.25">
      <c r="A174" s="10">
        <v>37874</v>
      </c>
      <c r="B174">
        <v>-29.812000000005359</v>
      </c>
      <c r="C174">
        <v>2.7129999999999939</v>
      </c>
      <c r="D174">
        <v>0</v>
      </c>
      <c r="E174">
        <v>0</v>
      </c>
      <c r="F174">
        <v>0</v>
      </c>
      <c r="G174">
        <v>-5.7285631251759996</v>
      </c>
      <c r="H174">
        <v>2.306000000000012</v>
      </c>
      <c r="I174">
        <v>0</v>
      </c>
      <c r="J174">
        <v>0</v>
      </c>
      <c r="K174">
        <v>0.39308799999999999</v>
      </c>
      <c r="L174">
        <v>-86.470262330104404</v>
      </c>
      <c r="M174">
        <v>56.591000000000349</v>
      </c>
      <c r="N174">
        <v>0</v>
      </c>
      <c r="O174">
        <v>0.38373745527469499</v>
      </c>
      <c r="P174">
        <v>43164.84891123182</v>
      </c>
    </row>
    <row r="175" spans="1:16" x14ac:dyDescent="0.25">
      <c r="A175" s="10">
        <v>37875</v>
      </c>
      <c r="B175">
        <v>-659.03199999999833</v>
      </c>
      <c r="C175">
        <v>4.8000000000000114</v>
      </c>
      <c r="D175">
        <v>-5699.9999999906468</v>
      </c>
      <c r="E175">
        <v>4999.9999999906468</v>
      </c>
      <c r="F175">
        <v>0</v>
      </c>
      <c r="G175">
        <v>-6.1996872249810622</v>
      </c>
      <c r="H175">
        <v>0.59399999999999409</v>
      </c>
      <c r="I175">
        <v>0</v>
      </c>
      <c r="J175">
        <v>0</v>
      </c>
      <c r="K175">
        <v>0.39303199999999999</v>
      </c>
      <c r="L175">
        <v>0</v>
      </c>
      <c r="M175">
        <v>42.195999999999913</v>
      </c>
      <c r="N175">
        <v>0</v>
      </c>
      <c r="O175">
        <v>-0.81534477501734282</v>
      </c>
      <c r="P175">
        <v>42463.377221024552</v>
      </c>
    </row>
    <row r="176" spans="1:16" x14ac:dyDescent="0.25">
      <c r="A176" s="10">
        <v>37876</v>
      </c>
      <c r="B176">
        <v>-54.156999999999456</v>
      </c>
      <c r="C176">
        <v>-19.896000000000001</v>
      </c>
      <c r="D176">
        <v>-180</v>
      </c>
      <c r="E176">
        <v>0</v>
      </c>
      <c r="F176">
        <v>0</v>
      </c>
      <c r="G176">
        <v>11.171999991924</v>
      </c>
      <c r="H176">
        <v>-1.0000000000047751E-3</v>
      </c>
      <c r="I176">
        <v>0</v>
      </c>
      <c r="J176">
        <v>-4.0000000000873108E-2</v>
      </c>
      <c r="K176">
        <v>0.27399999999988178</v>
      </c>
      <c r="L176">
        <v>114.33324025346499</v>
      </c>
      <c r="M176">
        <v>20.6909999999998</v>
      </c>
      <c r="N176">
        <v>0</v>
      </c>
      <c r="O176">
        <v>-0.69024024538725259</v>
      </c>
      <c r="P176">
        <v>42388.285813737282</v>
      </c>
    </row>
    <row r="177" spans="1:16" x14ac:dyDescent="0.25">
      <c r="A177" s="10">
        <v>37879</v>
      </c>
      <c r="B177">
        <v>49.648000000001048</v>
      </c>
      <c r="C177">
        <v>1.743999999999986</v>
      </c>
      <c r="D177">
        <v>0</v>
      </c>
      <c r="E177">
        <v>0</v>
      </c>
      <c r="F177">
        <v>0</v>
      </c>
      <c r="G177">
        <v>1.7759999999999989</v>
      </c>
      <c r="H177">
        <v>-3.5949999999999922</v>
      </c>
      <c r="I177">
        <v>0</v>
      </c>
      <c r="J177">
        <v>0</v>
      </c>
      <c r="K177">
        <v>1.0768850000000001</v>
      </c>
      <c r="L177">
        <v>0</v>
      </c>
      <c r="M177">
        <v>21.247999999999589</v>
      </c>
      <c r="N177">
        <v>0</v>
      </c>
      <c r="O177">
        <v>27.398115000001461</v>
      </c>
      <c r="P177">
        <v>42416.442558010007</v>
      </c>
    </row>
    <row r="178" spans="1:16" x14ac:dyDescent="0.25">
      <c r="A178" s="10">
        <v>37880</v>
      </c>
      <c r="B178">
        <v>16.860000000000579</v>
      </c>
      <c r="C178">
        <v>-1.1510000000000029</v>
      </c>
      <c r="D178">
        <v>0</v>
      </c>
      <c r="E178">
        <v>0</v>
      </c>
      <c r="F178">
        <v>0</v>
      </c>
      <c r="G178">
        <v>-16.964000000681999</v>
      </c>
      <c r="H178">
        <v>1.0140000000000029</v>
      </c>
      <c r="I178">
        <v>0</v>
      </c>
      <c r="J178">
        <v>0</v>
      </c>
      <c r="K178">
        <v>0.41339999999999999</v>
      </c>
      <c r="L178">
        <v>0</v>
      </c>
      <c r="M178">
        <v>32.787999999999563</v>
      </c>
      <c r="N178">
        <v>0</v>
      </c>
      <c r="O178">
        <v>0.75960000068302447</v>
      </c>
      <c r="P178">
        <v>42400.270645952733</v>
      </c>
    </row>
    <row r="179" spans="1:16" x14ac:dyDescent="0.25">
      <c r="A179" s="10">
        <v>37881</v>
      </c>
      <c r="B179">
        <v>-27.572999999996689</v>
      </c>
      <c r="C179">
        <v>13.231999999999999</v>
      </c>
      <c r="D179">
        <v>0</v>
      </c>
      <c r="E179">
        <v>0</v>
      </c>
      <c r="F179">
        <v>0</v>
      </c>
      <c r="G179">
        <v>-99.988760279229993</v>
      </c>
      <c r="H179">
        <v>-2.0240000000000009</v>
      </c>
      <c r="I179">
        <v>0</v>
      </c>
      <c r="J179">
        <v>0</v>
      </c>
      <c r="K179">
        <v>0.393345</v>
      </c>
      <c r="L179">
        <v>41.317276109413299</v>
      </c>
      <c r="M179">
        <v>20.557000000000698</v>
      </c>
      <c r="N179">
        <v>0</v>
      </c>
      <c r="O179">
        <v>-1.0598608301806931</v>
      </c>
      <c r="P179">
        <v>42351.897956905457</v>
      </c>
    </row>
    <row r="180" spans="1:16" x14ac:dyDescent="0.25">
      <c r="A180" s="10">
        <v>37882</v>
      </c>
      <c r="B180">
        <v>91.960999999995693</v>
      </c>
      <c r="C180">
        <v>3.4969999999999999</v>
      </c>
      <c r="D180">
        <v>0</v>
      </c>
      <c r="E180">
        <v>0</v>
      </c>
      <c r="F180">
        <v>0</v>
      </c>
      <c r="G180">
        <v>26.838714668752999</v>
      </c>
      <c r="H180">
        <v>-3.0000000000072191E-3</v>
      </c>
      <c r="I180">
        <v>0</v>
      </c>
      <c r="J180">
        <v>0</v>
      </c>
      <c r="K180">
        <v>0.38333089999999997</v>
      </c>
      <c r="L180">
        <v>0</v>
      </c>
      <c r="M180">
        <v>39.188000000000102</v>
      </c>
      <c r="N180">
        <v>0</v>
      </c>
      <c r="O180">
        <v>22.056954431242591</v>
      </c>
      <c r="P180">
        <v>42404.427489608192</v>
      </c>
    </row>
    <row r="181" spans="1:16" x14ac:dyDescent="0.25">
      <c r="A181" s="10">
        <v>37883</v>
      </c>
      <c r="B181">
        <v>179.17400000000629</v>
      </c>
      <c r="C181">
        <v>14.849999999999991</v>
      </c>
      <c r="D181">
        <v>-75</v>
      </c>
      <c r="E181">
        <v>75</v>
      </c>
      <c r="F181">
        <v>0</v>
      </c>
      <c r="G181">
        <v>96.62151382399</v>
      </c>
      <c r="H181">
        <v>-1.4210854715202001E-14</v>
      </c>
      <c r="I181">
        <v>0</v>
      </c>
      <c r="J181">
        <v>0</v>
      </c>
      <c r="K181">
        <v>0.38333829000000003</v>
      </c>
      <c r="L181">
        <v>38.138451472092719</v>
      </c>
      <c r="M181">
        <v>29.583999999999829</v>
      </c>
      <c r="N181">
        <v>0</v>
      </c>
      <c r="O181">
        <v>-0.40330358607619698</v>
      </c>
      <c r="P181">
        <v>42553.772670430917</v>
      </c>
    </row>
    <row r="182" spans="1:16" x14ac:dyDescent="0.25">
      <c r="A182" s="10">
        <v>37886</v>
      </c>
      <c r="B182">
        <v>8.8259999999936518</v>
      </c>
      <c r="C182">
        <v>13.250999999999999</v>
      </c>
      <c r="D182">
        <v>-39.89029</v>
      </c>
      <c r="E182">
        <v>0</v>
      </c>
      <c r="F182">
        <v>0</v>
      </c>
      <c r="G182">
        <v>6.7712899974659919</v>
      </c>
      <c r="H182">
        <v>0</v>
      </c>
      <c r="I182">
        <v>0</v>
      </c>
      <c r="J182">
        <v>0</v>
      </c>
      <c r="K182">
        <v>1.0503290000000001</v>
      </c>
      <c r="L182">
        <v>3.6659999999999999</v>
      </c>
      <c r="M182">
        <v>26.454999999999931</v>
      </c>
      <c r="N182">
        <v>0</v>
      </c>
      <c r="O182">
        <v>-2.477328997472275</v>
      </c>
      <c r="P182">
        <v>42534.87347008365</v>
      </c>
    </row>
    <row r="183" spans="1:16" x14ac:dyDescent="0.25">
      <c r="A183" s="10">
        <v>37887</v>
      </c>
      <c r="B183">
        <v>26.415000000000472</v>
      </c>
      <c r="C183">
        <v>17.184999999999999</v>
      </c>
      <c r="D183">
        <v>0</v>
      </c>
      <c r="E183">
        <v>0</v>
      </c>
      <c r="F183">
        <v>0</v>
      </c>
      <c r="G183">
        <v>-8.9710403156914253</v>
      </c>
      <c r="H183">
        <v>-4.9999999999812417E-3</v>
      </c>
      <c r="I183">
        <v>0</v>
      </c>
      <c r="J183">
        <v>0</v>
      </c>
      <c r="K183">
        <v>0.36344328999999997</v>
      </c>
      <c r="L183">
        <v>0</v>
      </c>
      <c r="M183">
        <v>14.904000000000449</v>
      </c>
      <c r="N183">
        <v>0</v>
      </c>
      <c r="O183">
        <v>2.938597025691426</v>
      </c>
      <c r="P183">
        <v>42545.987489356368</v>
      </c>
    </row>
    <row r="184" spans="1:16" x14ac:dyDescent="0.25">
      <c r="A184" s="10">
        <v>37888</v>
      </c>
      <c r="B184">
        <v>-45.432000000000698</v>
      </c>
      <c r="C184">
        <v>2.0769999999999982</v>
      </c>
      <c r="D184">
        <v>0</v>
      </c>
      <c r="E184">
        <v>0</v>
      </c>
      <c r="F184">
        <v>0</v>
      </c>
      <c r="G184">
        <v>4.1304314503040116</v>
      </c>
      <c r="H184">
        <v>-4.9999999999954534E-3</v>
      </c>
      <c r="I184">
        <v>0</v>
      </c>
      <c r="J184">
        <v>0</v>
      </c>
      <c r="K184">
        <v>0.38344400000000001</v>
      </c>
      <c r="L184">
        <v>-123.880584534882</v>
      </c>
      <c r="M184">
        <v>64.532999999999447</v>
      </c>
      <c r="N184">
        <v>0</v>
      </c>
      <c r="O184">
        <v>7.3297090845778428</v>
      </c>
      <c r="P184">
        <v>42435.9334403291</v>
      </c>
    </row>
    <row r="185" spans="1:16" x14ac:dyDescent="0.25">
      <c r="A185" s="10">
        <v>37889</v>
      </c>
      <c r="B185">
        <v>58.952000000004773</v>
      </c>
      <c r="C185">
        <v>25.599999999999991</v>
      </c>
      <c r="D185">
        <v>0</v>
      </c>
      <c r="E185">
        <v>0</v>
      </c>
      <c r="F185">
        <v>0</v>
      </c>
      <c r="G185">
        <v>7.3662542971090028</v>
      </c>
      <c r="H185">
        <v>-0.1080000000000112</v>
      </c>
      <c r="I185">
        <v>0</v>
      </c>
      <c r="J185">
        <v>0</v>
      </c>
      <c r="K185">
        <v>0.4</v>
      </c>
      <c r="L185">
        <v>0.90814499999999998</v>
      </c>
      <c r="M185">
        <v>23.84300000000076</v>
      </c>
      <c r="N185">
        <v>0</v>
      </c>
      <c r="O185">
        <v>0.94260070289503517</v>
      </c>
      <c r="P185">
        <v>42470.798863331831</v>
      </c>
    </row>
    <row r="186" spans="1:16" x14ac:dyDescent="0.25">
      <c r="A186" s="10">
        <v>37890</v>
      </c>
      <c r="B186">
        <v>-119.6059999999998</v>
      </c>
      <c r="C186">
        <v>-6.4259999999999877</v>
      </c>
      <c r="D186">
        <v>0</v>
      </c>
      <c r="E186">
        <v>0</v>
      </c>
      <c r="F186">
        <v>0</v>
      </c>
      <c r="G186">
        <v>-6.0176369528999771</v>
      </c>
      <c r="H186">
        <v>-3.3999999999991808E-2</v>
      </c>
      <c r="I186">
        <v>0</v>
      </c>
      <c r="J186">
        <v>-1.700000000000728</v>
      </c>
      <c r="K186">
        <v>0.39400000000000002</v>
      </c>
      <c r="L186">
        <v>-156.87874307773501</v>
      </c>
      <c r="M186">
        <v>43.384000000000007</v>
      </c>
      <c r="N186">
        <v>0</v>
      </c>
      <c r="O186">
        <v>7.6723800306359067</v>
      </c>
      <c r="P186">
        <v>42307.566949134547</v>
      </c>
    </row>
    <row r="187" spans="1:16" x14ac:dyDescent="0.25">
      <c r="A187" s="10">
        <v>37893</v>
      </c>
      <c r="B187">
        <v>125.6830000000009</v>
      </c>
      <c r="C187">
        <v>41.823000000000008</v>
      </c>
      <c r="D187">
        <v>0</v>
      </c>
      <c r="E187">
        <v>0</v>
      </c>
      <c r="F187">
        <v>0</v>
      </c>
      <c r="G187">
        <v>-13.538103650000011</v>
      </c>
      <c r="H187">
        <v>-1.400000000001711E-2</v>
      </c>
      <c r="I187">
        <v>0</v>
      </c>
      <c r="J187">
        <v>-3.9999999997235143E-2</v>
      </c>
      <c r="K187">
        <v>1.282</v>
      </c>
      <c r="L187">
        <v>0</v>
      </c>
      <c r="M187">
        <v>97.705999999999221</v>
      </c>
      <c r="N187">
        <v>0</v>
      </c>
      <c r="O187">
        <v>-1.5358963500010669</v>
      </c>
      <c r="P187">
        <v>42335.301382897283</v>
      </c>
    </row>
    <row r="188" spans="1:16" x14ac:dyDescent="0.25">
      <c r="A188" s="10">
        <v>37894</v>
      </c>
      <c r="B188">
        <v>753.62599999999657</v>
      </c>
      <c r="C188">
        <v>37.03</v>
      </c>
      <c r="D188">
        <v>5341.0000012446853</v>
      </c>
      <c r="E188">
        <v>-4641.0000012446853</v>
      </c>
      <c r="F188">
        <v>0</v>
      </c>
      <c r="G188">
        <v>3.1074948556452</v>
      </c>
      <c r="H188">
        <v>0.15100000000001759</v>
      </c>
      <c r="I188">
        <v>0</v>
      </c>
      <c r="J188">
        <v>0</v>
      </c>
      <c r="K188">
        <v>0.4</v>
      </c>
      <c r="L188">
        <v>0</v>
      </c>
      <c r="M188">
        <v>19.077000000000229</v>
      </c>
      <c r="N188">
        <v>0</v>
      </c>
      <c r="O188">
        <v>-6.1394948556486177</v>
      </c>
      <c r="P188">
        <v>43069.606778169997</v>
      </c>
    </row>
    <row r="189" spans="1:16" x14ac:dyDescent="0.25">
      <c r="A189" s="10">
        <v>37895</v>
      </c>
      <c r="B189">
        <v>540.8570000000035</v>
      </c>
      <c r="C189">
        <v>28.305</v>
      </c>
      <c r="D189">
        <v>549.88790000000006</v>
      </c>
      <c r="E189">
        <v>0</v>
      </c>
      <c r="F189">
        <v>0</v>
      </c>
      <c r="G189">
        <v>37.105887171609879</v>
      </c>
      <c r="H189">
        <v>4.0124240000001521</v>
      </c>
      <c r="I189">
        <v>0</v>
      </c>
      <c r="J189">
        <v>-6.9999999999708962E-2</v>
      </c>
      <c r="K189">
        <v>0.49530000000000002</v>
      </c>
      <c r="L189">
        <v>-119.333595253463</v>
      </c>
      <c r="M189">
        <v>31.243999999999691</v>
      </c>
      <c r="N189">
        <v>0</v>
      </c>
      <c r="O189">
        <v>9.2100840818564613</v>
      </c>
      <c r="P189">
        <v>43578.377167930907</v>
      </c>
    </row>
    <row r="190" spans="1:16" x14ac:dyDescent="0.25">
      <c r="A190" s="10">
        <v>37896</v>
      </c>
      <c r="B190">
        <v>-24.61900000000605</v>
      </c>
      <c r="C190">
        <v>21.818000000000001</v>
      </c>
      <c r="D190">
        <v>0</v>
      </c>
      <c r="E190">
        <v>0</v>
      </c>
      <c r="F190">
        <v>0</v>
      </c>
      <c r="G190">
        <v>-3.0020741305458012</v>
      </c>
      <c r="H190">
        <v>-3.179000000000002</v>
      </c>
      <c r="I190">
        <v>0</v>
      </c>
      <c r="J190">
        <v>-0.65000000000145519</v>
      </c>
      <c r="K190">
        <v>-56.575999999999993</v>
      </c>
      <c r="L190">
        <v>0</v>
      </c>
      <c r="M190">
        <v>15.532999999999451</v>
      </c>
      <c r="N190">
        <v>0</v>
      </c>
      <c r="O190">
        <v>1.4370741305417509</v>
      </c>
      <c r="P190">
        <v>43537.376934521817</v>
      </c>
    </row>
    <row r="191" spans="1:16" x14ac:dyDescent="0.25">
      <c r="A191" s="10">
        <v>37897</v>
      </c>
      <c r="B191">
        <v>43.594000000004598</v>
      </c>
      <c r="C191">
        <v>29.704999999999991</v>
      </c>
      <c r="D191">
        <v>0</v>
      </c>
      <c r="E191">
        <v>0</v>
      </c>
      <c r="F191">
        <v>0</v>
      </c>
      <c r="G191">
        <v>5.6160978779479986</v>
      </c>
      <c r="H191">
        <v>-1.027000000000001</v>
      </c>
      <c r="I191">
        <v>0</v>
      </c>
      <c r="J191">
        <v>0</v>
      </c>
      <c r="K191">
        <v>0.39395060999999998</v>
      </c>
      <c r="L191">
        <v>-36.818079999999988</v>
      </c>
      <c r="M191">
        <v>48.830999999999221</v>
      </c>
      <c r="N191">
        <v>0</v>
      </c>
      <c r="O191">
        <v>-3.1069684879426132</v>
      </c>
      <c r="P191">
        <v>43531.240660852731</v>
      </c>
    </row>
    <row r="192" spans="1:16" x14ac:dyDescent="0.25">
      <c r="A192" s="10">
        <v>37900</v>
      </c>
      <c r="B192">
        <v>11.20081499999651</v>
      </c>
      <c r="C192">
        <v>56.710999999999999</v>
      </c>
      <c r="D192">
        <v>0</v>
      </c>
      <c r="E192">
        <v>0</v>
      </c>
      <c r="F192">
        <v>0</v>
      </c>
      <c r="G192">
        <v>-35.497143370064002</v>
      </c>
      <c r="H192">
        <v>2.49799999999999</v>
      </c>
      <c r="I192">
        <v>0</v>
      </c>
      <c r="J192">
        <v>0</v>
      </c>
      <c r="K192">
        <v>1.2550732099999999</v>
      </c>
      <c r="L192">
        <v>0</v>
      </c>
      <c r="M192">
        <v>16.11200000000008</v>
      </c>
      <c r="N192">
        <v>0</v>
      </c>
      <c r="O192">
        <v>-29.87811483993956</v>
      </c>
      <c r="P192">
        <v>43525.42940544364</v>
      </c>
    </row>
    <row r="193" spans="1:16" x14ac:dyDescent="0.25">
      <c r="A193" s="10">
        <v>37901</v>
      </c>
      <c r="B193">
        <v>95.58518500000352</v>
      </c>
      <c r="C193">
        <v>66.16</v>
      </c>
      <c r="D193">
        <v>237</v>
      </c>
      <c r="E193">
        <v>-237</v>
      </c>
      <c r="F193">
        <v>0</v>
      </c>
      <c r="G193">
        <v>-5.6521052905460181</v>
      </c>
      <c r="H193">
        <v>-1.1339999999999859</v>
      </c>
      <c r="I193">
        <v>0</v>
      </c>
      <c r="J193">
        <v>0</v>
      </c>
      <c r="K193">
        <v>0.4</v>
      </c>
      <c r="L193">
        <v>0</v>
      </c>
      <c r="M193">
        <v>16.387000000000629</v>
      </c>
      <c r="N193">
        <v>0</v>
      </c>
      <c r="O193">
        <v>19.424290290548921</v>
      </c>
      <c r="P193">
        <v>43603.728939854547</v>
      </c>
    </row>
    <row r="194" spans="1:16" x14ac:dyDescent="0.25">
      <c r="A194" s="10">
        <v>37902</v>
      </c>
      <c r="B194">
        <v>114.948000000004</v>
      </c>
      <c r="C194">
        <v>49.317999999999998</v>
      </c>
      <c r="D194">
        <v>0</v>
      </c>
      <c r="E194">
        <v>0</v>
      </c>
      <c r="F194">
        <v>0</v>
      </c>
      <c r="G194">
        <v>5.6633232121350003</v>
      </c>
      <c r="H194">
        <v>0.13199999999997661</v>
      </c>
      <c r="I194">
        <v>0</v>
      </c>
      <c r="J194">
        <v>0</v>
      </c>
      <c r="K194">
        <v>0.38700000000000001</v>
      </c>
      <c r="L194">
        <v>-24.164540531162601</v>
      </c>
      <c r="M194">
        <v>81.769000000001142</v>
      </c>
      <c r="N194">
        <v>0</v>
      </c>
      <c r="O194">
        <v>1.8432173190304411</v>
      </c>
      <c r="P194">
        <v>43633.926996795468</v>
      </c>
    </row>
    <row r="195" spans="1:16" x14ac:dyDescent="0.25">
      <c r="A195" s="10">
        <v>37903</v>
      </c>
      <c r="B195">
        <v>104.5639999999985</v>
      </c>
      <c r="C195">
        <v>65.825999999999993</v>
      </c>
      <c r="D195">
        <v>0</v>
      </c>
      <c r="E195">
        <v>0</v>
      </c>
      <c r="F195">
        <v>0</v>
      </c>
      <c r="G195">
        <v>2.5540571723559959</v>
      </c>
      <c r="H195">
        <v>1.0120000000000151</v>
      </c>
      <c r="I195">
        <v>0</v>
      </c>
      <c r="J195">
        <v>0</v>
      </c>
      <c r="K195">
        <v>0.4</v>
      </c>
      <c r="L195">
        <v>2.9204150000000002</v>
      </c>
      <c r="M195">
        <v>33.855999999999767</v>
      </c>
      <c r="N195">
        <v>0</v>
      </c>
      <c r="O195">
        <v>-2.0044721723572989</v>
      </c>
      <c r="P195">
        <v>43703.712207286371</v>
      </c>
    </row>
    <row r="196" spans="1:16" x14ac:dyDescent="0.25">
      <c r="A196" s="10">
        <v>37904</v>
      </c>
      <c r="B196">
        <v>71.996999999995751</v>
      </c>
      <c r="C196">
        <v>49.874000000000009</v>
      </c>
      <c r="D196">
        <v>0</v>
      </c>
      <c r="E196">
        <v>0</v>
      </c>
      <c r="F196">
        <v>0</v>
      </c>
      <c r="G196">
        <v>-0.7798376673030134</v>
      </c>
      <c r="H196">
        <v>-1.0439999999999829</v>
      </c>
      <c r="I196">
        <v>0</v>
      </c>
      <c r="J196">
        <v>-2.999999999883585E-2</v>
      </c>
      <c r="K196">
        <v>0.23399999999991819</v>
      </c>
      <c r="L196">
        <v>-29.474268303233298</v>
      </c>
      <c r="M196">
        <v>37.902000000000037</v>
      </c>
      <c r="N196">
        <v>0</v>
      </c>
      <c r="O196">
        <v>15.315105970530899</v>
      </c>
      <c r="P196">
        <v>43734.017346057277</v>
      </c>
    </row>
    <row r="197" spans="1:16" x14ac:dyDescent="0.25">
      <c r="A197" s="10">
        <v>37908</v>
      </c>
      <c r="B197">
        <v>-98.383999999998196</v>
      </c>
      <c r="C197">
        <v>75.449000000000012</v>
      </c>
      <c r="D197">
        <v>0</v>
      </c>
      <c r="E197">
        <v>0</v>
      </c>
      <c r="F197">
        <v>0</v>
      </c>
      <c r="G197">
        <v>-187.56659038000001</v>
      </c>
      <c r="H197">
        <v>1.898000000000003</v>
      </c>
      <c r="I197">
        <v>0</v>
      </c>
      <c r="J197">
        <v>0</v>
      </c>
      <c r="K197">
        <v>1.5018278700000549</v>
      </c>
      <c r="L197">
        <v>0</v>
      </c>
      <c r="M197">
        <v>31.20299999999952</v>
      </c>
      <c r="N197">
        <v>0</v>
      </c>
      <c r="O197">
        <v>-20.869237489997769</v>
      </c>
      <c r="P197">
        <v>43603.487200428193</v>
      </c>
    </row>
    <row r="198" spans="1:16" x14ac:dyDescent="0.25">
      <c r="A198" s="10">
        <v>37909</v>
      </c>
      <c r="B198">
        <v>150.07499999999351</v>
      </c>
      <c r="C198">
        <v>68.368000000000009</v>
      </c>
      <c r="D198">
        <v>230.1</v>
      </c>
      <c r="E198">
        <v>-250</v>
      </c>
      <c r="F198">
        <v>0</v>
      </c>
      <c r="G198">
        <v>161.02661460796401</v>
      </c>
      <c r="H198">
        <v>-1.845999999999989</v>
      </c>
      <c r="I198">
        <v>0</v>
      </c>
      <c r="J198">
        <v>-3.0000000002473829E-2</v>
      </c>
      <c r="K198">
        <v>0.37534000000000911</v>
      </c>
      <c r="L198">
        <v>-79.490683184588704</v>
      </c>
      <c r="M198">
        <v>20.719000000000051</v>
      </c>
      <c r="N198">
        <v>0</v>
      </c>
      <c r="O198">
        <v>0.85272857662060919</v>
      </c>
      <c r="P198">
        <v>43731.907349019093</v>
      </c>
    </row>
    <row r="199" spans="1:16" x14ac:dyDescent="0.25">
      <c r="A199" s="10">
        <v>37910</v>
      </c>
      <c r="B199">
        <v>88.369000000006054</v>
      </c>
      <c r="C199">
        <v>33.875</v>
      </c>
      <c r="D199">
        <v>0</v>
      </c>
      <c r="E199">
        <v>0</v>
      </c>
      <c r="F199">
        <v>0</v>
      </c>
      <c r="G199">
        <v>-0.56847533775499703</v>
      </c>
      <c r="H199">
        <v>4.5109999999999886</v>
      </c>
      <c r="I199">
        <v>0</v>
      </c>
      <c r="J199">
        <v>-2.999999999883585E-2</v>
      </c>
      <c r="K199">
        <v>0.46881200000000911</v>
      </c>
      <c r="L199">
        <v>1.9485399999999999</v>
      </c>
      <c r="M199">
        <v>45.845000000000248</v>
      </c>
      <c r="N199">
        <v>0</v>
      </c>
      <c r="O199">
        <v>2.319123337759629</v>
      </c>
      <c r="P199">
        <v>43773.490446500007</v>
      </c>
    </row>
    <row r="200" spans="1:16" x14ac:dyDescent="0.25">
      <c r="A200" s="10">
        <v>37911</v>
      </c>
      <c r="B200">
        <v>77.525999999998021</v>
      </c>
      <c r="C200">
        <v>46.142000000000003</v>
      </c>
      <c r="D200">
        <v>0</v>
      </c>
      <c r="E200">
        <v>0</v>
      </c>
      <c r="F200">
        <v>0</v>
      </c>
      <c r="G200">
        <v>9.2359632800619949</v>
      </c>
      <c r="H200">
        <v>4.0999999999996817E-2</v>
      </c>
      <c r="I200">
        <v>0</v>
      </c>
      <c r="J200">
        <v>0</v>
      </c>
      <c r="K200">
        <v>0.37836639</v>
      </c>
      <c r="L200">
        <v>-7.99674</v>
      </c>
      <c r="M200">
        <v>30.356999999999971</v>
      </c>
      <c r="N200">
        <v>0</v>
      </c>
      <c r="O200">
        <v>-0.63158967006392741</v>
      </c>
      <c r="P200">
        <v>43819.73890886092</v>
      </c>
    </row>
    <row r="201" spans="1:16" x14ac:dyDescent="0.25">
      <c r="A201" s="10">
        <v>37914</v>
      </c>
      <c r="B201">
        <v>210.69410000000059</v>
      </c>
      <c r="C201">
        <v>116.075</v>
      </c>
      <c r="D201">
        <v>-19.9514</v>
      </c>
      <c r="E201">
        <v>0</v>
      </c>
      <c r="F201">
        <v>0</v>
      </c>
      <c r="G201">
        <v>38.753915582153986</v>
      </c>
      <c r="H201">
        <v>-6.0859999999999914</v>
      </c>
      <c r="I201">
        <v>0</v>
      </c>
      <c r="J201">
        <v>-2.999999999883585E-2</v>
      </c>
      <c r="K201">
        <v>1.135087</v>
      </c>
      <c r="L201">
        <v>0.97492699999999999</v>
      </c>
      <c r="M201">
        <v>82.064000000000306</v>
      </c>
      <c r="N201">
        <v>0</v>
      </c>
      <c r="O201">
        <v>-2.241429582154856</v>
      </c>
      <c r="P201">
        <v>43926.066226451832</v>
      </c>
    </row>
    <row r="202" spans="1:16" x14ac:dyDescent="0.25">
      <c r="A202" s="10">
        <v>37915</v>
      </c>
      <c r="B202">
        <v>110.3948999999993</v>
      </c>
      <c r="C202">
        <v>90.656000000000006</v>
      </c>
      <c r="D202">
        <v>0</v>
      </c>
      <c r="E202">
        <v>0</v>
      </c>
      <c r="F202">
        <v>0</v>
      </c>
      <c r="G202">
        <v>-69.95526885970402</v>
      </c>
      <c r="H202">
        <v>6.1999999999990507E-2</v>
      </c>
      <c r="I202">
        <v>0</v>
      </c>
      <c r="J202">
        <v>0</v>
      </c>
      <c r="K202">
        <v>0.35896649000004538</v>
      </c>
      <c r="L202">
        <v>0</v>
      </c>
      <c r="M202">
        <v>47.658000000000357</v>
      </c>
      <c r="N202">
        <v>0</v>
      </c>
      <c r="O202">
        <v>41.615202369702949</v>
      </c>
      <c r="P202">
        <v>43983.936895602732</v>
      </c>
    </row>
    <row r="203" spans="1:16" x14ac:dyDescent="0.25">
      <c r="A203" s="10">
        <v>37916</v>
      </c>
      <c r="B203">
        <v>98.768000000000029</v>
      </c>
      <c r="C203">
        <v>76.641999999999996</v>
      </c>
      <c r="D203">
        <v>0</v>
      </c>
      <c r="E203">
        <v>0</v>
      </c>
      <c r="F203">
        <v>0</v>
      </c>
      <c r="G203">
        <v>59.052016414870003</v>
      </c>
      <c r="H203">
        <v>-1.0000000000047751E-3</v>
      </c>
      <c r="I203">
        <v>0</v>
      </c>
      <c r="J203">
        <v>-3.0000000002473829E-2</v>
      </c>
      <c r="K203">
        <v>0.37896043000000001</v>
      </c>
      <c r="L203">
        <v>-75.277461875636803</v>
      </c>
      <c r="M203">
        <v>40.048000000000677</v>
      </c>
      <c r="N203">
        <v>0</v>
      </c>
      <c r="O203">
        <v>-2.044514969231372</v>
      </c>
      <c r="P203">
        <v>44041.686091943637</v>
      </c>
    </row>
    <row r="204" spans="1:16" x14ac:dyDescent="0.25">
      <c r="A204" s="10">
        <v>37917</v>
      </c>
      <c r="B204">
        <v>127.4949999999954</v>
      </c>
      <c r="C204">
        <v>74.50800000000001</v>
      </c>
      <c r="D204">
        <v>0</v>
      </c>
      <c r="E204">
        <v>0</v>
      </c>
      <c r="F204">
        <v>0</v>
      </c>
      <c r="G204">
        <v>-0.21887779042999911</v>
      </c>
      <c r="H204">
        <v>-6.1000000000007049E-2</v>
      </c>
      <c r="I204">
        <v>0</v>
      </c>
      <c r="J204">
        <v>0</v>
      </c>
      <c r="K204">
        <v>0.41901300000000002</v>
      </c>
      <c r="L204">
        <v>0</v>
      </c>
      <c r="M204">
        <v>51.584999999999127</v>
      </c>
      <c r="N204">
        <v>0</v>
      </c>
      <c r="O204">
        <v>1.2628647904262389</v>
      </c>
      <c r="P204">
        <v>44113.65316526455</v>
      </c>
    </row>
    <row r="205" spans="1:16" x14ac:dyDescent="0.25">
      <c r="A205" s="10">
        <v>37918</v>
      </c>
      <c r="B205">
        <v>112.244000000006</v>
      </c>
      <c r="C205">
        <v>95.305999999999997</v>
      </c>
      <c r="D205">
        <v>-1899.9999999955</v>
      </c>
      <c r="E205">
        <v>1899.9999999955</v>
      </c>
      <c r="F205">
        <v>0</v>
      </c>
      <c r="G205">
        <v>32.078684585720111</v>
      </c>
      <c r="H205">
        <v>2.4200000000000159</v>
      </c>
      <c r="I205">
        <v>0</v>
      </c>
      <c r="J205">
        <v>0</v>
      </c>
      <c r="K205">
        <v>0.37901870999999998</v>
      </c>
      <c r="L205">
        <v>-94.063342033538106</v>
      </c>
      <c r="M205">
        <v>74.479000000000269</v>
      </c>
      <c r="N205">
        <v>0</v>
      </c>
      <c r="O205">
        <v>1.6446387378237151</v>
      </c>
      <c r="P205">
        <v>44150.187872725473</v>
      </c>
    </row>
    <row r="206" spans="1:16" x14ac:dyDescent="0.25">
      <c r="A206" s="10">
        <v>37921</v>
      </c>
      <c r="B206">
        <v>121.14999999999419</v>
      </c>
      <c r="C206">
        <v>99.573000000000008</v>
      </c>
      <c r="D206">
        <v>0</v>
      </c>
      <c r="E206">
        <v>0</v>
      </c>
      <c r="F206">
        <v>0</v>
      </c>
      <c r="G206">
        <v>-34.257298082227997</v>
      </c>
      <c r="H206">
        <v>-0.11000000000002071</v>
      </c>
      <c r="I206">
        <v>0</v>
      </c>
      <c r="J206">
        <v>0</v>
      </c>
      <c r="K206">
        <v>1.28190165</v>
      </c>
      <c r="L206">
        <v>0</v>
      </c>
      <c r="M206">
        <v>53.505000000000109</v>
      </c>
      <c r="N206">
        <v>0</v>
      </c>
      <c r="O206">
        <v>1.157396432222088</v>
      </c>
      <c r="P206">
        <v>44216.39915044637</v>
      </c>
    </row>
    <row r="207" spans="1:16" x14ac:dyDescent="0.25">
      <c r="A207" s="10">
        <v>37922</v>
      </c>
      <c r="B207">
        <v>171.4419999999954</v>
      </c>
      <c r="C207">
        <v>100.855</v>
      </c>
      <c r="D207">
        <v>0</v>
      </c>
      <c r="E207">
        <v>0</v>
      </c>
      <c r="F207">
        <v>0</v>
      </c>
      <c r="G207">
        <v>45.108586250000002</v>
      </c>
      <c r="H207">
        <v>3.8039999999999878</v>
      </c>
      <c r="I207">
        <v>0</v>
      </c>
      <c r="J207">
        <v>-2.999999999883585E-2</v>
      </c>
      <c r="K207">
        <v>0.43064363999999999</v>
      </c>
      <c r="L207">
        <v>0</v>
      </c>
      <c r="M207">
        <v>22.045999999999371</v>
      </c>
      <c r="N207">
        <v>0</v>
      </c>
      <c r="O207">
        <v>-0.77222989000506237</v>
      </c>
      <c r="P207">
        <v>44364.727521447283</v>
      </c>
    </row>
    <row r="208" spans="1:16" x14ac:dyDescent="0.25">
      <c r="A208" s="10">
        <v>37923</v>
      </c>
      <c r="B208">
        <v>96.286000000007334</v>
      </c>
      <c r="C208">
        <v>99.13900000000001</v>
      </c>
      <c r="D208">
        <v>0</v>
      </c>
      <c r="E208">
        <v>0</v>
      </c>
      <c r="F208">
        <v>0</v>
      </c>
      <c r="G208">
        <v>-10.69982046</v>
      </c>
      <c r="H208">
        <v>-2.3300000000000409</v>
      </c>
      <c r="I208">
        <v>0</v>
      </c>
      <c r="J208">
        <v>-4.9999999999272397E-2</v>
      </c>
      <c r="K208">
        <v>0.48030598000000002</v>
      </c>
      <c r="L208">
        <v>-35.124618761217803</v>
      </c>
      <c r="M208">
        <v>14.805000000000289</v>
      </c>
      <c r="N208">
        <v>0</v>
      </c>
      <c r="O208">
        <v>30.066133241224151</v>
      </c>
      <c r="P208">
        <v>44444.624392648191</v>
      </c>
    </row>
    <row r="209" spans="1:16" x14ac:dyDescent="0.25">
      <c r="A209" s="10">
        <v>37924</v>
      </c>
      <c r="B209">
        <v>127.35300000000279</v>
      </c>
      <c r="C209">
        <v>101.197</v>
      </c>
      <c r="D209">
        <v>0</v>
      </c>
      <c r="E209">
        <v>0</v>
      </c>
      <c r="F209">
        <v>0</v>
      </c>
      <c r="G209">
        <v>12.815953033457999</v>
      </c>
      <c r="H209">
        <v>-3.8930000000000011</v>
      </c>
      <c r="I209">
        <v>0</v>
      </c>
      <c r="J209">
        <v>0</v>
      </c>
      <c r="K209">
        <v>0.48061939999999997</v>
      </c>
      <c r="L209">
        <v>1.9867619999999999</v>
      </c>
      <c r="M209">
        <v>12.40900000000056</v>
      </c>
      <c r="N209">
        <v>0</v>
      </c>
      <c r="O209">
        <v>2.3566655665442369</v>
      </c>
      <c r="P209">
        <v>44557.885357839114</v>
      </c>
    </row>
    <row r="210" spans="1:16" x14ac:dyDescent="0.25">
      <c r="A210" s="10">
        <v>37925</v>
      </c>
      <c r="B210">
        <v>117.2649999999994</v>
      </c>
      <c r="C210">
        <v>93.318999999999988</v>
      </c>
      <c r="D210">
        <v>0</v>
      </c>
      <c r="E210">
        <v>0</v>
      </c>
      <c r="F210">
        <v>0</v>
      </c>
      <c r="G210">
        <v>9.3514554099999998</v>
      </c>
      <c r="H210">
        <v>-0.16499999999999199</v>
      </c>
      <c r="I210">
        <v>0</v>
      </c>
      <c r="J210">
        <v>-6.9999999999708962E-2</v>
      </c>
      <c r="K210">
        <v>-1.9037200000000001E-2</v>
      </c>
      <c r="L210">
        <v>-72.004928757623304</v>
      </c>
      <c r="M210">
        <v>94.524999999999636</v>
      </c>
      <c r="N210">
        <v>0</v>
      </c>
      <c r="O210">
        <v>-7.671489452377199</v>
      </c>
      <c r="P210">
        <v>44577.317627720011</v>
      </c>
    </row>
    <row r="211" spans="1:16" x14ac:dyDescent="0.25">
      <c r="A211" s="10">
        <v>37928</v>
      </c>
      <c r="B211">
        <v>-18.458000000009619</v>
      </c>
      <c r="C211">
        <v>80.975000000000009</v>
      </c>
      <c r="D211">
        <v>-189</v>
      </c>
      <c r="E211">
        <v>0</v>
      </c>
      <c r="F211">
        <v>0</v>
      </c>
      <c r="G211">
        <v>-4.3306848888499871</v>
      </c>
      <c r="H211">
        <v>-0.64699999999999847</v>
      </c>
      <c r="I211">
        <v>0</v>
      </c>
      <c r="J211">
        <v>-1.000000000203727E-2</v>
      </c>
      <c r="K211">
        <v>-0.3970680499999637</v>
      </c>
      <c r="L211">
        <v>0</v>
      </c>
      <c r="M211">
        <v>98.760999999999513</v>
      </c>
      <c r="N211">
        <v>0</v>
      </c>
      <c r="O211">
        <v>-3.8092470611571541</v>
      </c>
      <c r="P211">
        <v>44435.747614964217</v>
      </c>
    </row>
    <row r="212" spans="1:16" x14ac:dyDescent="0.25">
      <c r="A212" s="10">
        <v>37929</v>
      </c>
      <c r="B212">
        <v>30.133000000005051</v>
      </c>
      <c r="C212">
        <v>91.138999999999996</v>
      </c>
      <c r="D212">
        <v>0</v>
      </c>
      <c r="E212">
        <v>0</v>
      </c>
      <c r="F212">
        <v>0</v>
      </c>
      <c r="G212">
        <v>1.526323929182001</v>
      </c>
      <c r="H212">
        <v>0.22380000000003261</v>
      </c>
      <c r="I212">
        <v>0</v>
      </c>
      <c r="J212">
        <v>-2.5599999999976721</v>
      </c>
      <c r="K212">
        <v>-60.378965630000152</v>
      </c>
      <c r="L212">
        <v>0</v>
      </c>
      <c r="M212">
        <v>41.644000000000233</v>
      </c>
      <c r="N212">
        <v>0</v>
      </c>
      <c r="O212">
        <v>-41.461158299179402</v>
      </c>
      <c r="P212">
        <v>44421.60695864843</v>
      </c>
    </row>
    <row r="213" spans="1:16" x14ac:dyDescent="0.25">
      <c r="A213" s="10">
        <v>37930</v>
      </c>
      <c r="B213">
        <v>49.122999999999571</v>
      </c>
      <c r="C213">
        <v>92.715000000000003</v>
      </c>
      <c r="D213">
        <v>0</v>
      </c>
      <c r="E213">
        <v>0</v>
      </c>
      <c r="F213">
        <v>0</v>
      </c>
      <c r="G213">
        <v>-2.4486088838679998</v>
      </c>
      <c r="H213">
        <v>-0.41399999999999437</v>
      </c>
      <c r="I213">
        <v>0</v>
      </c>
      <c r="J213">
        <v>0</v>
      </c>
      <c r="K213">
        <v>0.38101400000000002</v>
      </c>
      <c r="L213">
        <v>-158.92625023279501</v>
      </c>
      <c r="M213">
        <v>117.11399999999961</v>
      </c>
      <c r="N213">
        <v>0</v>
      </c>
      <c r="O213">
        <v>0.70184511666301319</v>
      </c>
      <c r="P213">
        <v>44346.64660103264</v>
      </c>
    </row>
    <row r="214" spans="1:16" x14ac:dyDescent="0.25">
      <c r="A214" s="10">
        <v>37932</v>
      </c>
      <c r="B214">
        <v>36.720000000001178</v>
      </c>
      <c r="C214">
        <v>86.144999999999982</v>
      </c>
      <c r="D214">
        <v>0</v>
      </c>
      <c r="E214">
        <v>0</v>
      </c>
      <c r="F214">
        <v>0</v>
      </c>
      <c r="G214">
        <v>-5.5627799462199974</v>
      </c>
      <c r="H214">
        <v>-6.5000000000004832E-2</v>
      </c>
      <c r="I214">
        <v>0</v>
      </c>
      <c r="J214">
        <v>-58</v>
      </c>
      <c r="K214">
        <v>0.54210102000006366</v>
      </c>
      <c r="L214">
        <v>0</v>
      </c>
      <c r="M214">
        <v>13.33500000000004</v>
      </c>
      <c r="N214">
        <v>0</v>
      </c>
      <c r="O214">
        <v>0.32567892622108902</v>
      </c>
      <c r="P214">
        <v>44369.470922386849</v>
      </c>
    </row>
    <row r="215" spans="1:16" x14ac:dyDescent="0.25">
      <c r="A215" s="10">
        <v>37935</v>
      </c>
      <c r="B215">
        <v>120.6239999999962</v>
      </c>
      <c r="C215">
        <v>75.477000000000004</v>
      </c>
      <c r="D215">
        <v>-435.000000002408</v>
      </c>
      <c r="E215">
        <v>435.000000002408</v>
      </c>
      <c r="F215">
        <v>0</v>
      </c>
      <c r="G215">
        <v>10.319703263994031</v>
      </c>
      <c r="H215">
        <v>-0.23699999999997351</v>
      </c>
      <c r="I215">
        <v>0</v>
      </c>
      <c r="J215">
        <v>0</v>
      </c>
      <c r="K215">
        <v>1.2331685299999999</v>
      </c>
      <c r="L215">
        <v>0</v>
      </c>
      <c r="M215">
        <v>4.625</v>
      </c>
      <c r="N215">
        <v>0</v>
      </c>
      <c r="O215">
        <v>29.20612820600212</v>
      </c>
      <c r="P215">
        <v>44485.089542071059</v>
      </c>
    </row>
    <row r="216" spans="1:16" x14ac:dyDescent="0.25">
      <c r="A216" s="10">
        <v>37936</v>
      </c>
      <c r="B216">
        <v>9.3720000000030268</v>
      </c>
      <c r="C216">
        <v>0.311</v>
      </c>
      <c r="D216">
        <v>0</v>
      </c>
      <c r="E216">
        <v>0</v>
      </c>
      <c r="F216">
        <v>0</v>
      </c>
      <c r="G216">
        <v>-4.7044214669389994</v>
      </c>
      <c r="H216">
        <v>-0.24099999999999969</v>
      </c>
      <c r="I216">
        <v>0</v>
      </c>
      <c r="J216">
        <v>-4.0000000000873108E-2</v>
      </c>
      <c r="K216">
        <v>0.38107701999999999</v>
      </c>
      <c r="L216">
        <v>0</v>
      </c>
      <c r="M216">
        <v>12.970000000000249</v>
      </c>
      <c r="N216">
        <v>0</v>
      </c>
      <c r="O216">
        <v>0.69534444694264541</v>
      </c>
      <c r="P216">
        <v>44481.353244755272</v>
      </c>
    </row>
    <row r="217" spans="1:16" x14ac:dyDescent="0.25">
      <c r="A217" s="10">
        <v>37937</v>
      </c>
      <c r="B217">
        <v>102.88617194000111</v>
      </c>
      <c r="C217">
        <v>176.79157956</v>
      </c>
      <c r="D217">
        <v>0</v>
      </c>
      <c r="E217">
        <v>0</v>
      </c>
      <c r="F217">
        <v>0</v>
      </c>
      <c r="G217">
        <v>-55.305812922895008</v>
      </c>
      <c r="H217">
        <v>0.36390099999999848</v>
      </c>
      <c r="I217">
        <v>0</v>
      </c>
      <c r="J217">
        <v>0</v>
      </c>
      <c r="K217">
        <v>0.38109819</v>
      </c>
      <c r="L217">
        <v>-53.506363982404899</v>
      </c>
      <c r="M217">
        <v>8.3930000000000291</v>
      </c>
      <c r="N217">
        <v>0</v>
      </c>
      <c r="O217">
        <v>25.768770095300962</v>
      </c>
      <c r="P217">
        <v>44575.728057259483</v>
      </c>
    </row>
    <row r="218" spans="1:16" x14ac:dyDescent="0.25">
      <c r="A218" s="10">
        <v>37938</v>
      </c>
      <c r="B218">
        <v>80.249134059995356</v>
      </c>
      <c r="C218">
        <v>88.702000000000012</v>
      </c>
      <c r="D218">
        <v>434.99999998599998</v>
      </c>
      <c r="E218">
        <v>-434.99999998599998</v>
      </c>
      <c r="F218">
        <v>0</v>
      </c>
      <c r="G218">
        <v>-6.1814311962399984</v>
      </c>
      <c r="H218">
        <v>0.1149999999999807</v>
      </c>
      <c r="I218">
        <v>0</v>
      </c>
      <c r="J218">
        <v>0</v>
      </c>
      <c r="K218">
        <v>0.42106610999999999</v>
      </c>
      <c r="L218">
        <v>0</v>
      </c>
      <c r="M218">
        <v>37.424999999999272</v>
      </c>
      <c r="N218">
        <v>0</v>
      </c>
      <c r="O218">
        <v>-40.232500853763902</v>
      </c>
      <c r="P218">
        <v>44616.553692243688</v>
      </c>
    </row>
    <row r="219" spans="1:16" x14ac:dyDescent="0.25">
      <c r="A219" s="10">
        <v>37939</v>
      </c>
      <c r="B219">
        <v>46.389694000004958</v>
      </c>
      <c r="C219">
        <v>89.331000000000003</v>
      </c>
      <c r="D219">
        <v>0</v>
      </c>
      <c r="E219">
        <v>0</v>
      </c>
      <c r="F219">
        <v>0</v>
      </c>
      <c r="G219">
        <v>-6.9340960248000112</v>
      </c>
      <c r="H219">
        <v>-1.0000000000047751E-3</v>
      </c>
      <c r="I219">
        <v>0</v>
      </c>
      <c r="J219">
        <v>0</v>
      </c>
      <c r="K219">
        <v>0.38105583999999998</v>
      </c>
      <c r="L219">
        <v>-47.319082677439702</v>
      </c>
      <c r="M219">
        <v>6.8400000000001464</v>
      </c>
      <c r="N219">
        <v>0</v>
      </c>
      <c r="O219">
        <v>4.0918168622445297</v>
      </c>
      <c r="P219">
        <v>44655.683935627902</v>
      </c>
    </row>
    <row r="220" spans="1:16" x14ac:dyDescent="0.25">
      <c r="A220" s="10">
        <v>37942</v>
      </c>
      <c r="B220">
        <v>133.435000000005</v>
      </c>
      <c r="C220">
        <v>88.254999999999995</v>
      </c>
      <c r="D220">
        <v>0</v>
      </c>
      <c r="E220">
        <v>0</v>
      </c>
      <c r="F220">
        <v>0</v>
      </c>
      <c r="G220">
        <v>35.007000000000012</v>
      </c>
      <c r="H220">
        <v>-0.2359999999999971</v>
      </c>
      <c r="I220">
        <v>0</v>
      </c>
      <c r="J220">
        <v>0</v>
      </c>
      <c r="K220">
        <v>1.1915647899999999</v>
      </c>
      <c r="L220">
        <v>0</v>
      </c>
      <c r="M220">
        <v>10.47999999999956</v>
      </c>
      <c r="N220">
        <v>0</v>
      </c>
      <c r="O220">
        <v>-1.26256478999461</v>
      </c>
      <c r="P220">
        <v>44777.34357147212</v>
      </c>
    </row>
    <row r="221" spans="1:16" x14ac:dyDescent="0.25">
      <c r="A221" s="10">
        <v>37943</v>
      </c>
      <c r="B221">
        <v>76.868999999991487</v>
      </c>
      <c r="C221">
        <v>80.673000000000002</v>
      </c>
      <c r="D221">
        <v>0</v>
      </c>
      <c r="E221">
        <v>0</v>
      </c>
      <c r="F221">
        <v>0</v>
      </c>
      <c r="G221">
        <v>-14.518772904280009</v>
      </c>
      <c r="H221">
        <v>-0.11899999999999269</v>
      </c>
      <c r="I221">
        <v>0</v>
      </c>
      <c r="J221">
        <v>0</v>
      </c>
      <c r="K221">
        <v>0.46389701</v>
      </c>
      <c r="L221">
        <v>0.92737700000000001</v>
      </c>
      <c r="M221">
        <v>7.8479999999999563</v>
      </c>
      <c r="N221">
        <v>0</v>
      </c>
      <c r="O221">
        <v>1.594498894271535</v>
      </c>
      <c r="P221">
        <v>44846.286706656319</v>
      </c>
    </row>
    <row r="222" spans="1:16" x14ac:dyDescent="0.25">
      <c r="A222" s="10">
        <v>37944</v>
      </c>
      <c r="B222">
        <v>123.78100000000271</v>
      </c>
      <c r="C222">
        <v>82.658000000000015</v>
      </c>
      <c r="D222">
        <v>0</v>
      </c>
      <c r="E222">
        <v>0</v>
      </c>
      <c r="F222">
        <v>0</v>
      </c>
      <c r="G222">
        <v>58.173846687500003</v>
      </c>
      <c r="H222">
        <v>9.1999999999984539E-2</v>
      </c>
      <c r="I222">
        <v>0</v>
      </c>
      <c r="J222">
        <v>0</v>
      </c>
      <c r="K222">
        <v>0.46391821</v>
      </c>
      <c r="L222">
        <v>-21.165409961136699</v>
      </c>
      <c r="M222">
        <v>6.1329999999998108</v>
      </c>
      <c r="N222">
        <v>0</v>
      </c>
      <c r="O222">
        <v>-2.5743549363604359</v>
      </c>
      <c r="P222">
        <v>44963.824816550543</v>
      </c>
    </row>
    <row r="223" spans="1:16" x14ac:dyDescent="0.25">
      <c r="A223" s="10">
        <v>37945</v>
      </c>
      <c r="B223">
        <v>89.924999999995634</v>
      </c>
      <c r="C223">
        <v>81.791999999999973</v>
      </c>
      <c r="D223">
        <v>0</v>
      </c>
      <c r="E223">
        <v>0</v>
      </c>
      <c r="F223">
        <v>0</v>
      </c>
      <c r="G223">
        <v>2.809014609999998</v>
      </c>
      <c r="H223">
        <v>0.14382700000001589</v>
      </c>
      <c r="I223">
        <v>0</v>
      </c>
      <c r="J223">
        <v>0</v>
      </c>
      <c r="K223">
        <v>0.44118276000000001</v>
      </c>
      <c r="L223">
        <v>0</v>
      </c>
      <c r="M223">
        <v>5.7979999999997736</v>
      </c>
      <c r="N223">
        <v>0</v>
      </c>
      <c r="O223">
        <v>-1.059024370004126</v>
      </c>
      <c r="P223">
        <v>45047.860874554739</v>
      </c>
    </row>
    <row r="224" spans="1:16" x14ac:dyDescent="0.25">
      <c r="A224" s="10">
        <v>37946</v>
      </c>
      <c r="B224">
        <v>33.418000000005122</v>
      </c>
      <c r="C224">
        <v>86.04</v>
      </c>
      <c r="D224">
        <v>0</v>
      </c>
      <c r="E224">
        <v>0</v>
      </c>
      <c r="F224">
        <v>0</v>
      </c>
      <c r="G224">
        <v>16.04941621</v>
      </c>
      <c r="H224">
        <v>-0.18000000000000679</v>
      </c>
      <c r="I224">
        <v>0</v>
      </c>
      <c r="J224">
        <v>0</v>
      </c>
      <c r="K224">
        <v>0.48117006000000001</v>
      </c>
      <c r="L224">
        <v>-72.910841328174797</v>
      </c>
      <c r="M224">
        <v>11.24199999999928</v>
      </c>
      <c r="N224">
        <v>0</v>
      </c>
      <c r="O224">
        <v>-7.3037449418193692</v>
      </c>
      <c r="P224">
        <v>45069.962765928947</v>
      </c>
    </row>
    <row r="225" spans="1:16" x14ac:dyDescent="0.25">
      <c r="A225" s="10">
        <v>37949</v>
      </c>
      <c r="B225">
        <v>71.840999999993073</v>
      </c>
      <c r="C225">
        <v>96.012</v>
      </c>
      <c r="D225">
        <v>0</v>
      </c>
      <c r="E225">
        <v>0</v>
      </c>
      <c r="F225">
        <v>0</v>
      </c>
      <c r="G225">
        <v>-39.290159986143003</v>
      </c>
      <c r="H225">
        <v>0.17500000000000429</v>
      </c>
      <c r="I225">
        <v>0</v>
      </c>
      <c r="J225">
        <v>0</v>
      </c>
      <c r="K225">
        <v>1.3240244000000001</v>
      </c>
      <c r="L225">
        <v>0</v>
      </c>
      <c r="M225">
        <v>15.4399999999996</v>
      </c>
      <c r="N225">
        <v>0</v>
      </c>
      <c r="O225">
        <v>-1.819864413863534</v>
      </c>
      <c r="P225">
        <v>45126.272066613157</v>
      </c>
    </row>
    <row r="226" spans="1:16" x14ac:dyDescent="0.25">
      <c r="A226" s="10">
        <v>37950</v>
      </c>
      <c r="B226">
        <v>92.991000000001819</v>
      </c>
      <c r="C226">
        <v>77.353999999999999</v>
      </c>
      <c r="D226">
        <v>0</v>
      </c>
      <c r="E226">
        <v>0</v>
      </c>
      <c r="F226">
        <v>0</v>
      </c>
      <c r="G226">
        <v>-2.1321328956003249E-2</v>
      </c>
      <c r="H226">
        <v>0.23800000000000671</v>
      </c>
      <c r="I226">
        <v>0</v>
      </c>
      <c r="J226">
        <v>0</v>
      </c>
      <c r="K226">
        <v>0.48132615000000001</v>
      </c>
      <c r="L226">
        <v>0</v>
      </c>
      <c r="M226">
        <v>11.52400000000034</v>
      </c>
      <c r="N226">
        <v>0</v>
      </c>
      <c r="O226">
        <v>3.4149951789574788</v>
      </c>
      <c r="P226">
        <v>45207.653985317367</v>
      </c>
    </row>
    <row r="227" spans="1:16" x14ac:dyDescent="0.25">
      <c r="A227" s="10">
        <v>37951</v>
      </c>
      <c r="B227">
        <v>24.443000000006599</v>
      </c>
      <c r="C227">
        <v>96.47399999999999</v>
      </c>
      <c r="D227">
        <v>0</v>
      </c>
      <c r="E227">
        <v>0</v>
      </c>
      <c r="F227">
        <v>0</v>
      </c>
      <c r="G227">
        <v>12.580502275571</v>
      </c>
      <c r="H227">
        <v>0.11800000000002341</v>
      </c>
      <c r="I227">
        <v>0</v>
      </c>
      <c r="J227">
        <v>1.8899999999994179</v>
      </c>
      <c r="K227">
        <v>0.48117006000000001</v>
      </c>
      <c r="L227">
        <v>-94.005075240391605</v>
      </c>
      <c r="M227">
        <v>5.4229999999997736</v>
      </c>
      <c r="N227">
        <v>0</v>
      </c>
      <c r="O227">
        <v>1.48140290482799</v>
      </c>
      <c r="P227">
        <v>45226.571370001591</v>
      </c>
    </row>
    <row r="228" spans="1:16" x14ac:dyDescent="0.25">
      <c r="A228" s="10">
        <v>37952</v>
      </c>
      <c r="B228">
        <v>7.2649999999994188</v>
      </c>
      <c r="C228">
        <v>-2.95</v>
      </c>
      <c r="D228">
        <v>0</v>
      </c>
      <c r="E228">
        <v>0</v>
      </c>
      <c r="F228">
        <v>0</v>
      </c>
      <c r="G228">
        <v>8.041513361102</v>
      </c>
      <c r="H228">
        <v>0.23599999999999</v>
      </c>
      <c r="I228">
        <v>0</v>
      </c>
      <c r="J228">
        <v>-6.9999999999708962E-2</v>
      </c>
      <c r="K228">
        <v>0.49145130999999997</v>
      </c>
      <c r="L228">
        <v>0</v>
      </c>
      <c r="M228">
        <v>1.38799999999992</v>
      </c>
      <c r="N228">
        <v>0</v>
      </c>
      <c r="O228">
        <v>0.1280353288972173</v>
      </c>
      <c r="P228">
        <v>45232.362939685801</v>
      </c>
    </row>
    <row r="229" spans="1:16" x14ac:dyDescent="0.25">
      <c r="A229" s="10">
        <v>37953</v>
      </c>
      <c r="B229">
        <v>99.898300000004397</v>
      </c>
      <c r="C229">
        <v>-0.87599999999999056</v>
      </c>
      <c r="D229">
        <v>0</v>
      </c>
      <c r="E229">
        <v>0</v>
      </c>
      <c r="F229">
        <v>0</v>
      </c>
      <c r="G229">
        <v>6.5519996490900017</v>
      </c>
      <c r="H229">
        <v>-1.0000000000047751E-3</v>
      </c>
      <c r="I229">
        <v>0</v>
      </c>
      <c r="J229">
        <v>1.420000000001892</v>
      </c>
      <c r="K229">
        <v>0.48143096000000002</v>
      </c>
      <c r="L229">
        <v>92.429367060862702</v>
      </c>
      <c r="M229">
        <v>10.041000000000169</v>
      </c>
      <c r="N229">
        <v>0</v>
      </c>
      <c r="O229">
        <v>-10.14849766995038</v>
      </c>
      <c r="P229">
        <v>45321.728346870012</v>
      </c>
    </row>
    <row r="230" spans="1:16" x14ac:dyDescent="0.25">
      <c r="A230" s="10">
        <v>37956</v>
      </c>
      <c r="B230">
        <v>107.90399999999499</v>
      </c>
      <c r="C230">
        <v>87.838000000000008</v>
      </c>
      <c r="D230">
        <v>0</v>
      </c>
      <c r="E230">
        <v>0</v>
      </c>
      <c r="F230">
        <v>0</v>
      </c>
      <c r="G230">
        <v>-14.919177939491</v>
      </c>
      <c r="H230">
        <v>-7.1054273576010019E-15</v>
      </c>
      <c r="I230">
        <v>0</v>
      </c>
      <c r="J230">
        <v>-0.15000000000145519</v>
      </c>
      <c r="K230">
        <v>1.44444919</v>
      </c>
      <c r="L230">
        <v>0</v>
      </c>
      <c r="M230">
        <v>6.3900000000003274</v>
      </c>
      <c r="N230">
        <v>0</v>
      </c>
      <c r="O230">
        <v>27.300728749487131</v>
      </c>
      <c r="P230">
        <v>45423.166916631912</v>
      </c>
    </row>
    <row r="231" spans="1:16" x14ac:dyDescent="0.25">
      <c r="A231" s="10">
        <v>37957</v>
      </c>
      <c r="B231">
        <v>39.313000000001928</v>
      </c>
      <c r="C231">
        <v>89.257000000000005</v>
      </c>
      <c r="D231">
        <v>0</v>
      </c>
      <c r="E231">
        <v>0</v>
      </c>
      <c r="F231">
        <v>0</v>
      </c>
      <c r="G231">
        <v>-1.256210913354002</v>
      </c>
      <c r="H231">
        <v>0.2359999999999971</v>
      </c>
      <c r="I231">
        <v>0</v>
      </c>
      <c r="J231">
        <v>-0.9500000000007276</v>
      </c>
      <c r="K231">
        <v>-53.068517019999987</v>
      </c>
      <c r="L231">
        <v>0</v>
      </c>
      <c r="M231">
        <v>5.5559999999995853</v>
      </c>
      <c r="N231">
        <v>0</v>
      </c>
      <c r="O231">
        <v>-0.46127206664295223</v>
      </c>
      <c r="P231">
        <v>45456.848744033807</v>
      </c>
    </row>
    <row r="232" spans="1:16" x14ac:dyDescent="0.25">
      <c r="A232" s="10">
        <v>37958</v>
      </c>
      <c r="B232">
        <v>55.552999999999891</v>
      </c>
      <c r="C232">
        <v>100.935</v>
      </c>
      <c r="D232">
        <v>0</v>
      </c>
      <c r="E232">
        <v>0</v>
      </c>
      <c r="F232">
        <v>0</v>
      </c>
      <c r="G232">
        <v>16.043058896200002</v>
      </c>
      <c r="H232">
        <v>2.0000000000095501E-3</v>
      </c>
      <c r="I232">
        <v>0</v>
      </c>
      <c r="J232">
        <v>0</v>
      </c>
      <c r="K232">
        <v>0.48146267999999998</v>
      </c>
      <c r="L232">
        <v>-66.416614982056998</v>
      </c>
      <c r="M232">
        <v>5.886000000000422</v>
      </c>
      <c r="N232">
        <v>0</v>
      </c>
      <c r="O232">
        <v>-1.3779065941435471</v>
      </c>
      <c r="P232">
        <v>45506.440535205722</v>
      </c>
    </row>
    <row r="233" spans="1:16" x14ac:dyDescent="0.25">
      <c r="A233" s="10">
        <v>37959</v>
      </c>
      <c r="B233">
        <v>71.171000000002095</v>
      </c>
      <c r="C233">
        <v>95.570000000000007</v>
      </c>
      <c r="D233">
        <v>0</v>
      </c>
      <c r="E233">
        <v>0</v>
      </c>
      <c r="F233">
        <v>0</v>
      </c>
      <c r="G233">
        <v>-16.69228321675303</v>
      </c>
      <c r="H233">
        <v>-9.9999999999766942E-4</v>
      </c>
      <c r="I233">
        <v>0</v>
      </c>
      <c r="J233">
        <v>0</v>
      </c>
      <c r="K233">
        <v>0.43214058</v>
      </c>
      <c r="L233">
        <v>0</v>
      </c>
      <c r="M233">
        <v>2.8010000000003861</v>
      </c>
      <c r="N233">
        <v>0</v>
      </c>
      <c r="O233">
        <v>-10.938857363245271</v>
      </c>
      <c r="P233">
        <v>45574.735085097629</v>
      </c>
    </row>
    <row r="234" spans="1:16" x14ac:dyDescent="0.25">
      <c r="A234" s="10">
        <v>37960</v>
      </c>
      <c r="B234">
        <v>117.31199999999809</v>
      </c>
      <c r="C234">
        <v>82.759</v>
      </c>
      <c r="D234">
        <v>0</v>
      </c>
      <c r="E234">
        <v>0</v>
      </c>
      <c r="F234">
        <v>0</v>
      </c>
      <c r="G234">
        <v>-2.8493732132850011</v>
      </c>
      <c r="H234">
        <v>0.35999999999998522</v>
      </c>
      <c r="I234">
        <v>0</v>
      </c>
      <c r="J234">
        <v>0</v>
      </c>
      <c r="K234">
        <v>0.42214057999999999</v>
      </c>
      <c r="L234">
        <v>0</v>
      </c>
      <c r="M234">
        <v>4.3530000000000646</v>
      </c>
      <c r="N234">
        <v>0</v>
      </c>
      <c r="O234">
        <v>32.267232633283029</v>
      </c>
      <c r="P234">
        <v>45687.618978819533</v>
      </c>
    </row>
    <row r="235" spans="1:16" x14ac:dyDescent="0.25">
      <c r="A235" s="10">
        <v>37964</v>
      </c>
      <c r="B235">
        <v>132.08676099999869</v>
      </c>
      <c r="C235">
        <v>120.371</v>
      </c>
      <c r="D235">
        <v>0</v>
      </c>
      <c r="E235">
        <v>0</v>
      </c>
      <c r="F235">
        <v>0</v>
      </c>
      <c r="G235">
        <v>1.755640672199007</v>
      </c>
      <c r="H235">
        <v>0.115000000000002</v>
      </c>
      <c r="I235">
        <v>0</v>
      </c>
      <c r="J235">
        <v>0</v>
      </c>
      <c r="K235">
        <v>1.72844368</v>
      </c>
      <c r="L235">
        <v>0</v>
      </c>
      <c r="M235">
        <v>6.9440000000004147</v>
      </c>
      <c r="N235">
        <v>0</v>
      </c>
      <c r="O235">
        <v>1.172676647799241</v>
      </c>
      <c r="P235">
        <v>45812.687111581443</v>
      </c>
    </row>
    <row r="236" spans="1:16" x14ac:dyDescent="0.25">
      <c r="A236" s="10">
        <v>37965</v>
      </c>
      <c r="B236">
        <v>4.2052669999975443</v>
      </c>
      <c r="C236">
        <v>104.97799999999999</v>
      </c>
      <c r="D236">
        <v>0</v>
      </c>
      <c r="E236">
        <v>0</v>
      </c>
      <c r="F236">
        <v>0</v>
      </c>
      <c r="G236">
        <v>4.1679337443410036</v>
      </c>
      <c r="H236">
        <v>7.1054273576010019E-15</v>
      </c>
      <c r="I236">
        <v>0</v>
      </c>
      <c r="J236">
        <v>-1.5</v>
      </c>
      <c r="K236">
        <v>0.38210139999999998</v>
      </c>
      <c r="L236">
        <v>-101.17382857553601</v>
      </c>
      <c r="M236">
        <v>5.238999999999578</v>
      </c>
      <c r="N236">
        <v>0</v>
      </c>
      <c r="O236">
        <v>-7.8879395688070453</v>
      </c>
      <c r="P236">
        <v>45811.578024743343</v>
      </c>
    </row>
    <row r="237" spans="1:16" x14ac:dyDescent="0.25">
      <c r="A237" s="10">
        <v>37966</v>
      </c>
      <c r="B237">
        <v>40.484972000005648</v>
      </c>
      <c r="C237">
        <v>137.577</v>
      </c>
      <c r="D237">
        <v>0</v>
      </c>
      <c r="E237">
        <v>0</v>
      </c>
      <c r="F237">
        <v>0</v>
      </c>
      <c r="G237">
        <v>-94.509133519265987</v>
      </c>
      <c r="H237">
        <v>0.1839999999999975</v>
      </c>
      <c r="I237">
        <v>0</v>
      </c>
      <c r="J237">
        <v>0</v>
      </c>
      <c r="K237">
        <v>0.48241508</v>
      </c>
      <c r="L237">
        <v>0</v>
      </c>
      <c r="M237">
        <v>3.0249999999996362</v>
      </c>
      <c r="N237">
        <v>0</v>
      </c>
      <c r="O237">
        <v>-6.2743095607279953</v>
      </c>
      <c r="P237">
        <v>45848.96320550525</v>
      </c>
    </row>
    <row r="238" spans="1:16" x14ac:dyDescent="0.25">
      <c r="A238" s="10">
        <v>37967</v>
      </c>
      <c r="B238">
        <v>222.56900000000309</v>
      </c>
      <c r="C238">
        <v>92.19</v>
      </c>
      <c r="D238">
        <v>0</v>
      </c>
      <c r="E238">
        <v>0</v>
      </c>
      <c r="F238">
        <v>0</v>
      </c>
      <c r="G238">
        <v>116.33199999999999</v>
      </c>
      <c r="H238">
        <v>-2.8421709430404007E-14</v>
      </c>
      <c r="I238">
        <v>0</v>
      </c>
      <c r="J238">
        <v>-2.180000000000291</v>
      </c>
      <c r="K238">
        <v>0.38240022000000001</v>
      </c>
      <c r="L238">
        <v>3.6290922599940898</v>
      </c>
      <c r="M238">
        <v>9.1920000000000073</v>
      </c>
      <c r="N238">
        <v>0</v>
      </c>
      <c r="O238">
        <v>3.0235075200093999</v>
      </c>
      <c r="P238">
        <v>46059.984339267146</v>
      </c>
    </row>
    <row r="239" spans="1:16" x14ac:dyDescent="0.25">
      <c r="A239" s="10">
        <v>37970</v>
      </c>
      <c r="B239">
        <v>86.835999999995693</v>
      </c>
      <c r="C239">
        <v>145.59899999999999</v>
      </c>
      <c r="D239">
        <v>-1179.9999999876891</v>
      </c>
      <c r="E239">
        <v>1099.9999999876891</v>
      </c>
      <c r="F239">
        <v>0</v>
      </c>
      <c r="G239">
        <v>3.0022069510330311</v>
      </c>
      <c r="H239">
        <v>-6.8000000000012051E-2</v>
      </c>
      <c r="I239">
        <v>0</v>
      </c>
      <c r="J239">
        <v>0</v>
      </c>
      <c r="K239">
        <v>1.2872006</v>
      </c>
      <c r="L239">
        <v>0</v>
      </c>
      <c r="M239">
        <v>5.7889999999997599</v>
      </c>
      <c r="N239">
        <v>0</v>
      </c>
      <c r="O239">
        <v>11.22659244896297</v>
      </c>
      <c r="P239">
        <v>46140.955881169059</v>
      </c>
    </row>
    <row r="240" spans="1:16" x14ac:dyDescent="0.25">
      <c r="A240" s="10">
        <v>37971</v>
      </c>
      <c r="B240">
        <v>70.309999999997672</v>
      </c>
      <c r="C240">
        <v>120.154</v>
      </c>
      <c r="D240">
        <v>0</v>
      </c>
      <c r="E240">
        <v>0</v>
      </c>
      <c r="F240">
        <v>0</v>
      </c>
      <c r="G240">
        <v>-16.40098244999999</v>
      </c>
      <c r="H240">
        <v>-1.0000000000047751E-3</v>
      </c>
      <c r="I240">
        <v>0</v>
      </c>
      <c r="J240">
        <v>0</v>
      </c>
      <c r="K240">
        <v>0.46240562000000002</v>
      </c>
      <c r="L240">
        <v>0</v>
      </c>
      <c r="M240">
        <v>0.7680000000000291</v>
      </c>
      <c r="N240">
        <v>0</v>
      </c>
      <c r="O240">
        <v>-34.672423170002368</v>
      </c>
      <c r="P240">
        <v>46210.422486080963</v>
      </c>
    </row>
    <row r="241" spans="1:16" x14ac:dyDescent="0.25">
      <c r="A241" s="10">
        <v>37972</v>
      </c>
      <c r="B241">
        <v>207.93700000000541</v>
      </c>
      <c r="C241">
        <v>119.218</v>
      </c>
      <c r="D241">
        <v>0</v>
      </c>
      <c r="E241">
        <v>0</v>
      </c>
      <c r="F241">
        <v>0</v>
      </c>
      <c r="G241">
        <v>-2.4145884329950018</v>
      </c>
      <c r="H241">
        <v>-0.12000000000000451</v>
      </c>
      <c r="I241">
        <v>0</v>
      </c>
      <c r="J241">
        <v>0</v>
      </c>
      <c r="K241">
        <v>0.48240561999999998</v>
      </c>
      <c r="L241">
        <v>82.581985516525705</v>
      </c>
      <c r="M241">
        <v>5.8059999999995853</v>
      </c>
      <c r="N241">
        <v>0</v>
      </c>
      <c r="O241">
        <v>2.383197296475084</v>
      </c>
      <c r="P241">
        <v>46412.478691842873</v>
      </c>
    </row>
    <row r="242" spans="1:16" x14ac:dyDescent="0.25">
      <c r="A242" s="10">
        <v>37973</v>
      </c>
      <c r="B242">
        <v>127.9336999999941</v>
      </c>
      <c r="C242">
        <v>118.005</v>
      </c>
      <c r="D242">
        <v>0</v>
      </c>
      <c r="E242">
        <v>0</v>
      </c>
      <c r="F242">
        <v>0</v>
      </c>
      <c r="G242">
        <v>-0.78919557999999834</v>
      </c>
      <c r="H242">
        <v>1.499999999997925E-2</v>
      </c>
      <c r="I242">
        <v>0</v>
      </c>
      <c r="J242">
        <v>-0.11999999999898139</v>
      </c>
      <c r="K242">
        <v>0.44335649999999999</v>
      </c>
      <c r="L242">
        <v>0</v>
      </c>
      <c r="M242">
        <v>2.6589999999996512</v>
      </c>
      <c r="N242">
        <v>0</v>
      </c>
      <c r="O242">
        <v>7.720539079993479</v>
      </c>
      <c r="P242">
        <v>46537.677979604763</v>
      </c>
    </row>
    <row r="243" spans="1:16" x14ac:dyDescent="0.25">
      <c r="A243" s="10">
        <v>37974</v>
      </c>
      <c r="B243">
        <v>177.06700000000271</v>
      </c>
      <c r="C243">
        <v>122.67400000000001</v>
      </c>
      <c r="D243">
        <v>-172.77461099889001</v>
      </c>
      <c r="E243">
        <v>163.77461099889001</v>
      </c>
      <c r="F243">
        <v>0</v>
      </c>
      <c r="G243">
        <v>40.059670579340008</v>
      </c>
      <c r="H243">
        <v>5.7999999999999829E-2</v>
      </c>
      <c r="I243">
        <v>0</v>
      </c>
      <c r="J243">
        <v>3.3899999999994179</v>
      </c>
      <c r="K243">
        <v>0.43335637999999999</v>
      </c>
      <c r="L243">
        <v>0</v>
      </c>
      <c r="M243">
        <v>7.7309999999997672</v>
      </c>
      <c r="N243">
        <v>0</v>
      </c>
      <c r="O243">
        <v>11.720973040663541</v>
      </c>
      <c r="P243">
        <v>46706.938531686683</v>
      </c>
    </row>
    <row r="244" spans="1:16" x14ac:dyDescent="0.25">
      <c r="A244" s="10">
        <v>37977</v>
      </c>
      <c r="B244">
        <v>120.0900000000037</v>
      </c>
      <c r="C244">
        <v>118.497</v>
      </c>
      <c r="D244">
        <v>0</v>
      </c>
      <c r="E244">
        <v>0</v>
      </c>
      <c r="F244">
        <v>0</v>
      </c>
      <c r="G244">
        <v>-9.4602163236800152</v>
      </c>
      <c r="H244">
        <v>-0.11700000000000441</v>
      </c>
      <c r="I244">
        <v>0</v>
      </c>
      <c r="J244">
        <v>0</v>
      </c>
      <c r="K244">
        <v>1.3100558</v>
      </c>
      <c r="L244">
        <v>0.95479999999999998</v>
      </c>
      <c r="M244">
        <v>11.308000000002719</v>
      </c>
      <c r="N244">
        <v>0</v>
      </c>
      <c r="O244">
        <v>-2.4026394763190071</v>
      </c>
      <c r="P244">
        <v>46807.645477138583</v>
      </c>
    </row>
    <row r="245" spans="1:16" x14ac:dyDescent="0.25">
      <c r="A245" s="10">
        <v>37978</v>
      </c>
      <c r="B245">
        <v>672.70100000000093</v>
      </c>
      <c r="C245">
        <v>117.169</v>
      </c>
      <c r="D245">
        <v>0</v>
      </c>
      <c r="E245">
        <v>0</v>
      </c>
      <c r="F245">
        <v>0</v>
      </c>
      <c r="G245">
        <v>-134.05988881217999</v>
      </c>
      <c r="H245">
        <v>-0.17899999999998781</v>
      </c>
      <c r="I245">
        <v>0</v>
      </c>
      <c r="J245">
        <v>0</v>
      </c>
      <c r="K245">
        <v>0.45</v>
      </c>
      <c r="L245">
        <v>0</v>
      </c>
      <c r="M245">
        <v>689.44700000000012</v>
      </c>
      <c r="N245">
        <v>0</v>
      </c>
      <c r="O245">
        <v>-0.12611118781917871</v>
      </c>
      <c r="P245">
        <v>46790.824846180491</v>
      </c>
    </row>
    <row r="246" spans="1:16" x14ac:dyDescent="0.25">
      <c r="A246" s="10">
        <v>37979</v>
      </c>
      <c r="B246">
        <v>-4.4430000000066077</v>
      </c>
      <c r="C246">
        <v>-2.2510000000000008</v>
      </c>
      <c r="D246">
        <v>0</v>
      </c>
      <c r="E246">
        <v>0</v>
      </c>
      <c r="F246">
        <v>0</v>
      </c>
      <c r="G246">
        <v>79.071034075987995</v>
      </c>
      <c r="H246">
        <v>-0.1390000000000029</v>
      </c>
      <c r="I246">
        <v>0</v>
      </c>
      <c r="J246">
        <v>0</v>
      </c>
      <c r="K246">
        <v>0.46</v>
      </c>
      <c r="L246">
        <v>-88.61</v>
      </c>
      <c r="M246">
        <v>8.8019999999996799</v>
      </c>
      <c r="N246">
        <v>0</v>
      </c>
      <c r="O246">
        <v>-1.776034075994263</v>
      </c>
      <c r="P246">
        <v>46777.505113942389</v>
      </c>
    </row>
    <row r="247" spans="1:16" x14ac:dyDescent="0.25">
      <c r="A247" s="10">
        <v>37981</v>
      </c>
      <c r="B247">
        <v>201.4400000000023</v>
      </c>
      <c r="C247">
        <v>120.58499999999999</v>
      </c>
      <c r="D247">
        <v>0</v>
      </c>
      <c r="E247">
        <v>0</v>
      </c>
      <c r="F247">
        <v>0</v>
      </c>
      <c r="G247">
        <v>71.538699489999999</v>
      </c>
      <c r="H247">
        <v>-9.3999999999986983E-2</v>
      </c>
      <c r="I247">
        <v>0</v>
      </c>
      <c r="J247">
        <v>0</v>
      </c>
      <c r="K247">
        <v>0.9</v>
      </c>
      <c r="L247">
        <v>0</v>
      </c>
      <c r="M247">
        <v>6.738999999999578</v>
      </c>
      <c r="N247">
        <v>0</v>
      </c>
      <c r="O247">
        <v>1.7713005100027199</v>
      </c>
      <c r="P247">
        <v>46965.131279704292</v>
      </c>
    </row>
    <row r="248" spans="1:16" x14ac:dyDescent="0.25">
      <c r="A248" s="10">
        <v>37984</v>
      </c>
      <c r="B248">
        <v>146.27199999999721</v>
      </c>
      <c r="C248">
        <v>120.89400000000001</v>
      </c>
      <c r="D248">
        <v>0</v>
      </c>
      <c r="E248">
        <v>0</v>
      </c>
      <c r="F248">
        <v>0</v>
      </c>
      <c r="G248">
        <v>8.673422637784995</v>
      </c>
      <c r="H248">
        <v>0.23400000000002311</v>
      </c>
      <c r="I248">
        <v>0</v>
      </c>
      <c r="J248">
        <v>0</v>
      </c>
      <c r="K248">
        <v>1.34</v>
      </c>
      <c r="L248">
        <v>0</v>
      </c>
      <c r="M248">
        <v>17.957999999999629</v>
      </c>
      <c r="N248">
        <v>0</v>
      </c>
      <c r="O248">
        <v>-2.8274226377874729</v>
      </c>
      <c r="P248">
        <v>47093.370079466193</v>
      </c>
    </row>
    <row r="249" spans="1:16" x14ac:dyDescent="0.25">
      <c r="A249" s="10">
        <v>37985</v>
      </c>
      <c r="B249">
        <v>-190.5269999999945</v>
      </c>
      <c r="C249">
        <v>116.53</v>
      </c>
      <c r="D249">
        <v>799.99999999939496</v>
      </c>
      <c r="E249">
        <v>-1099.999999999395</v>
      </c>
      <c r="F249">
        <v>0</v>
      </c>
      <c r="G249">
        <v>-97.463292360000082</v>
      </c>
      <c r="H249">
        <v>-0.23900000000000429</v>
      </c>
      <c r="I249">
        <v>0</v>
      </c>
      <c r="J249">
        <v>-9.9999999998544808E-2</v>
      </c>
      <c r="K249">
        <v>0.45</v>
      </c>
      <c r="L249">
        <v>0</v>
      </c>
      <c r="M249">
        <v>52.371000000000087</v>
      </c>
      <c r="N249">
        <v>0</v>
      </c>
      <c r="O249">
        <v>37.92429236000406</v>
      </c>
      <c r="P249">
        <v>46850.397390648097</v>
      </c>
    </row>
    <row r="250" spans="1:16" x14ac:dyDescent="0.25">
      <c r="A250" s="10">
        <v>37986</v>
      </c>
      <c r="B250">
        <v>-172.5290000000023</v>
      </c>
      <c r="C250">
        <v>-3.287999999999998</v>
      </c>
      <c r="D250">
        <v>0</v>
      </c>
      <c r="E250">
        <v>0</v>
      </c>
      <c r="F250">
        <v>0</v>
      </c>
      <c r="G250">
        <v>0.37591008515499508</v>
      </c>
      <c r="H250">
        <v>-9.9999999999766942E-4</v>
      </c>
      <c r="I250">
        <v>0</v>
      </c>
      <c r="J250">
        <v>0</v>
      </c>
      <c r="K250">
        <v>0.4</v>
      </c>
      <c r="L250">
        <v>-168.27</v>
      </c>
      <c r="M250">
        <v>0</v>
      </c>
      <c r="N250">
        <v>0</v>
      </c>
      <c r="O250">
        <v>-1.7459100851572631</v>
      </c>
      <c r="P250">
        <v>46677.793782410008</v>
      </c>
    </row>
    <row r="251" spans="1:16" x14ac:dyDescent="0.25">
      <c r="A251" s="10">
        <v>37988</v>
      </c>
      <c r="B251">
        <v>356.3369999999959</v>
      </c>
      <c r="C251">
        <v>106.29600000000001</v>
      </c>
      <c r="D251">
        <v>0</v>
      </c>
      <c r="E251">
        <v>0</v>
      </c>
      <c r="F251">
        <v>0</v>
      </c>
      <c r="G251">
        <v>103.08</v>
      </c>
      <c r="H251">
        <v>-0.2445279999999812</v>
      </c>
      <c r="I251">
        <v>0</v>
      </c>
      <c r="J251">
        <v>1.469999999997526</v>
      </c>
      <c r="K251">
        <v>0.85116590999999997</v>
      </c>
      <c r="L251">
        <v>0</v>
      </c>
      <c r="M251">
        <v>144.4060000000018</v>
      </c>
      <c r="N251">
        <v>0</v>
      </c>
      <c r="O251">
        <v>0.478362089996615</v>
      </c>
      <c r="P251">
        <v>46779.034631476192</v>
      </c>
    </row>
    <row r="252" spans="1:16" x14ac:dyDescent="0.25">
      <c r="A252" s="10">
        <v>37991</v>
      </c>
      <c r="B252">
        <v>11.074000000000529</v>
      </c>
      <c r="C252">
        <v>100.989</v>
      </c>
      <c r="D252">
        <v>0</v>
      </c>
      <c r="E252">
        <v>0</v>
      </c>
      <c r="F252">
        <v>0</v>
      </c>
      <c r="G252">
        <v>-1.654745639033</v>
      </c>
      <c r="H252">
        <v>3.247000000000007</v>
      </c>
      <c r="I252">
        <v>0</v>
      </c>
      <c r="J252">
        <v>-0.34000000000014552</v>
      </c>
      <c r="K252">
        <v>-62.053203789999912</v>
      </c>
      <c r="L252">
        <v>0</v>
      </c>
      <c r="M252">
        <v>0</v>
      </c>
      <c r="N252">
        <v>0</v>
      </c>
      <c r="O252">
        <v>-29.114050570966441</v>
      </c>
      <c r="P252">
        <v>46790.03482195238</v>
      </c>
    </row>
    <row r="253" spans="1:16" x14ac:dyDescent="0.25">
      <c r="A253" s="10">
        <v>37992</v>
      </c>
      <c r="B253">
        <v>115.5480000000025</v>
      </c>
      <c r="C253">
        <v>97.375</v>
      </c>
      <c r="D253">
        <v>0</v>
      </c>
      <c r="E253">
        <v>0</v>
      </c>
      <c r="F253">
        <v>0</v>
      </c>
      <c r="G253">
        <v>-2.6674352752400008</v>
      </c>
      <c r="H253">
        <v>0.11899999999999269</v>
      </c>
      <c r="I253">
        <v>0</v>
      </c>
      <c r="J253">
        <v>0</v>
      </c>
      <c r="K253">
        <v>0.43539052</v>
      </c>
      <c r="L253">
        <v>1.9</v>
      </c>
      <c r="M253">
        <v>0</v>
      </c>
      <c r="N253">
        <v>0</v>
      </c>
      <c r="O253">
        <v>18.386044755242491</v>
      </c>
      <c r="P253">
        <v>46905.509012428578</v>
      </c>
    </row>
    <row r="254" spans="1:16" x14ac:dyDescent="0.25">
      <c r="A254" s="10">
        <v>37993</v>
      </c>
      <c r="B254">
        <v>-118.8467702600101</v>
      </c>
      <c r="C254">
        <v>103.482</v>
      </c>
      <c r="D254">
        <v>0</v>
      </c>
      <c r="E254">
        <v>0</v>
      </c>
      <c r="F254">
        <v>0</v>
      </c>
      <c r="G254">
        <v>1.1368674714850009</v>
      </c>
      <c r="H254">
        <v>0.49200000000001859</v>
      </c>
      <c r="I254">
        <v>0</v>
      </c>
      <c r="J254">
        <v>0</v>
      </c>
      <c r="K254">
        <v>0.43538282</v>
      </c>
      <c r="L254">
        <v>-223.61546353491499</v>
      </c>
      <c r="M254">
        <v>0</v>
      </c>
      <c r="N254">
        <v>0</v>
      </c>
      <c r="O254">
        <v>-0.77755701658011955</v>
      </c>
      <c r="P254">
        <v>46782.998432644759</v>
      </c>
    </row>
    <row r="255" spans="1:16" x14ac:dyDescent="0.25">
      <c r="A255" s="10">
        <v>37994</v>
      </c>
      <c r="B255">
        <v>113.5956257100042</v>
      </c>
      <c r="C255">
        <v>102.39700000000001</v>
      </c>
      <c r="D255">
        <v>0</v>
      </c>
      <c r="E255">
        <v>0</v>
      </c>
      <c r="F255">
        <v>0</v>
      </c>
      <c r="G255">
        <v>7.1776172633000028</v>
      </c>
      <c r="H255">
        <v>-2.9639999999999702</v>
      </c>
      <c r="I255">
        <v>0</v>
      </c>
      <c r="J255">
        <v>0</v>
      </c>
      <c r="K255">
        <v>0.45</v>
      </c>
      <c r="L255">
        <v>0.98404000000000003</v>
      </c>
      <c r="M255">
        <v>0</v>
      </c>
      <c r="N255">
        <v>0</v>
      </c>
      <c r="O255">
        <v>5.5509684467041964</v>
      </c>
      <c r="P255">
        <v>46896.520248830951</v>
      </c>
    </row>
    <row r="256" spans="1:16" x14ac:dyDescent="0.25">
      <c r="A256" s="10">
        <v>37995</v>
      </c>
      <c r="B256">
        <v>105.2133677000093</v>
      </c>
      <c r="C256">
        <v>101.241</v>
      </c>
      <c r="D256">
        <v>0</v>
      </c>
      <c r="E256">
        <v>0</v>
      </c>
      <c r="F256">
        <v>0</v>
      </c>
      <c r="G256">
        <v>-0.43969537114850149</v>
      </c>
      <c r="H256">
        <v>1.4000000000009999E-2</v>
      </c>
      <c r="I256">
        <v>0</v>
      </c>
      <c r="J256">
        <v>0</v>
      </c>
      <c r="K256">
        <v>0.44611698999999999</v>
      </c>
      <c r="L256">
        <v>0.98443199999999997</v>
      </c>
      <c r="M256">
        <v>0</v>
      </c>
      <c r="N256">
        <v>0</v>
      </c>
      <c r="O256">
        <v>2.9675140811577432</v>
      </c>
      <c r="P256">
        <v>47001.659807007149</v>
      </c>
    </row>
    <row r="257" spans="1:16" x14ac:dyDescent="0.25">
      <c r="A257" s="10">
        <v>37998</v>
      </c>
      <c r="B257">
        <v>79.34701945999403</v>
      </c>
      <c r="C257">
        <v>83.13</v>
      </c>
      <c r="D257">
        <v>0</v>
      </c>
      <c r="E257">
        <v>0</v>
      </c>
      <c r="F257">
        <v>0</v>
      </c>
      <c r="G257">
        <v>-3.766901229999998</v>
      </c>
      <c r="H257">
        <v>2.0000000000166551E-3</v>
      </c>
      <c r="I257">
        <v>0</v>
      </c>
      <c r="J257">
        <v>0</v>
      </c>
      <c r="K257">
        <v>1.35834816</v>
      </c>
      <c r="L257">
        <v>0.96035700000000002</v>
      </c>
      <c r="M257">
        <v>0</v>
      </c>
      <c r="N257">
        <v>0</v>
      </c>
      <c r="O257">
        <v>-2.3367844700059748</v>
      </c>
      <c r="P257">
        <v>47080.933016943338</v>
      </c>
    </row>
    <row r="258" spans="1:16" x14ac:dyDescent="0.25">
      <c r="A258" s="10">
        <v>37999</v>
      </c>
      <c r="B258">
        <v>-133.5804081700044</v>
      </c>
      <c r="C258">
        <v>85.02300000000001</v>
      </c>
      <c r="D258">
        <v>0</v>
      </c>
      <c r="E258">
        <v>0</v>
      </c>
      <c r="F258">
        <v>0</v>
      </c>
      <c r="G258">
        <v>-180.26944483656899</v>
      </c>
      <c r="H258">
        <v>2.0000000000095501E-3</v>
      </c>
      <c r="I258">
        <v>0</v>
      </c>
      <c r="J258">
        <v>0</v>
      </c>
      <c r="K258">
        <v>0.45611592999999989</v>
      </c>
      <c r="L258">
        <v>0</v>
      </c>
      <c r="M258">
        <v>0</v>
      </c>
      <c r="N258">
        <v>0</v>
      </c>
      <c r="O258">
        <v>-38.792079263435411</v>
      </c>
      <c r="P258">
        <v>46947.278799249521</v>
      </c>
    </row>
    <row r="259" spans="1:16" x14ac:dyDescent="0.25">
      <c r="A259" s="10">
        <v>38000</v>
      </c>
      <c r="B259">
        <v>-18.206525360001251</v>
      </c>
      <c r="C259">
        <v>89.832999999999998</v>
      </c>
      <c r="D259">
        <v>-119.98139999999999</v>
      </c>
      <c r="E259">
        <v>0</v>
      </c>
      <c r="F259">
        <v>0</v>
      </c>
      <c r="G259">
        <v>77.83535001773302</v>
      </c>
      <c r="H259">
        <v>-0.55700000000001637</v>
      </c>
      <c r="I259">
        <v>0</v>
      </c>
      <c r="J259">
        <v>0</v>
      </c>
      <c r="K259">
        <v>0.4541357199999998</v>
      </c>
      <c r="L259">
        <v>-65.400000000000006</v>
      </c>
      <c r="M259">
        <v>0</v>
      </c>
      <c r="N259">
        <v>0</v>
      </c>
      <c r="O259">
        <v>-0.39061109773424141</v>
      </c>
      <c r="P259">
        <v>46928.998464365708</v>
      </c>
    </row>
    <row r="260" spans="1:16" x14ac:dyDescent="0.25">
      <c r="A260" s="10">
        <v>38001</v>
      </c>
      <c r="B260">
        <v>164.5634197900072</v>
      </c>
      <c r="C260">
        <v>82.993639999999999</v>
      </c>
      <c r="D260">
        <v>0</v>
      </c>
      <c r="E260">
        <v>0</v>
      </c>
      <c r="F260">
        <v>0</v>
      </c>
      <c r="G260">
        <v>79.635980904781022</v>
      </c>
      <c r="H260">
        <v>-0.40799999999999409</v>
      </c>
      <c r="I260">
        <v>0</v>
      </c>
      <c r="J260">
        <v>0</v>
      </c>
      <c r="K260">
        <v>0.45614892000000001</v>
      </c>
      <c r="L260">
        <v>0.98268999999999995</v>
      </c>
      <c r="M260">
        <v>0</v>
      </c>
      <c r="N260">
        <v>0</v>
      </c>
      <c r="O260">
        <v>0.90295996522615507</v>
      </c>
      <c r="P260">
        <v>47093.48807463191</v>
      </c>
    </row>
    <row r="261" spans="1:16" x14ac:dyDescent="0.25">
      <c r="A261" s="10">
        <v>38002</v>
      </c>
      <c r="B261">
        <v>92.005423984992376</v>
      </c>
      <c r="C261">
        <v>88.778999999999996</v>
      </c>
      <c r="D261">
        <v>0</v>
      </c>
      <c r="E261">
        <v>0</v>
      </c>
      <c r="F261">
        <v>0</v>
      </c>
      <c r="G261">
        <v>-14.33511367</v>
      </c>
      <c r="H261">
        <v>-0.2369999999999948</v>
      </c>
      <c r="I261">
        <v>0</v>
      </c>
      <c r="J261">
        <v>0</v>
      </c>
      <c r="K261">
        <v>0.48617381999999998</v>
      </c>
      <c r="L261">
        <v>18.32016999999999</v>
      </c>
      <c r="M261">
        <v>0</v>
      </c>
      <c r="N261">
        <v>0</v>
      </c>
      <c r="O261">
        <v>-1.0078061650076271</v>
      </c>
      <c r="P261">
        <v>47185.419689093091</v>
      </c>
    </row>
    <row r="262" spans="1:16" x14ac:dyDescent="0.25">
      <c r="A262" s="10">
        <v>38005</v>
      </c>
      <c r="B262">
        <v>60.710354576505772</v>
      </c>
      <c r="C262">
        <v>-2.3090000000000002</v>
      </c>
      <c r="D262">
        <v>0</v>
      </c>
      <c r="E262">
        <v>0</v>
      </c>
      <c r="F262">
        <v>0</v>
      </c>
      <c r="G262">
        <v>61.571198507331999</v>
      </c>
      <c r="H262">
        <v>0.40899999999999892</v>
      </c>
      <c r="I262">
        <v>0</v>
      </c>
      <c r="J262">
        <v>0</v>
      </c>
      <c r="K262">
        <v>1.4285648</v>
      </c>
      <c r="L262">
        <v>0</v>
      </c>
      <c r="M262">
        <v>0</v>
      </c>
      <c r="N262">
        <v>0</v>
      </c>
      <c r="O262">
        <v>-0.38940873082622462</v>
      </c>
      <c r="P262">
        <v>47238.766234145791</v>
      </c>
    </row>
    <row r="263" spans="1:16" x14ac:dyDescent="0.25">
      <c r="A263" s="10">
        <v>38006</v>
      </c>
      <c r="B263">
        <v>59.472719348501407</v>
      </c>
      <c r="C263">
        <v>74.314999999999998</v>
      </c>
      <c r="D263">
        <v>-19.92858</v>
      </c>
      <c r="E263">
        <v>0</v>
      </c>
      <c r="F263">
        <v>0</v>
      </c>
      <c r="G263">
        <v>-4.4685284499940003</v>
      </c>
      <c r="H263">
        <v>-7.2142600000006496E-2</v>
      </c>
      <c r="I263">
        <v>0</v>
      </c>
      <c r="J263">
        <v>0</v>
      </c>
      <c r="K263">
        <v>0.47616324999999998</v>
      </c>
      <c r="L263">
        <v>0</v>
      </c>
      <c r="M263">
        <v>0</v>
      </c>
      <c r="N263">
        <v>0</v>
      </c>
      <c r="O263">
        <v>9.1508071484954154</v>
      </c>
      <c r="P263">
        <v>47297.265143970479</v>
      </c>
    </row>
    <row r="264" spans="1:16" x14ac:dyDescent="0.25">
      <c r="A264" s="10">
        <v>38007</v>
      </c>
      <c r="B264">
        <v>-175.34021037000639</v>
      </c>
      <c r="C264">
        <v>74.340119999999999</v>
      </c>
      <c r="D264">
        <v>0</v>
      </c>
      <c r="E264">
        <v>0</v>
      </c>
      <c r="F264">
        <v>0</v>
      </c>
      <c r="G264">
        <v>11.185239479018</v>
      </c>
      <c r="H264">
        <v>-0.23100000000000159</v>
      </c>
      <c r="I264">
        <v>0</v>
      </c>
      <c r="J264">
        <v>0</v>
      </c>
      <c r="K264">
        <v>0.57616680999991821</v>
      </c>
      <c r="L264">
        <v>-309.15799291893802</v>
      </c>
      <c r="M264">
        <v>0</v>
      </c>
      <c r="N264">
        <v>0</v>
      </c>
      <c r="O264">
        <v>47.947256259913722</v>
      </c>
      <c r="P264">
        <v>47121.85112407666</v>
      </c>
    </row>
    <row r="265" spans="1:16" x14ac:dyDescent="0.25">
      <c r="A265" s="10">
        <v>38008</v>
      </c>
      <c r="B265">
        <v>-178.94702127999329</v>
      </c>
      <c r="C265">
        <v>61.930000000000007</v>
      </c>
      <c r="D265">
        <v>0</v>
      </c>
      <c r="E265">
        <v>0</v>
      </c>
      <c r="F265">
        <v>0</v>
      </c>
      <c r="G265">
        <v>-86.211254497943983</v>
      </c>
      <c r="H265">
        <v>-156.21600000000001</v>
      </c>
      <c r="I265">
        <v>0</v>
      </c>
      <c r="J265">
        <v>0</v>
      </c>
      <c r="K265">
        <v>0.48685757000000002</v>
      </c>
      <c r="L265">
        <v>0.98404000000000003</v>
      </c>
      <c r="M265">
        <v>0</v>
      </c>
      <c r="N265">
        <v>0</v>
      </c>
      <c r="O265">
        <v>7.9335647950653065E-2</v>
      </c>
      <c r="P265">
        <v>46942.830293272862</v>
      </c>
    </row>
    <row r="266" spans="1:16" x14ac:dyDescent="0.25">
      <c r="A266" s="10">
        <v>38009</v>
      </c>
      <c r="B266">
        <v>156.1114477099932</v>
      </c>
      <c r="C266">
        <v>82.411690160000006</v>
      </c>
      <c r="D266">
        <v>0</v>
      </c>
      <c r="E266">
        <v>0</v>
      </c>
      <c r="F266">
        <v>0</v>
      </c>
      <c r="G266">
        <v>70.028980781039991</v>
      </c>
      <c r="H266">
        <v>0</v>
      </c>
      <c r="I266">
        <v>0</v>
      </c>
      <c r="J266">
        <v>0</v>
      </c>
      <c r="K266">
        <v>0.45844610000000002</v>
      </c>
      <c r="L266">
        <v>0</v>
      </c>
      <c r="M266">
        <v>0</v>
      </c>
      <c r="N266">
        <v>0</v>
      </c>
      <c r="O266">
        <v>3.212330668953232</v>
      </c>
      <c r="P266">
        <v>47098.909485359043</v>
      </c>
    </row>
    <row r="267" spans="1:16" x14ac:dyDescent="0.25">
      <c r="A267" s="10">
        <v>38012</v>
      </c>
      <c r="B267">
        <v>60.249829840002349</v>
      </c>
      <c r="C267">
        <v>54.481000000000009</v>
      </c>
      <c r="D267">
        <v>0</v>
      </c>
      <c r="E267">
        <v>0</v>
      </c>
      <c r="F267">
        <v>0</v>
      </c>
      <c r="G267">
        <v>4.3142377273279999</v>
      </c>
      <c r="H267">
        <v>5.6999999999987949E-2</v>
      </c>
      <c r="I267">
        <v>0</v>
      </c>
      <c r="J267">
        <v>0</v>
      </c>
      <c r="K267">
        <v>1.48753351</v>
      </c>
      <c r="L267">
        <v>1.9447890000000001</v>
      </c>
      <c r="M267">
        <v>0</v>
      </c>
      <c r="N267">
        <v>0</v>
      </c>
      <c r="O267">
        <v>-2.034730397325649</v>
      </c>
      <c r="P267">
        <v>47159.085505675233</v>
      </c>
    </row>
    <row r="268" spans="1:16" x14ac:dyDescent="0.25">
      <c r="A268" s="10">
        <v>38013</v>
      </c>
      <c r="B268">
        <v>53.862174040004888</v>
      </c>
      <c r="C268">
        <v>58.07670000000001</v>
      </c>
      <c r="D268">
        <v>0</v>
      </c>
      <c r="E268">
        <v>0</v>
      </c>
      <c r="F268">
        <v>0</v>
      </c>
      <c r="G268">
        <v>-7.0356317100800014</v>
      </c>
      <c r="H268">
        <v>-0.34661811000000847</v>
      </c>
      <c r="I268">
        <v>0</v>
      </c>
      <c r="J268">
        <v>0</v>
      </c>
      <c r="K268">
        <v>0.49584117999999999</v>
      </c>
      <c r="L268">
        <v>0</v>
      </c>
      <c r="M268">
        <v>0</v>
      </c>
      <c r="N268">
        <v>0</v>
      </c>
      <c r="O268">
        <v>2.6718826800849</v>
      </c>
      <c r="P268">
        <v>47212.873870191434</v>
      </c>
    </row>
    <row r="269" spans="1:16" x14ac:dyDescent="0.25">
      <c r="A269" s="10">
        <v>38014</v>
      </c>
      <c r="B269">
        <v>-293.28920165300218</v>
      </c>
      <c r="C269">
        <v>60.454175849999999</v>
      </c>
      <c r="D269">
        <v>0</v>
      </c>
      <c r="E269">
        <v>0</v>
      </c>
      <c r="F269">
        <v>0</v>
      </c>
      <c r="G269">
        <v>3.805037355150001</v>
      </c>
      <c r="H269">
        <v>-6.157656999999972E-2</v>
      </c>
      <c r="I269">
        <v>0</v>
      </c>
      <c r="J269">
        <v>6.9999999999708962E-2</v>
      </c>
      <c r="K269">
        <v>0.4686111</v>
      </c>
      <c r="L269">
        <v>-374.03685266039389</v>
      </c>
      <c r="M269">
        <v>10.72904800000015</v>
      </c>
      <c r="N269">
        <v>0</v>
      </c>
      <c r="O269">
        <v>5.282355272241869</v>
      </c>
      <c r="P269">
        <v>46908.781811014618</v>
      </c>
    </row>
    <row r="270" spans="1:16" x14ac:dyDescent="0.25">
      <c r="A270" s="10">
        <v>38015</v>
      </c>
      <c r="B270">
        <v>35.019842963003612</v>
      </c>
      <c r="C270">
        <v>63.364775069999993</v>
      </c>
      <c r="D270">
        <v>-35.01</v>
      </c>
      <c r="E270">
        <v>0</v>
      </c>
      <c r="F270">
        <v>0</v>
      </c>
      <c r="G270">
        <v>-1.578795956175</v>
      </c>
      <c r="H270">
        <v>-0.23474610000000951</v>
      </c>
      <c r="I270">
        <v>0</v>
      </c>
      <c r="J270">
        <v>0</v>
      </c>
      <c r="K270">
        <v>0.4591963</v>
      </c>
      <c r="L270">
        <v>6.8385230000000004</v>
      </c>
      <c r="M270">
        <v>0</v>
      </c>
      <c r="N270">
        <v>0</v>
      </c>
      <c r="O270">
        <v>1.180890649178636</v>
      </c>
      <c r="P270">
        <v>46943.727844453817</v>
      </c>
    </row>
    <row r="271" spans="1:16" x14ac:dyDescent="0.25">
      <c r="A271" s="10">
        <v>38016</v>
      </c>
      <c r="B271">
        <v>57.479694380002847</v>
      </c>
      <c r="C271">
        <v>59.669550000000022</v>
      </c>
      <c r="D271">
        <v>-25.0138</v>
      </c>
      <c r="E271">
        <v>0</v>
      </c>
      <c r="F271">
        <v>0</v>
      </c>
      <c r="G271">
        <v>8.1465434157478818</v>
      </c>
      <c r="H271">
        <v>-6.7030000010959156E-5</v>
      </c>
      <c r="I271">
        <v>0</v>
      </c>
      <c r="J271">
        <v>0</v>
      </c>
      <c r="K271">
        <v>0.49593273999999998</v>
      </c>
      <c r="L271">
        <v>2.9068870000000002</v>
      </c>
      <c r="M271">
        <v>0</v>
      </c>
      <c r="N271">
        <v>0</v>
      </c>
      <c r="O271">
        <v>11.27464825425497</v>
      </c>
      <c r="P271">
        <v>46998.553729310013</v>
      </c>
    </row>
    <row r="272" spans="1:16" x14ac:dyDescent="0.25">
      <c r="A272" s="10">
        <v>38019</v>
      </c>
      <c r="B272">
        <v>41.342087929995607</v>
      </c>
      <c r="C272">
        <v>41.256449999999987</v>
      </c>
      <c r="D272">
        <v>0</v>
      </c>
      <c r="E272">
        <v>0</v>
      </c>
      <c r="F272">
        <v>0</v>
      </c>
      <c r="G272">
        <v>-9.345067849442998</v>
      </c>
      <c r="H272">
        <v>-1.1387799999909021E-3</v>
      </c>
      <c r="I272">
        <v>0</v>
      </c>
      <c r="J272">
        <v>0.1100000000005821</v>
      </c>
      <c r="K272">
        <v>1.58779823</v>
      </c>
      <c r="L272">
        <v>1.90666</v>
      </c>
      <c r="M272">
        <v>0</v>
      </c>
      <c r="N272">
        <v>0</v>
      </c>
      <c r="O272">
        <v>5.8273863294380197</v>
      </c>
      <c r="P272">
        <v>47039.885447590001</v>
      </c>
    </row>
    <row r="273" spans="1:16" x14ac:dyDescent="0.25">
      <c r="A273" s="10">
        <v>38020</v>
      </c>
      <c r="B273">
        <v>324.40122309999418</v>
      </c>
      <c r="C273">
        <v>29.487619999999989</v>
      </c>
      <c r="D273">
        <v>0</v>
      </c>
      <c r="E273">
        <v>0</v>
      </c>
      <c r="F273">
        <v>0</v>
      </c>
      <c r="G273">
        <v>363.48177844356007</v>
      </c>
      <c r="H273">
        <v>-0.17331811000000391</v>
      </c>
      <c r="I273">
        <v>0</v>
      </c>
      <c r="J273">
        <v>-1.840000000000146</v>
      </c>
      <c r="K273">
        <v>-63.980672100000064</v>
      </c>
      <c r="L273">
        <v>0</v>
      </c>
      <c r="M273">
        <v>0</v>
      </c>
      <c r="N273">
        <v>0</v>
      </c>
      <c r="O273">
        <v>-2.5741851335656292</v>
      </c>
      <c r="P273">
        <v>47364.276301040001</v>
      </c>
    </row>
    <row r="274" spans="1:16" x14ac:dyDescent="0.25">
      <c r="A274" s="10">
        <v>38021</v>
      </c>
      <c r="B274">
        <v>-158.64452404999611</v>
      </c>
      <c r="C274">
        <v>46.223216959999988</v>
      </c>
      <c r="D274">
        <v>0</v>
      </c>
      <c r="E274">
        <v>0</v>
      </c>
      <c r="F274">
        <v>0</v>
      </c>
      <c r="G274">
        <v>-7.5950497499999976</v>
      </c>
      <c r="H274">
        <v>0.1139999999999972</v>
      </c>
      <c r="I274">
        <v>0</v>
      </c>
      <c r="J274">
        <v>0</v>
      </c>
      <c r="K274">
        <v>0.49594248000000002</v>
      </c>
      <c r="L274">
        <v>-218.25682592659621</v>
      </c>
      <c r="M274">
        <v>0</v>
      </c>
      <c r="N274">
        <v>0</v>
      </c>
      <c r="O274">
        <v>20.374192186600059</v>
      </c>
      <c r="P274">
        <v>47205.621407339997</v>
      </c>
    </row>
    <row r="275" spans="1:16" x14ac:dyDescent="0.25">
      <c r="A275" s="10">
        <v>38022</v>
      </c>
      <c r="B275">
        <v>0.86284228000295116</v>
      </c>
      <c r="C275">
        <v>31.749677800000001</v>
      </c>
      <c r="D275">
        <v>0</v>
      </c>
      <c r="E275">
        <v>0</v>
      </c>
      <c r="F275">
        <v>0</v>
      </c>
      <c r="G275">
        <v>-4.4243967000000026</v>
      </c>
      <c r="H275">
        <v>0.11823188999999699</v>
      </c>
      <c r="I275">
        <v>0</v>
      </c>
      <c r="J275">
        <v>0</v>
      </c>
      <c r="K275">
        <v>0.49594248000000002</v>
      </c>
      <c r="L275">
        <v>1.9464349999999999</v>
      </c>
      <c r="M275">
        <v>0</v>
      </c>
      <c r="N275">
        <v>0</v>
      </c>
      <c r="O275">
        <v>-29.023048189997041</v>
      </c>
      <c r="P275">
        <v>47206.473879970014</v>
      </c>
    </row>
    <row r="276" spans="1:16" x14ac:dyDescent="0.25">
      <c r="A276" s="10">
        <v>38023</v>
      </c>
      <c r="B276">
        <v>-337.14861780000513</v>
      </c>
      <c r="C276">
        <v>31.140468370000011</v>
      </c>
      <c r="D276">
        <v>-370</v>
      </c>
      <c r="E276">
        <v>0</v>
      </c>
      <c r="F276">
        <v>0</v>
      </c>
      <c r="G276">
        <v>-3.3774219767999512</v>
      </c>
      <c r="H276">
        <v>-0.23839710000001449</v>
      </c>
      <c r="I276">
        <v>0</v>
      </c>
      <c r="J276">
        <v>0</v>
      </c>
      <c r="K276">
        <v>0.48597499</v>
      </c>
      <c r="L276">
        <v>0.98435799999999996</v>
      </c>
      <c r="M276">
        <v>0</v>
      </c>
      <c r="N276">
        <v>0</v>
      </c>
      <c r="O276">
        <v>3.8563999167949481</v>
      </c>
      <c r="P276">
        <v>46868.95489252</v>
      </c>
    </row>
    <row r="277" spans="1:16" x14ac:dyDescent="0.25">
      <c r="A277" s="10">
        <v>38026</v>
      </c>
      <c r="B277">
        <v>69.86908976000268</v>
      </c>
      <c r="C277">
        <v>13.916650000000001</v>
      </c>
      <c r="D277">
        <v>0</v>
      </c>
      <c r="E277">
        <v>0</v>
      </c>
      <c r="F277">
        <v>0</v>
      </c>
      <c r="G277">
        <v>4.4181696899999574</v>
      </c>
      <c r="H277">
        <v>4.0000000000048894E-3</v>
      </c>
      <c r="I277">
        <v>0</v>
      </c>
      <c r="J277">
        <v>0</v>
      </c>
      <c r="K277">
        <v>1.38796399</v>
      </c>
      <c r="L277">
        <v>0.938245</v>
      </c>
      <c r="M277">
        <v>0</v>
      </c>
      <c r="N277">
        <v>0</v>
      </c>
      <c r="O277">
        <v>49.204061080002717</v>
      </c>
      <c r="P277">
        <v>46938.813612630001</v>
      </c>
    </row>
    <row r="278" spans="1:16" x14ac:dyDescent="0.25">
      <c r="A278" s="10">
        <v>38027</v>
      </c>
      <c r="B278">
        <v>23.795562470000728</v>
      </c>
      <c r="C278">
        <v>31.329000000000011</v>
      </c>
      <c r="D278">
        <v>0</v>
      </c>
      <c r="E278">
        <v>0</v>
      </c>
      <c r="F278">
        <v>0</v>
      </c>
      <c r="G278">
        <v>-6.3160500345950084</v>
      </c>
      <c r="H278">
        <v>0.5280000000000058</v>
      </c>
      <c r="I278">
        <v>0</v>
      </c>
      <c r="J278">
        <v>-3.9999999997235143E-2</v>
      </c>
      <c r="K278">
        <v>0.42987740000000002</v>
      </c>
      <c r="L278">
        <v>0</v>
      </c>
      <c r="M278">
        <v>0</v>
      </c>
      <c r="N278">
        <v>0</v>
      </c>
      <c r="O278">
        <v>-2.1352648954070359</v>
      </c>
      <c r="P278">
        <v>46962.598805449998</v>
      </c>
    </row>
    <row r="279" spans="1:16" x14ac:dyDescent="0.25">
      <c r="A279" s="10">
        <v>38028</v>
      </c>
      <c r="B279">
        <v>-207.9560809999966</v>
      </c>
      <c r="C279">
        <v>17.121000000000009</v>
      </c>
      <c r="D279">
        <v>0</v>
      </c>
      <c r="E279">
        <v>0</v>
      </c>
      <c r="F279">
        <v>0</v>
      </c>
      <c r="G279">
        <v>-36.30459680904</v>
      </c>
      <c r="H279">
        <v>-0.47200000000000131</v>
      </c>
      <c r="I279">
        <v>0</v>
      </c>
      <c r="J279">
        <v>0</v>
      </c>
      <c r="K279">
        <v>0.45958949999999998</v>
      </c>
      <c r="L279">
        <v>-202.38735122289461</v>
      </c>
      <c r="M279">
        <v>0</v>
      </c>
      <c r="N279">
        <v>0</v>
      </c>
      <c r="O279">
        <v>13.62727753193801</v>
      </c>
      <c r="P279">
        <v>46754.6323548</v>
      </c>
    </row>
    <row r="280" spans="1:16" x14ac:dyDescent="0.25">
      <c r="A280" s="10">
        <v>38029</v>
      </c>
      <c r="B280">
        <v>-61.28897680999944</v>
      </c>
      <c r="C280">
        <v>29.13</v>
      </c>
      <c r="D280">
        <v>0</v>
      </c>
      <c r="E280">
        <v>0</v>
      </c>
      <c r="F280">
        <v>0</v>
      </c>
      <c r="G280">
        <v>-50.475141955048009</v>
      </c>
      <c r="H280">
        <v>0.7334463700000029</v>
      </c>
      <c r="I280">
        <v>0</v>
      </c>
      <c r="J280">
        <v>0</v>
      </c>
      <c r="K280">
        <v>0.4599376</v>
      </c>
      <c r="L280">
        <v>0</v>
      </c>
      <c r="M280">
        <v>0</v>
      </c>
      <c r="N280">
        <v>0</v>
      </c>
      <c r="O280">
        <v>-41.137218824951432</v>
      </c>
      <c r="P280">
        <v>46693.333008340007</v>
      </c>
    </row>
    <row r="281" spans="1:16" x14ac:dyDescent="0.25">
      <c r="A281" s="10">
        <v>38030</v>
      </c>
      <c r="B281">
        <v>110.1030578099962</v>
      </c>
      <c r="C281">
        <v>18.352</v>
      </c>
      <c r="D281">
        <v>0</v>
      </c>
      <c r="E281">
        <v>0</v>
      </c>
      <c r="F281">
        <v>0</v>
      </c>
      <c r="G281">
        <v>4.0449493387750017</v>
      </c>
      <c r="H281">
        <v>0.47299999999999193</v>
      </c>
      <c r="I281">
        <v>0</v>
      </c>
      <c r="J281">
        <v>0</v>
      </c>
      <c r="K281">
        <v>0.4595397</v>
      </c>
      <c r="L281">
        <v>83.234250000000003</v>
      </c>
      <c r="M281">
        <v>0</v>
      </c>
      <c r="N281">
        <v>0</v>
      </c>
      <c r="O281">
        <v>3.5393187712212408</v>
      </c>
      <c r="P281">
        <v>46802.625696499999</v>
      </c>
    </row>
    <row r="282" spans="1:16" x14ac:dyDescent="0.25">
      <c r="A282" s="10">
        <v>38033</v>
      </c>
      <c r="B282">
        <v>-46.911999999996617</v>
      </c>
      <c r="C282">
        <v>-4.3760000000000003</v>
      </c>
      <c r="D282">
        <v>0</v>
      </c>
      <c r="E282">
        <v>0</v>
      </c>
      <c r="F282">
        <v>0</v>
      </c>
      <c r="G282">
        <v>-43.694890039859978</v>
      </c>
      <c r="H282">
        <v>0.37699999999999528</v>
      </c>
      <c r="I282">
        <v>0</v>
      </c>
      <c r="J282">
        <v>-2.0000000000436561E-2</v>
      </c>
      <c r="K282">
        <v>1.43778494</v>
      </c>
      <c r="L282">
        <v>0</v>
      </c>
      <c r="M282">
        <v>0</v>
      </c>
      <c r="N282">
        <v>0</v>
      </c>
      <c r="O282">
        <v>-0.63589490013619776</v>
      </c>
      <c r="P282">
        <v>46755.703326849987</v>
      </c>
    </row>
    <row r="283" spans="1:16" x14ac:dyDescent="0.25">
      <c r="A283" s="10">
        <v>38034</v>
      </c>
      <c r="B283">
        <v>43.921999999998661</v>
      </c>
      <c r="C283">
        <v>46.687999999999988</v>
      </c>
      <c r="D283">
        <v>0</v>
      </c>
      <c r="E283">
        <v>0</v>
      </c>
      <c r="F283">
        <v>0</v>
      </c>
      <c r="G283">
        <v>-3.8900779403520001</v>
      </c>
      <c r="H283">
        <v>0.16743696000005309</v>
      </c>
      <c r="I283">
        <v>0</v>
      </c>
      <c r="J283">
        <v>-2.0000000000436561E-2</v>
      </c>
      <c r="K283">
        <v>0.496</v>
      </c>
      <c r="L283">
        <v>0</v>
      </c>
      <c r="M283">
        <v>0</v>
      </c>
      <c r="N283">
        <v>0</v>
      </c>
      <c r="O283">
        <v>0.48064098035105329</v>
      </c>
      <c r="P283">
        <v>46799.614957199999</v>
      </c>
    </row>
    <row r="284" spans="1:16" x14ac:dyDescent="0.25">
      <c r="A284" s="10">
        <v>38035</v>
      </c>
      <c r="B284">
        <v>-159.65700000000649</v>
      </c>
      <c r="C284">
        <v>10.499000000000001</v>
      </c>
      <c r="D284">
        <v>0</v>
      </c>
      <c r="E284">
        <v>0</v>
      </c>
      <c r="F284">
        <v>0</v>
      </c>
      <c r="G284">
        <v>55.392607022040004</v>
      </c>
      <c r="H284">
        <v>-0.19699999999998849</v>
      </c>
      <c r="I284">
        <v>0</v>
      </c>
      <c r="J284">
        <v>0</v>
      </c>
      <c r="K284">
        <v>0.45901140000000001</v>
      </c>
      <c r="L284">
        <v>-241.9128950985928</v>
      </c>
      <c r="M284">
        <v>0</v>
      </c>
      <c r="N284">
        <v>0</v>
      </c>
      <c r="O284">
        <v>16.102276676546239</v>
      </c>
      <c r="P284">
        <v>46639.947587549992</v>
      </c>
    </row>
    <row r="285" spans="1:16" x14ac:dyDescent="0.25">
      <c r="A285" s="10">
        <v>38036</v>
      </c>
      <c r="B285">
        <v>22.628000000004249</v>
      </c>
      <c r="C285">
        <v>33.4</v>
      </c>
      <c r="D285">
        <v>0</v>
      </c>
      <c r="E285">
        <v>0</v>
      </c>
      <c r="F285">
        <v>0</v>
      </c>
      <c r="G285">
        <v>-18.204489935678001</v>
      </c>
      <c r="H285">
        <v>0.10600000000000161</v>
      </c>
      <c r="I285">
        <v>0</v>
      </c>
      <c r="J285">
        <v>0</v>
      </c>
      <c r="K285">
        <v>0.45929700000000001</v>
      </c>
      <c r="L285">
        <v>1.92476</v>
      </c>
      <c r="M285">
        <v>0</v>
      </c>
      <c r="N285">
        <v>0</v>
      </c>
      <c r="O285">
        <v>4.9424329356822509</v>
      </c>
      <c r="P285">
        <v>46662.565217900003</v>
      </c>
    </row>
    <row r="286" spans="1:16" x14ac:dyDescent="0.25">
      <c r="A286" s="10">
        <v>38037</v>
      </c>
      <c r="B286">
        <v>172.502999999997</v>
      </c>
      <c r="C286">
        <v>16.786999999999999</v>
      </c>
      <c r="D286">
        <v>-29.985959999999999</v>
      </c>
      <c r="E286">
        <v>0</v>
      </c>
      <c r="F286">
        <v>0</v>
      </c>
      <c r="G286">
        <v>81.798079472156004</v>
      </c>
      <c r="H286">
        <v>-5.7999999999999829E-2</v>
      </c>
      <c r="I286">
        <v>0</v>
      </c>
      <c r="J286">
        <v>0</v>
      </c>
      <c r="K286">
        <v>0.45923180000000002</v>
      </c>
      <c r="L286">
        <v>104.9180792207637</v>
      </c>
      <c r="M286">
        <v>0</v>
      </c>
      <c r="N286">
        <v>0</v>
      </c>
      <c r="O286">
        <v>-1.4154304929227199</v>
      </c>
      <c r="P286">
        <v>46834.217848249988</v>
      </c>
    </row>
    <row r="287" spans="1:16" x14ac:dyDescent="0.25">
      <c r="A287" s="10">
        <v>38040</v>
      </c>
      <c r="B287">
        <v>52.897000000004482</v>
      </c>
      <c r="C287">
        <v>29.89299999999999</v>
      </c>
      <c r="D287">
        <v>0</v>
      </c>
      <c r="E287">
        <v>0</v>
      </c>
      <c r="F287">
        <v>0</v>
      </c>
      <c r="G287">
        <v>18.36070407035599</v>
      </c>
      <c r="H287">
        <v>0.17799999999999019</v>
      </c>
      <c r="I287">
        <v>0</v>
      </c>
      <c r="J287">
        <v>0</v>
      </c>
      <c r="K287">
        <v>1.4877790099999999</v>
      </c>
      <c r="L287">
        <v>0</v>
      </c>
      <c r="M287">
        <v>0</v>
      </c>
      <c r="N287">
        <v>0</v>
      </c>
      <c r="O287">
        <v>2.9775169196485098</v>
      </c>
      <c r="P287">
        <v>46887.104478599998</v>
      </c>
    </row>
    <row r="288" spans="1:16" x14ac:dyDescent="0.25">
      <c r="A288" s="10">
        <v>38041</v>
      </c>
      <c r="B288">
        <v>30.11399999999071</v>
      </c>
      <c r="C288">
        <v>29.006</v>
      </c>
      <c r="D288">
        <v>0</v>
      </c>
      <c r="E288">
        <v>0</v>
      </c>
      <c r="F288">
        <v>0</v>
      </c>
      <c r="G288">
        <v>-0.91490364771399946</v>
      </c>
      <c r="H288">
        <v>-0.18200000000000219</v>
      </c>
      <c r="I288">
        <v>0</v>
      </c>
      <c r="J288">
        <v>-1.000000000203727E-2</v>
      </c>
      <c r="K288">
        <v>0.32916590000011831</v>
      </c>
      <c r="L288">
        <v>0</v>
      </c>
      <c r="M288">
        <v>0</v>
      </c>
      <c r="N288">
        <v>0</v>
      </c>
      <c r="O288">
        <v>1.8857377477066311</v>
      </c>
      <c r="P288">
        <v>46917.208108949992</v>
      </c>
    </row>
    <row r="289" spans="1:16" x14ac:dyDescent="0.25">
      <c r="A289" s="10">
        <v>38042</v>
      </c>
      <c r="B289">
        <v>-47.951999999997497</v>
      </c>
      <c r="C289">
        <v>29.794999999999991</v>
      </c>
      <c r="D289">
        <v>0</v>
      </c>
      <c r="E289">
        <v>0</v>
      </c>
      <c r="F289">
        <v>0</v>
      </c>
      <c r="G289">
        <v>-3.8204806855600002</v>
      </c>
      <c r="H289">
        <v>0.1149999999999949</v>
      </c>
      <c r="I289">
        <v>0</v>
      </c>
      <c r="J289">
        <v>0</v>
      </c>
      <c r="K289">
        <v>0.45926339999999999</v>
      </c>
      <c r="L289">
        <v>-99.740495098190706</v>
      </c>
      <c r="M289">
        <v>0</v>
      </c>
      <c r="N289">
        <v>0</v>
      </c>
      <c r="O289">
        <v>25.239712383753229</v>
      </c>
      <c r="P289">
        <v>46869.2457393</v>
      </c>
    </row>
    <row r="290" spans="1:16" x14ac:dyDescent="0.25">
      <c r="A290" s="10">
        <v>38043</v>
      </c>
      <c r="B290">
        <v>8.0240000000048894</v>
      </c>
      <c r="C290">
        <v>29.446000000000002</v>
      </c>
      <c r="D290">
        <v>0</v>
      </c>
      <c r="E290">
        <v>0</v>
      </c>
      <c r="F290">
        <v>0</v>
      </c>
      <c r="G290">
        <v>-22.003632710720002</v>
      </c>
      <c r="H290">
        <v>-0.1189999999999856</v>
      </c>
      <c r="I290">
        <v>0</v>
      </c>
      <c r="J290">
        <v>-0.27999999999883579</v>
      </c>
      <c r="K290">
        <v>0.45948840000000002</v>
      </c>
      <c r="L290">
        <v>0</v>
      </c>
      <c r="M290">
        <v>0</v>
      </c>
      <c r="N290">
        <v>0</v>
      </c>
      <c r="O290">
        <v>0.52114431072371514</v>
      </c>
      <c r="P290">
        <v>46877.259369649997</v>
      </c>
    </row>
    <row r="291" spans="1:16" x14ac:dyDescent="0.25">
      <c r="A291" s="10">
        <v>38044</v>
      </c>
      <c r="B291">
        <v>18.394189970003939</v>
      </c>
      <c r="C291">
        <v>31.134890469999998</v>
      </c>
      <c r="D291">
        <v>0</v>
      </c>
      <c r="E291">
        <v>0</v>
      </c>
      <c r="F291">
        <v>0</v>
      </c>
      <c r="G291">
        <v>-6.0755457784139999</v>
      </c>
      <c r="H291">
        <v>0.18656767999998891</v>
      </c>
      <c r="I291">
        <v>0</v>
      </c>
      <c r="J291">
        <v>-7.9999999998108251E-2</v>
      </c>
      <c r="K291">
        <v>0.45954889999999998</v>
      </c>
      <c r="L291">
        <v>0</v>
      </c>
      <c r="M291">
        <v>0</v>
      </c>
      <c r="N291">
        <v>0</v>
      </c>
      <c r="O291">
        <v>-7.2312713015839476</v>
      </c>
      <c r="P291">
        <v>46895.003189969997</v>
      </c>
    </row>
    <row r="292" spans="1:16" x14ac:dyDescent="0.25">
      <c r="A292" s="10">
        <v>38047</v>
      </c>
      <c r="B292">
        <v>-8.2885170006186115E-2</v>
      </c>
      <c r="C292">
        <v>25.4054</v>
      </c>
      <c r="D292">
        <v>-170</v>
      </c>
      <c r="E292">
        <v>0</v>
      </c>
      <c r="F292">
        <v>0</v>
      </c>
      <c r="G292">
        <v>8.9754998745399917</v>
      </c>
      <c r="H292">
        <v>-0.30048256999999268</v>
      </c>
      <c r="I292">
        <v>0</v>
      </c>
      <c r="J292">
        <v>-6.0000000001309672E-2</v>
      </c>
      <c r="K292">
        <v>107.25783588</v>
      </c>
      <c r="L292">
        <v>0</v>
      </c>
      <c r="M292">
        <v>0</v>
      </c>
      <c r="N292">
        <v>0</v>
      </c>
      <c r="O292">
        <v>28.63886164545513</v>
      </c>
      <c r="P292">
        <v>46894.920304799998</v>
      </c>
    </row>
    <row r="293" spans="1:16" x14ac:dyDescent="0.25">
      <c r="A293" s="10">
        <v>38048</v>
      </c>
      <c r="B293">
        <v>-158.93477445999449</v>
      </c>
      <c r="C293">
        <v>33.792099999999991</v>
      </c>
      <c r="D293">
        <v>0</v>
      </c>
      <c r="E293">
        <v>0</v>
      </c>
      <c r="F293">
        <v>0</v>
      </c>
      <c r="G293">
        <v>-5.8071359029189988</v>
      </c>
      <c r="H293">
        <v>-0.1130851100000001</v>
      </c>
      <c r="I293">
        <v>0</v>
      </c>
      <c r="J293">
        <v>-131.7099999999991</v>
      </c>
      <c r="K293">
        <v>-55.960389100000043</v>
      </c>
      <c r="L293">
        <v>0</v>
      </c>
      <c r="M293">
        <v>0</v>
      </c>
      <c r="N293">
        <v>0</v>
      </c>
      <c r="O293">
        <v>0.86373565292367294</v>
      </c>
      <c r="P293">
        <v>46735.185530340001</v>
      </c>
    </row>
    <row r="294" spans="1:16" x14ac:dyDescent="0.25">
      <c r="A294" s="10">
        <v>38049</v>
      </c>
      <c r="B294">
        <v>-127.34921513999871</v>
      </c>
      <c r="C294">
        <v>29.514199999999999</v>
      </c>
      <c r="D294">
        <v>0</v>
      </c>
      <c r="E294">
        <v>0</v>
      </c>
      <c r="F294">
        <v>0</v>
      </c>
      <c r="G294">
        <v>5.7315646810320002</v>
      </c>
      <c r="H294">
        <v>-0.58699999999999619</v>
      </c>
      <c r="I294">
        <v>0</v>
      </c>
      <c r="J294">
        <v>0</v>
      </c>
      <c r="K294">
        <v>-4.0328099999999999E-2</v>
      </c>
      <c r="L294">
        <v>-207.8746572740684</v>
      </c>
      <c r="M294">
        <v>0</v>
      </c>
      <c r="N294">
        <v>0</v>
      </c>
      <c r="O294">
        <v>45.907005553037699</v>
      </c>
      <c r="P294">
        <v>46607.836315200002</v>
      </c>
    </row>
    <row r="295" spans="1:16" x14ac:dyDescent="0.25">
      <c r="A295" s="10">
        <v>38050</v>
      </c>
      <c r="B295">
        <v>-2.6755187100061448</v>
      </c>
      <c r="C295">
        <v>24.333000000000009</v>
      </c>
      <c r="D295">
        <v>0</v>
      </c>
      <c r="E295">
        <v>0</v>
      </c>
      <c r="F295">
        <v>0</v>
      </c>
      <c r="G295">
        <v>3.4399216579779992</v>
      </c>
      <c r="H295">
        <v>0.57106234000000455</v>
      </c>
      <c r="I295">
        <v>0</v>
      </c>
      <c r="J295">
        <v>0</v>
      </c>
      <c r="K295">
        <v>0.44026169999999998</v>
      </c>
      <c r="L295">
        <v>0</v>
      </c>
      <c r="M295">
        <v>0</v>
      </c>
      <c r="N295">
        <v>0</v>
      </c>
      <c r="O295">
        <v>-31.459764407984149</v>
      </c>
      <c r="P295">
        <v>46605.160796490003</v>
      </c>
    </row>
    <row r="296" spans="1:16" x14ac:dyDescent="0.25">
      <c r="A296" s="10">
        <v>38051</v>
      </c>
      <c r="B296">
        <v>38.879232539999073</v>
      </c>
      <c r="C296">
        <v>36.581552029999997</v>
      </c>
      <c r="D296">
        <v>0</v>
      </c>
      <c r="E296">
        <v>0</v>
      </c>
      <c r="F296">
        <v>0</v>
      </c>
      <c r="G296">
        <v>-0.37815080376500282</v>
      </c>
      <c r="H296">
        <v>6.9079999999999586E-2</v>
      </c>
      <c r="I296">
        <v>0</v>
      </c>
      <c r="J296">
        <v>0</v>
      </c>
      <c r="K296">
        <v>0.42996440000000002</v>
      </c>
      <c r="L296">
        <v>0</v>
      </c>
      <c r="M296">
        <v>0</v>
      </c>
      <c r="N296">
        <v>0</v>
      </c>
      <c r="O296">
        <v>2.1767869137640692</v>
      </c>
      <c r="P296">
        <v>46644.040029029988</v>
      </c>
    </row>
    <row r="297" spans="1:16" x14ac:dyDescent="0.25">
      <c r="A297" s="10">
        <v>38054</v>
      </c>
      <c r="B297">
        <v>21.70658831000037</v>
      </c>
      <c r="C297">
        <v>25.685300000000002</v>
      </c>
      <c r="D297">
        <v>0</v>
      </c>
      <c r="E297">
        <v>0</v>
      </c>
      <c r="F297">
        <v>0</v>
      </c>
      <c r="G297">
        <v>-5.4110732311499987</v>
      </c>
      <c r="H297">
        <v>5.8121020000001522E-2</v>
      </c>
      <c r="I297">
        <v>0</v>
      </c>
      <c r="J297">
        <v>0</v>
      </c>
      <c r="K297">
        <v>1.39797847</v>
      </c>
      <c r="L297">
        <v>0</v>
      </c>
      <c r="M297">
        <v>0</v>
      </c>
      <c r="N297">
        <v>0</v>
      </c>
      <c r="O297">
        <v>-2.3737948849633431E-2</v>
      </c>
      <c r="P297">
        <v>46665.746617340003</v>
      </c>
    </row>
    <row r="298" spans="1:16" x14ac:dyDescent="0.25">
      <c r="A298" s="10">
        <v>38055</v>
      </c>
      <c r="B298">
        <v>-3238.9424089999961</v>
      </c>
      <c r="C298">
        <v>59.742499999999993</v>
      </c>
      <c r="D298">
        <v>-9148.9999999889969</v>
      </c>
      <c r="E298">
        <v>4590.9999999916217</v>
      </c>
      <c r="F298">
        <v>999.99999999737497</v>
      </c>
      <c r="G298">
        <v>-2.6675269099996508</v>
      </c>
      <c r="H298">
        <v>-0.23375970000000729</v>
      </c>
      <c r="I298">
        <v>0</v>
      </c>
      <c r="J298">
        <v>0</v>
      </c>
      <c r="K298">
        <v>0.49598979999999998</v>
      </c>
      <c r="L298">
        <v>0</v>
      </c>
      <c r="M298">
        <v>0</v>
      </c>
      <c r="N298">
        <v>0</v>
      </c>
      <c r="O298">
        <v>261.72038781000361</v>
      </c>
      <c r="P298">
        <v>43426.80420834</v>
      </c>
    </row>
    <row r="299" spans="1:16" x14ac:dyDescent="0.25">
      <c r="A299" s="10">
        <v>38056</v>
      </c>
      <c r="B299">
        <v>-19.671465930008701</v>
      </c>
      <c r="C299">
        <v>55.470300000000002</v>
      </c>
      <c r="D299">
        <v>0</v>
      </c>
      <c r="E299">
        <v>0</v>
      </c>
      <c r="F299">
        <v>0</v>
      </c>
      <c r="G299">
        <v>-10.160780920000001</v>
      </c>
      <c r="H299">
        <v>0.23449633999999969</v>
      </c>
      <c r="I299">
        <v>0</v>
      </c>
      <c r="J299">
        <v>0.2399999999979627</v>
      </c>
      <c r="K299">
        <v>3.49600197</v>
      </c>
      <c r="L299">
        <v>-68.171009850975238</v>
      </c>
      <c r="M299">
        <v>0</v>
      </c>
      <c r="N299">
        <v>0</v>
      </c>
      <c r="O299">
        <v>-0.78047346903142967</v>
      </c>
      <c r="P299">
        <v>43407.132742409987</v>
      </c>
    </row>
    <row r="300" spans="1:16" x14ac:dyDescent="0.25">
      <c r="A300" s="10">
        <v>38057</v>
      </c>
      <c r="B300">
        <v>58.210812200009983</v>
      </c>
      <c r="C300">
        <v>61.757000000000012</v>
      </c>
      <c r="D300">
        <v>0</v>
      </c>
      <c r="E300">
        <v>0</v>
      </c>
      <c r="F300">
        <v>0</v>
      </c>
      <c r="G300">
        <v>0.82546238920599979</v>
      </c>
      <c r="H300">
        <v>0.29770700000000261</v>
      </c>
      <c r="I300">
        <v>0</v>
      </c>
      <c r="J300">
        <v>-5.9999999997671687E-2</v>
      </c>
      <c r="K300">
        <v>-4.4362025000000003</v>
      </c>
      <c r="L300">
        <v>0</v>
      </c>
      <c r="M300">
        <v>0</v>
      </c>
      <c r="N300">
        <v>0</v>
      </c>
      <c r="O300">
        <v>-0.17315468919836549</v>
      </c>
      <c r="P300">
        <v>43465.343554610001</v>
      </c>
    </row>
    <row r="301" spans="1:16" x14ac:dyDescent="0.25">
      <c r="A301" s="10">
        <v>38058</v>
      </c>
      <c r="B301">
        <v>54.482764169995789</v>
      </c>
      <c r="C301">
        <v>55.942300000000003</v>
      </c>
      <c r="D301">
        <v>0</v>
      </c>
      <c r="E301">
        <v>0</v>
      </c>
      <c r="F301">
        <v>0</v>
      </c>
      <c r="G301">
        <v>-5.6614793056339998</v>
      </c>
      <c r="H301">
        <v>3.2929999999993238E-3</v>
      </c>
      <c r="I301">
        <v>0</v>
      </c>
      <c r="J301">
        <v>0</v>
      </c>
      <c r="K301">
        <v>1.8435003999999999</v>
      </c>
      <c r="L301">
        <v>0</v>
      </c>
      <c r="M301">
        <v>0</v>
      </c>
      <c r="N301">
        <v>0</v>
      </c>
      <c r="O301">
        <v>2.355150075629791</v>
      </c>
      <c r="P301">
        <v>43518.366318779998</v>
      </c>
    </row>
    <row r="302" spans="1:16" x14ac:dyDescent="0.25">
      <c r="A302" s="10">
        <v>38061</v>
      </c>
      <c r="B302">
        <v>-283.8402491199958</v>
      </c>
      <c r="C302">
        <v>60.95359999999998</v>
      </c>
      <c r="D302">
        <v>-313.91359999999997</v>
      </c>
      <c r="E302">
        <v>0</v>
      </c>
      <c r="F302">
        <v>0</v>
      </c>
      <c r="G302">
        <v>-8.0651339180799937</v>
      </c>
      <c r="H302">
        <v>-1.1500000000026489E-3</v>
      </c>
      <c r="I302">
        <v>0</v>
      </c>
      <c r="J302">
        <v>2.999999999883585E-2</v>
      </c>
      <c r="K302">
        <v>1.1930490600000001</v>
      </c>
      <c r="L302">
        <v>11.62261</v>
      </c>
      <c r="M302">
        <v>0</v>
      </c>
      <c r="N302">
        <v>0</v>
      </c>
      <c r="O302">
        <v>-35.659624261914708</v>
      </c>
      <c r="P302">
        <v>43234.526069660002</v>
      </c>
    </row>
    <row r="303" spans="1:16" x14ac:dyDescent="0.25">
      <c r="A303" s="10">
        <v>38062</v>
      </c>
      <c r="B303">
        <v>66.830082439999387</v>
      </c>
      <c r="C303">
        <v>57.838250000000002</v>
      </c>
      <c r="D303">
        <v>0</v>
      </c>
      <c r="E303">
        <v>0</v>
      </c>
      <c r="F303">
        <v>0</v>
      </c>
      <c r="G303">
        <v>3.04860844348</v>
      </c>
      <c r="H303">
        <v>3.1499999999979882E-3</v>
      </c>
      <c r="I303">
        <v>0</v>
      </c>
      <c r="J303">
        <v>0</v>
      </c>
      <c r="K303">
        <v>2.1934982999999999</v>
      </c>
      <c r="L303">
        <v>4.6941314000000007</v>
      </c>
      <c r="M303">
        <v>0</v>
      </c>
      <c r="N303">
        <v>0</v>
      </c>
      <c r="O303">
        <v>-0.94755570348060014</v>
      </c>
      <c r="P303">
        <v>43301.356152100001</v>
      </c>
    </row>
    <row r="304" spans="1:16" x14ac:dyDescent="0.25">
      <c r="A304" s="10">
        <v>38063</v>
      </c>
      <c r="B304">
        <v>272.70334990000259</v>
      </c>
      <c r="C304">
        <v>58.191909999999993</v>
      </c>
      <c r="D304">
        <v>0</v>
      </c>
      <c r="E304">
        <v>0</v>
      </c>
      <c r="F304">
        <v>0</v>
      </c>
      <c r="G304">
        <v>-5.6239412991469973</v>
      </c>
      <c r="H304">
        <v>4.4900000000325241E-4</v>
      </c>
      <c r="I304">
        <v>0</v>
      </c>
      <c r="J304">
        <v>0</v>
      </c>
      <c r="K304">
        <v>32.873494600000001</v>
      </c>
      <c r="L304">
        <v>128.99456933208</v>
      </c>
      <c r="M304">
        <v>0</v>
      </c>
      <c r="N304">
        <v>0</v>
      </c>
      <c r="O304">
        <v>58.266868267069633</v>
      </c>
      <c r="P304">
        <v>43574.059501999996</v>
      </c>
    </row>
    <row r="305" spans="1:16" x14ac:dyDescent="0.25">
      <c r="A305" s="10">
        <v>38064</v>
      </c>
      <c r="B305">
        <v>65.307048869995924</v>
      </c>
      <c r="C305">
        <v>58.186359999999993</v>
      </c>
      <c r="D305">
        <v>0</v>
      </c>
      <c r="E305">
        <v>0</v>
      </c>
      <c r="F305">
        <v>0</v>
      </c>
      <c r="G305">
        <v>4.898777719147998</v>
      </c>
      <c r="H305">
        <v>-9.7399999999936426E-4</v>
      </c>
      <c r="I305">
        <v>0</v>
      </c>
      <c r="J305">
        <v>0</v>
      </c>
      <c r="K305">
        <v>0.37011929999999998</v>
      </c>
      <c r="L305">
        <v>2.9327969999999999</v>
      </c>
      <c r="M305">
        <v>0</v>
      </c>
      <c r="N305">
        <v>0</v>
      </c>
      <c r="O305">
        <v>-1.080031149152068</v>
      </c>
      <c r="P305">
        <v>43639.36655087</v>
      </c>
    </row>
    <row r="306" spans="1:16" x14ac:dyDescent="0.25">
      <c r="A306" s="10">
        <v>38065</v>
      </c>
      <c r="B306">
        <v>-792.40588238000055</v>
      </c>
      <c r="C306">
        <v>57.782000000000011</v>
      </c>
      <c r="D306">
        <v>-939.99999999999989</v>
      </c>
      <c r="E306">
        <v>0</v>
      </c>
      <c r="F306">
        <v>0</v>
      </c>
      <c r="G306">
        <v>55.425809772959951</v>
      </c>
      <c r="H306">
        <v>1.525000000000887E-3</v>
      </c>
      <c r="I306">
        <v>0</v>
      </c>
      <c r="J306">
        <v>0</v>
      </c>
      <c r="K306">
        <v>0.36011979999999999</v>
      </c>
      <c r="L306">
        <v>0</v>
      </c>
      <c r="M306">
        <v>0</v>
      </c>
      <c r="N306">
        <v>0</v>
      </c>
      <c r="O306">
        <v>34.024663047039333</v>
      </c>
      <c r="P306">
        <v>42846.960668489999</v>
      </c>
    </row>
    <row r="307" spans="1:16" x14ac:dyDescent="0.25">
      <c r="A307" s="10">
        <v>38068</v>
      </c>
      <c r="B307">
        <v>76.718288509997379</v>
      </c>
      <c r="C307">
        <v>70.038279999999986</v>
      </c>
      <c r="D307">
        <v>0</v>
      </c>
      <c r="E307">
        <v>0</v>
      </c>
      <c r="F307">
        <v>0</v>
      </c>
      <c r="G307">
        <v>6.6880110800000034</v>
      </c>
      <c r="H307">
        <v>0</v>
      </c>
      <c r="I307">
        <v>0</v>
      </c>
      <c r="J307">
        <v>0</v>
      </c>
      <c r="K307">
        <v>1.1880356000000001</v>
      </c>
      <c r="L307">
        <v>0</v>
      </c>
      <c r="M307">
        <v>0</v>
      </c>
      <c r="N307">
        <v>0</v>
      </c>
      <c r="O307">
        <v>-1.196038170002615</v>
      </c>
      <c r="P307">
        <v>42923.678956999996</v>
      </c>
    </row>
    <row r="308" spans="1:16" x14ac:dyDescent="0.25">
      <c r="A308" s="10">
        <v>38069</v>
      </c>
      <c r="B308">
        <v>85.161341999999422</v>
      </c>
      <c r="C308">
        <v>72.757000000000005</v>
      </c>
      <c r="D308">
        <v>0</v>
      </c>
      <c r="E308">
        <v>0</v>
      </c>
      <c r="F308">
        <v>0</v>
      </c>
      <c r="G308">
        <v>-2.772172598926002</v>
      </c>
      <c r="H308">
        <v>-2.6250000000018758E-3</v>
      </c>
      <c r="I308">
        <v>0</v>
      </c>
      <c r="J308">
        <v>0</v>
      </c>
      <c r="K308">
        <v>0.36011870000000001</v>
      </c>
      <c r="L308">
        <v>2.5476177999999998</v>
      </c>
      <c r="M308">
        <v>0</v>
      </c>
      <c r="N308">
        <v>0</v>
      </c>
      <c r="O308">
        <v>12.27140309892542</v>
      </c>
      <c r="P308">
        <v>43008.840299000003</v>
      </c>
    </row>
    <row r="309" spans="1:16" x14ac:dyDescent="0.25">
      <c r="A309" s="10">
        <v>38070</v>
      </c>
      <c r="B309">
        <v>-84.488743999994796</v>
      </c>
      <c r="C309">
        <v>74.133999999999986</v>
      </c>
      <c r="D309">
        <v>0</v>
      </c>
      <c r="E309">
        <v>0</v>
      </c>
      <c r="F309">
        <v>0</v>
      </c>
      <c r="G309">
        <v>-1.6418695199990909</v>
      </c>
      <c r="H309">
        <v>9.4999999999600959E-4</v>
      </c>
      <c r="I309">
        <v>0</v>
      </c>
      <c r="J309">
        <v>0</v>
      </c>
      <c r="K309">
        <v>10.4501214</v>
      </c>
      <c r="L309">
        <v>-188.64666889949339</v>
      </c>
      <c r="M309">
        <v>0</v>
      </c>
      <c r="N309">
        <v>0</v>
      </c>
      <c r="O309">
        <v>21.214723019497772</v>
      </c>
      <c r="P309">
        <v>42924.351555000001</v>
      </c>
    </row>
    <row r="310" spans="1:16" x14ac:dyDescent="0.25">
      <c r="A310" s="10">
        <v>38071</v>
      </c>
      <c r="B310">
        <v>1564.3419849999921</v>
      </c>
      <c r="C310">
        <v>70.808359999999993</v>
      </c>
      <c r="D310">
        <v>6591.000000007728</v>
      </c>
      <c r="E310">
        <v>-5091.000000007728</v>
      </c>
      <c r="F310">
        <v>0</v>
      </c>
      <c r="G310">
        <v>-10.441721405503809</v>
      </c>
      <c r="H310">
        <v>-4.9129999999948382E-3</v>
      </c>
      <c r="I310">
        <v>0</v>
      </c>
      <c r="J310">
        <v>0</v>
      </c>
      <c r="K310">
        <v>0.36050199999999999</v>
      </c>
      <c r="L310">
        <v>3.9112559999999998</v>
      </c>
      <c r="M310">
        <v>0</v>
      </c>
      <c r="N310">
        <v>0</v>
      </c>
      <c r="O310">
        <v>-0.29149859450450089</v>
      </c>
      <c r="P310">
        <v>44488.693539999993</v>
      </c>
    </row>
    <row r="311" spans="1:16" x14ac:dyDescent="0.25">
      <c r="A311" s="10">
        <v>38072</v>
      </c>
      <c r="B311">
        <v>670.24306800001057</v>
      </c>
      <c r="C311">
        <v>69.72399999999999</v>
      </c>
      <c r="D311">
        <v>0</v>
      </c>
      <c r="E311">
        <v>0</v>
      </c>
      <c r="F311">
        <v>0</v>
      </c>
      <c r="G311">
        <v>596.63847037389223</v>
      </c>
      <c r="H311">
        <v>3.502434999999998</v>
      </c>
      <c r="I311">
        <v>0</v>
      </c>
      <c r="J311">
        <v>0</v>
      </c>
      <c r="K311">
        <v>0.38050200000000001</v>
      </c>
      <c r="L311">
        <v>0</v>
      </c>
      <c r="M311">
        <v>0</v>
      </c>
      <c r="N311">
        <v>0</v>
      </c>
      <c r="O311">
        <v>-2.3393738816230858E-3</v>
      </c>
      <c r="P311">
        <v>45158.936608000004</v>
      </c>
    </row>
    <row r="312" spans="1:16" x14ac:dyDescent="0.25">
      <c r="A312" s="10">
        <v>38075</v>
      </c>
      <c r="B312">
        <v>67.486412999991416</v>
      </c>
      <c r="C312">
        <v>87.578394000000003</v>
      </c>
      <c r="D312">
        <v>0</v>
      </c>
      <c r="E312">
        <v>0</v>
      </c>
      <c r="F312">
        <v>0</v>
      </c>
      <c r="G312">
        <v>-3.9455809999999998</v>
      </c>
      <c r="H312">
        <v>-1.002000000000002</v>
      </c>
      <c r="I312">
        <v>0</v>
      </c>
      <c r="J312">
        <v>-9.9999999998544808E-2</v>
      </c>
      <c r="K312">
        <v>1.37762742</v>
      </c>
      <c r="L312">
        <v>0</v>
      </c>
      <c r="M312">
        <v>0</v>
      </c>
      <c r="N312">
        <v>0</v>
      </c>
      <c r="O312">
        <v>-16.422027420010021</v>
      </c>
      <c r="P312">
        <v>45226.423021000002</v>
      </c>
    </row>
    <row r="313" spans="1:16" x14ac:dyDescent="0.25">
      <c r="A313" s="10">
        <v>38076</v>
      </c>
      <c r="B313">
        <v>83.678045000000552</v>
      </c>
      <c r="C313">
        <v>85.873999999999995</v>
      </c>
      <c r="D313">
        <v>0</v>
      </c>
      <c r="E313">
        <v>0</v>
      </c>
      <c r="F313">
        <v>0</v>
      </c>
      <c r="G313">
        <v>-8.3483402867199992</v>
      </c>
      <c r="H313">
        <v>1.498854000000001</v>
      </c>
      <c r="I313">
        <v>0</v>
      </c>
      <c r="J313">
        <v>0</v>
      </c>
      <c r="K313">
        <v>0.45925769999999999</v>
      </c>
      <c r="L313">
        <v>2.927419</v>
      </c>
      <c r="M313">
        <v>0</v>
      </c>
      <c r="N313">
        <v>0</v>
      </c>
      <c r="O313">
        <v>1.2668545867205649</v>
      </c>
      <c r="P313">
        <v>45310.101066000003</v>
      </c>
    </row>
    <row r="314" spans="1:16" x14ac:dyDescent="0.25">
      <c r="A314" s="10">
        <v>38077</v>
      </c>
      <c r="B314">
        <v>322.71613400000211</v>
      </c>
      <c r="C314">
        <v>84.537000000000006</v>
      </c>
      <c r="D314">
        <v>0</v>
      </c>
      <c r="E314">
        <v>0</v>
      </c>
      <c r="F314">
        <v>0</v>
      </c>
      <c r="G314">
        <v>284.55683002445011</v>
      </c>
      <c r="H314">
        <v>-4.1667949999999996</v>
      </c>
      <c r="I314">
        <v>0</v>
      </c>
      <c r="J314">
        <v>0</v>
      </c>
      <c r="K314">
        <v>0.45851029999999998</v>
      </c>
      <c r="L314">
        <v>-34.854257537650547</v>
      </c>
      <c r="M314">
        <v>0</v>
      </c>
      <c r="N314">
        <v>0</v>
      </c>
      <c r="O314">
        <v>-7.8151537867975094</v>
      </c>
      <c r="P314">
        <v>45632.817199999998</v>
      </c>
    </row>
    <row r="315" spans="1:16" x14ac:dyDescent="0.25">
      <c r="A315" s="10">
        <v>38078</v>
      </c>
      <c r="B315">
        <v>135.2500910000017</v>
      </c>
      <c r="C315">
        <v>100.17742</v>
      </c>
      <c r="D315">
        <v>0</v>
      </c>
      <c r="E315">
        <v>0</v>
      </c>
      <c r="F315">
        <v>0</v>
      </c>
      <c r="G315">
        <v>17.484000000000002</v>
      </c>
      <c r="H315">
        <v>2.999093999999999</v>
      </c>
      <c r="I315">
        <v>0</v>
      </c>
      <c r="J315">
        <v>0</v>
      </c>
      <c r="K315">
        <v>0.45115840000000001</v>
      </c>
      <c r="L315">
        <v>4.747776</v>
      </c>
      <c r="M315">
        <v>0</v>
      </c>
      <c r="N315">
        <v>0</v>
      </c>
      <c r="O315">
        <v>9.3906426000016818</v>
      </c>
      <c r="P315">
        <v>45768.067290999999</v>
      </c>
    </row>
    <row r="316" spans="1:16" x14ac:dyDescent="0.25">
      <c r="A316" s="10">
        <v>38079</v>
      </c>
      <c r="B316">
        <v>-85.70360500000217</v>
      </c>
      <c r="C316">
        <v>99.160000000000011</v>
      </c>
      <c r="D316">
        <v>0</v>
      </c>
      <c r="E316">
        <v>0</v>
      </c>
      <c r="F316">
        <v>0</v>
      </c>
      <c r="G316">
        <v>-2.423091418684002</v>
      </c>
      <c r="H316">
        <v>0</v>
      </c>
      <c r="I316">
        <v>0</v>
      </c>
      <c r="J316">
        <v>-134.37000000000259</v>
      </c>
      <c r="K316">
        <v>-57.010288199999813</v>
      </c>
      <c r="L316">
        <v>3.8129879999999998</v>
      </c>
      <c r="M316">
        <v>0</v>
      </c>
      <c r="N316">
        <v>0</v>
      </c>
      <c r="O316">
        <v>5.1267866186842346</v>
      </c>
      <c r="P316">
        <v>45682.363685999997</v>
      </c>
    </row>
    <row r="317" spans="1:16" x14ac:dyDescent="0.25">
      <c r="A317" s="10">
        <v>38083</v>
      </c>
      <c r="B317">
        <v>75.856465000004391</v>
      </c>
      <c r="C317">
        <v>100.956</v>
      </c>
      <c r="D317">
        <v>0</v>
      </c>
      <c r="E317">
        <v>0</v>
      </c>
      <c r="F317">
        <v>0</v>
      </c>
      <c r="G317">
        <v>3.991440062653993</v>
      </c>
      <c r="H317">
        <v>1.2000000000000031</v>
      </c>
      <c r="I317">
        <v>0</v>
      </c>
      <c r="J317">
        <v>0</v>
      </c>
      <c r="K317">
        <v>1.7538847500000001</v>
      </c>
      <c r="L317">
        <v>0</v>
      </c>
      <c r="M317">
        <v>0</v>
      </c>
      <c r="N317">
        <v>0</v>
      </c>
      <c r="O317">
        <v>-32.044859812649598</v>
      </c>
      <c r="P317">
        <v>45758.220151000001</v>
      </c>
    </row>
    <row r="318" spans="1:16" x14ac:dyDescent="0.25">
      <c r="A318" s="10">
        <v>38084</v>
      </c>
      <c r="B318">
        <v>-97.76280372000474</v>
      </c>
      <c r="C318">
        <v>119.077</v>
      </c>
      <c r="D318">
        <v>0</v>
      </c>
      <c r="E318">
        <v>0</v>
      </c>
      <c r="F318">
        <v>0</v>
      </c>
      <c r="G318">
        <v>-0.4434492223500115</v>
      </c>
      <c r="H318">
        <v>0.50083399999999756</v>
      </c>
      <c r="I318">
        <v>0</v>
      </c>
      <c r="J318">
        <v>0</v>
      </c>
      <c r="K318">
        <v>0.35913319999999999</v>
      </c>
      <c r="L318">
        <v>-247.78750949068879</v>
      </c>
      <c r="M318">
        <v>0</v>
      </c>
      <c r="N318">
        <v>0</v>
      </c>
      <c r="O318">
        <v>30.531187793034039</v>
      </c>
      <c r="P318">
        <v>45660.457347279997</v>
      </c>
    </row>
    <row r="319" spans="1:16" x14ac:dyDescent="0.25">
      <c r="A319" s="10">
        <v>38089</v>
      </c>
      <c r="B319">
        <v>124.8724237200004</v>
      </c>
      <c r="C319">
        <v>117.91849999999999</v>
      </c>
      <c r="D319">
        <v>0</v>
      </c>
      <c r="E319">
        <v>0</v>
      </c>
      <c r="F319">
        <v>0</v>
      </c>
      <c r="G319">
        <v>0.83664874343209905</v>
      </c>
      <c r="H319">
        <v>1.3001660000000039</v>
      </c>
      <c r="I319">
        <v>0</v>
      </c>
      <c r="J319">
        <v>0</v>
      </c>
      <c r="K319">
        <v>2.1398238799999998</v>
      </c>
      <c r="L319">
        <v>3.8139419999999999</v>
      </c>
      <c r="M319">
        <v>0</v>
      </c>
      <c r="N319">
        <v>0</v>
      </c>
      <c r="O319">
        <v>-1.13665690343172</v>
      </c>
      <c r="P319">
        <v>45785.329770999997</v>
      </c>
    </row>
    <row r="320" spans="1:16" x14ac:dyDescent="0.25">
      <c r="A320" s="10">
        <v>38090</v>
      </c>
      <c r="B320">
        <v>90.769886000001861</v>
      </c>
      <c r="C320">
        <v>133.99199999999999</v>
      </c>
      <c r="D320">
        <v>0</v>
      </c>
      <c r="E320">
        <v>0</v>
      </c>
      <c r="F320">
        <v>0</v>
      </c>
      <c r="G320">
        <v>-8.4032901918809983</v>
      </c>
      <c r="H320">
        <v>0.29899999999999949</v>
      </c>
      <c r="I320">
        <v>0</v>
      </c>
      <c r="J320">
        <v>0</v>
      </c>
      <c r="K320">
        <v>0.3990457</v>
      </c>
      <c r="L320">
        <v>0.95518499999999995</v>
      </c>
      <c r="M320">
        <v>0</v>
      </c>
      <c r="N320">
        <v>0</v>
      </c>
      <c r="O320">
        <v>-36.472054508117132</v>
      </c>
      <c r="P320">
        <v>45876.099656999999</v>
      </c>
    </row>
    <row r="321" spans="1:16" x14ac:dyDescent="0.25">
      <c r="A321" s="10">
        <v>38091</v>
      </c>
      <c r="B321">
        <v>-49.557436000002781</v>
      </c>
      <c r="C321">
        <v>127.91</v>
      </c>
      <c r="D321">
        <v>0</v>
      </c>
      <c r="E321">
        <v>0</v>
      </c>
      <c r="F321">
        <v>0</v>
      </c>
      <c r="G321">
        <v>-15.375441155118001</v>
      </c>
      <c r="H321">
        <v>0</v>
      </c>
      <c r="I321">
        <v>0</v>
      </c>
      <c r="J321">
        <v>0.5</v>
      </c>
      <c r="K321">
        <v>7.4590456999999999</v>
      </c>
      <c r="L321">
        <v>-169.4946266857348</v>
      </c>
      <c r="M321">
        <v>0</v>
      </c>
      <c r="N321">
        <v>0</v>
      </c>
      <c r="O321">
        <v>-0.55641385914997099</v>
      </c>
      <c r="P321">
        <v>45826.542221000003</v>
      </c>
    </row>
    <row r="322" spans="1:16" x14ac:dyDescent="0.25">
      <c r="A322" s="10">
        <v>38092</v>
      </c>
      <c r="B322">
        <v>-5.1622589999969932</v>
      </c>
      <c r="C322">
        <v>126.87</v>
      </c>
      <c r="D322">
        <v>-150.13011</v>
      </c>
      <c r="E322">
        <v>0</v>
      </c>
      <c r="F322">
        <v>0</v>
      </c>
      <c r="G322">
        <v>2.7059349235370012</v>
      </c>
      <c r="H322">
        <v>-1.300000000000004</v>
      </c>
      <c r="I322">
        <v>0</v>
      </c>
      <c r="J322">
        <v>-6.9999999999708962E-2</v>
      </c>
      <c r="K322">
        <v>0.4192438</v>
      </c>
      <c r="L322">
        <v>3.8501439999999998</v>
      </c>
      <c r="M322">
        <v>0</v>
      </c>
      <c r="N322">
        <v>0</v>
      </c>
      <c r="O322">
        <v>12.49252827646572</v>
      </c>
      <c r="P322">
        <v>45821.379961999999</v>
      </c>
    </row>
    <row r="323" spans="1:16" x14ac:dyDescent="0.25">
      <c r="A323" s="10">
        <v>38093</v>
      </c>
      <c r="B323">
        <v>139.2068123299978</v>
      </c>
      <c r="C323">
        <v>122.515</v>
      </c>
      <c r="D323">
        <v>0</v>
      </c>
      <c r="E323">
        <v>0</v>
      </c>
      <c r="F323">
        <v>0</v>
      </c>
      <c r="G323">
        <v>-6.3301847248400236</v>
      </c>
      <c r="H323">
        <v>-1</v>
      </c>
      <c r="I323">
        <v>0</v>
      </c>
      <c r="J323">
        <v>-4.9999999999272397E-2</v>
      </c>
      <c r="K323">
        <v>0.41983510000000002</v>
      </c>
      <c r="L323">
        <v>9.1465040000000002</v>
      </c>
      <c r="M323">
        <v>0</v>
      </c>
      <c r="N323">
        <v>0</v>
      </c>
      <c r="O323">
        <v>14.50565795483708</v>
      </c>
      <c r="P323">
        <v>45960.586774329997</v>
      </c>
    </row>
    <row r="324" spans="1:16" x14ac:dyDescent="0.25">
      <c r="A324" s="10">
        <v>38096</v>
      </c>
      <c r="B324">
        <v>190.59622266999941</v>
      </c>
      <c r="C324">
        <v>129.512</v>
      </c>
      <c r="D324">
        <v>0</v>
      </c>
      <c r="E324">
        <v>0</v>
      </c>
      <c r="F324">
        <v>0</v>
      </c>
      <c r="G324">
        <v>53.540782247045001</v>
      </c>
      <c r="H324">
        <v>-1</v>
      </c>
      <c r="I324">
        <v>0</v>
      </c>
      <c r="J324">
        <v>0.34999999999854481</v>
      </c>
      <c r="K324">
        <v>10.41808698</v>
      </c>
      <c r="L324">
        <v>0.96296999999999999</v>
      </c>
      <c r="M324">
        <v>0</v>
      </c>
      <c r="N324">
        <v>0</v>
      </c>
      <c r="O324">
        <v>-3.187616557044167</v>
      </c>
      <c r="P324">
        <v>46151.182997000004</v>
      </c>
    </row>
    <row r="325" spans="1:16" x14ac:dyDescent="0.25">
      <c r="A325" s="10">
        <v>38097</v>
      </c>
      <c r="B325">
        <v>74.221814000004073</v>
      </c>
      <c r="C325">
        <v>132.458</v>
      </c>
      <c r="D325">
        <v>0</v>
      </c>
      <c r="E325">
        <v>0</v>
      </c>
      <c r="F325">
        <v>0</v>
      </c>
      <c r="G325">
        <v>-55.601836283940003</v>
      </c>
      <c r="H325">
        <v>-1</v>
      </c>
      <c r="I325">
        <v>0</v>
      </c>
      <c r="J325">
        <v>0</v>
      </c>
      <c r="K325">
        <v>-2.52392554</v>
      </c>
      <c r="L325">
        <v>3.3719804999999998</v>
      </c>
      <c r="M325">
        <v>0</v>
      </c>
      <c r="N325">
        <v>0</v>
      </c>
      <c r="O325">
        <v>-2.4824046760559351</v>
      </c>
      <c r="P325">
        <v>46225.404811</v>
      </c>
    </row>
    <row r="326" spans="1:16" x14ac:dyDescent="0.25">
      <c r="A326" s="10">
        <v>38098</v>
      </c>
      <c r="B326">
        <v>35.031812100001872</v>
      </c>
      <c r="C326">
        <v>124.13849999999999</v>
      </c>
      <c r="D326">
        <v>0</v>
      </c>
      <c r="E326">
        <v>0</v>
      </c>
      <c r="F326">
        <v>0</v>
      </c>
      <c r="G326">
        <v>67.277449751910012</v>
      </c>
      <c r="H326">
        <v>-2</v>
      </c>
      <c r="I326">
        <v>0</v>
      </c>
      <c r="J326">
        <v>0</v>
      </c>
      <c r="K326">
        <v>0.49</v>
      </c>
      <c r="L326">
        <v>-145.18878151115311</v>
      </c>
      <c r="M326">
        <v>0</v>
      </c>
      <c r="N326">
        <v>0</v>
      </c>
      <c r="O326">
        <v>-9.6853561407551183</v>
      </c>
      <c r="P326">
        <v>46260.436623100002</v>
      </c>
    </row>
    <row r="327" spans="1:16" x14ac:dyDescent="0.25">
      <c r="A327" s="10">
        <v>38099</v>
      </c>
      <c r="B327">
        <v>47.209588999998239</v>
      </c>
      <c r="C327">
        <v>134.86815000000001</v>
      </c>
      <c r="D327">
        <v>0</v>
      </c>
      <c r="E327">
        <v>0</v>
      </c>
      <c r="F327">
        <v>0</v>
      </c>
      <c r="G327">
        <v>-71.932575521658009</v>
      </c>
      <c r="H327">
        <v>-25</v>
      </c>
      <c r="I327">
        <v>0</v>
      </c>
      <c r="J327">
        <v>0</v>
      </c>
      <c r="K327">
        <v>0.49</v>
      </c>
      <c r="L327">
        <v>8.7853829999999995</v>
      </c>
      <c r="M327">
        <v>0</v>
      </c>
      <c r="N327">
        <v>0</v>
      </c>
      <c r="O327">
        <v>-1.3684783437406529E-3</v>
      </c>
      <c r="P327">
        <v>46307.6462121</v>
      </c>
    </row>
    <row r="328" spans="1:16" x14ac:dyDescent="0.25">
      <c r="A328" s="10">
        <v>38100</v>
      </c>
      <c r="B328">
        <v>267.53888558999461</v>
      </c>
      <c r="C328">
        <v>123.76600000000001</v>
      </c>
      <c r="D328">
        <v>0</v>
      </c>
      <c r="E328">
        <v>0</v>
      </c>
      <c r="F328">
        <v>0</v>
      </c>
      <c r="G328">
        <v>61.937818659231013</v>
      </c>
      <c r="H328">
        <v>0</v>
      </c>
      <c r="I328">
        <v>0</v>
      </c>
      <c r="J328">
        <v>0</v>
      </c>
      <c r="K328">
        <v>76.059168819999996</v>
      </c>
      <c r="L328">
        <v>1.9271180000000001</v>
      </c>
      <c r="M328">
        <v>0</v>
      </c>
      <c r="N328">
        <v>0</v>
      </c>
      <c r="O328">
        <v>3.8487801107635731</v>
      </c>
      <c r="P328">
        <v>46575.185097690002</v>
      </c>
    </row>
    <row r="329" spans="1:16" x14ac:dyDescent="0.25">
      <c r="A329" s="10">
        <v>38103</v>
      </c>
      <c r="B329">
        <v>145.99195331000371</v>
      </c>
      <c r="C329">
        <v>135.01300000000001</v>
      </c>
      <c r="D329">
        <v>0</v>
      </c>
      <c r="E329">
        <v>0</v>
      </c>
      <c r="F329">
        <v>0</v>
      </c>
      <c r="G329">
        <v>2.685755338409002</v>
      </c>
      <c r="H329">
        <v>0</v>
      </c>
      <c r="I329">
        <v>0</v>
      </c>
      <c r="J329">
        <v>0</v>
      </c>
      <c r="K329">
        <v>7.2091688200000004</v>
      </c>
      <c r="L329">
        <v>2.9545409999999999</v>
      </c>
      <c r="M329">
        <v>0</v>
      </c>
      <c r="N329">
        <v>0</v>
      </c>
      <c r="O329">
        <v>-1.8705118484052641</v>
      </c>
      <c r="P329">
        <v>46721.177050999999</v>
      </c>
    </row>
    <row r="330" spans="1:16" x14ac:dyDescent="0.25">
      <c r="A330" s="10">
        <v>38104</v>
      </c>
      <c r="B330">
        <v>96.713356000003827</v>
      </c>
      <c r="C330">
        <v>126.78019999999999</v>
      </c>
      <c r="D330">
        <v>0</v>
      </c>
      <c r="E330">
        <v>0</v>
      </c>
      <c r="F330">
        <v>0</v>
      </c>
      <c r="G330">
        <v>-39.360638914302008</v>
      </c>
      <c r="H330">
        <v>0</v>
      </c>
      <c r="I330">
        <v>0</v>
      </c>
      <c r="J330">
        <v>0.71000000000276486</v>
      </c>
      <c r="K330">
        <v>0.50916881999999997</v>
      </c>
      <c r="L330">
        <v>6.8878250000000003</v>
      </c>
      <c r="M330">
        <v>0</v>
      </c>
      <c r="N330">
        <v>0</v>
      </c>
      <c r="O330">
        <v>1.1868010943030729</v>
      </c>
      <c r="P330">
        <v>46817.890406999999</v>
      </c>
    </row>
    <row r="331" spans="1:16" x14ac:dyDescent="0.25">
      <c r="A331" s="10">
        <v>38105</v>
      </c>
      <c r="B331">
        <v>-12.18827003000478</v>
      </c>
      <c r="C331">
        <v>138.30072999999999</v>
      </c>
      <c r="D331">
        <v>0</v>
      </c>
      <c r="E331">
        <v>0</v>
      </c>
      <c r="F331">
        <v>0</v>
      </c>
      <c r="G331">
        <v>-3.5504010253579992</v>
      </c>
      <c r="H331">
        <v>0</v>
      </c>
      <c r="I331">
        <v>0</v>
      </c>
      <c r="J331">
        <v>0</v>
      </c>
      <c r="K331">
        <v>0.46916881999999999</v>
      </c>
      <c r="L331">
        <v>-149.78992788724</v>
      </c>
      <c r="M331">
        <v>0</v>
      </c>
      <c r="N331">
        <v>0</v>
      </c>
      <c r="O331">
        <v>2.382160062593218</v>
      </c>
      <c r="P331">
        <v>46805.702136969987</v>
      </c>
    </row>
    <row r="332" spans="1:16" x14ac:dyDescent="0.25">
      <c r="A332" s="10">
        <v>38106</v>
      </c>
      <c r="B332">
        <v>129.051607960002</v>
      </c>
      <c r="C332">
        <v>126.60840247</v>
      </c>
      <c r="D332">
        <v>0</v>
      </c>
      <c r="E332">
        <v>0</v>
      </c>
      <c r="F332">
        <v>0</v>
      </c>
      <c r="G332">
        <v>4.5768972264149994</v>
      </c>
      <c r="H332">
        <v>0</v>
      </c>
      <c r="I332">
        <v>0</v>
      </c>
      <c r="J332">
        <v>0.12999999999738071</v>
      </c>
      <c r="K332">
        <v>0.50916881999999997</v>
      </c>
      <c r="L332">
        <v>-2.1073160000000009</v>
      </c>
      <c r="M332">
        <v>0</v>
      </c>
      <c r="N332">
        <v>0</v>
      </c>
      <c r="O332">
        <v>-0.66554455641037635</v>
      </c>
      <c r="P332">
        <v>46934.75374493</v>
      </c>
    </row>
    <row r="333" spans="1:16" x14ac:dyDescent="0.25">
      <c r="A333" s="10">
        <v>38107</v>
      </c>
      <c r="B333">
        <v>129.71225507000051</v>
      </c>
      <c r="C333">
        <v>130.351</v>
      </c>
      <c r="D333">
        <v>0</v>
      </c>
      <c r="E333">
        <v>0</v>
      </c>
      <c r="F333">
        <v>0</v>
      </c>
      <c r="G333">
        <v>2.2342566456199999</v>
      </c>
      <c r="H333">
        <v>0</v>
      </c>
      <c r="I333">
        <v>0</v>
      </c>
      <c r="J333">
        <v>0</v>
      </c>
      <c r="K333">
        <v>0.49921199999999999</v>
      </c>
      <c r="L333">
        <v>2.5684173000000001</v>
      </c>
      <c r="M333">
        <v>0</v>
      </c>
      <c r="N333">
        <v>0</v>
      </c>
      <c r="O333">
        <v>-5.9406308756194486</v>
      </c>
      <c r="P333">
        <v>47064.466</v>
      </c>
    </row>
    <row r="334" spans="1:16" x14ac:dyDescent="0.25">
      <c r="A334" s="10">
        <v>38110</v>
      </c>
      <c r="B334">
        <v>86.174060540000937</v>
      </c>
      <c r="C334">
        <v>125.3614</v>
      </c>
      <c r="D334">
        <v>0</v>
      </c>
      <c r="E334">
        <v>0</v>
      </c>
      <c r="F334">
        <v>0</v>
      </c>
      <c r="G334">
        <v>11.534267589616009</v>
      </c>
      <c r="H334">
        <v>0</v>
      </c>
      <c r="I334">
        <v>0</v>
      </c>
      <c r="J334">
        <v>-49.419999999998247</v>
      </c>
      <c r="K334">
        <v>-25.322364000000071</v>
      </c>
      <c r="L334">
        <v>15.286269000000001</v>
      </c>
      <c r="M334">
        <v>0</v>
      </c>
      <c r="N334">
        <v>0</v>
      </c>
      <c r="O334">
        <v>8.7344879503832811</v>
      </c>
      <c r="P334">
        <v>47150.640060539998</v>
      </c>
    </row>
    <row r="335" spans="1:16" x14ac:dyDescent="0.25">
      <c r="A335" s="10">
        <v>38111</v>
      </c>
      <c r="B335">
        <v>-842.96536668000044</v>
      </c>
      <c r="C335">
        <v>131.624</v>
      </c>
      <c r="D335">
        <v>-745.92873999999995</v>
      </c>
      <c r="E335">
        <v>0</v>
      </c>
      <c r="F335">
        <v>0</v>
      </c>
      <c r="G335">
        <v>-11.066043752158979</v>
      </c>
      <c r="H335">
        <v>0</v>
      </c>
      <c r="I335">
        <v>0</v>
      </c>
      <c r="J335">
        <v>-133.55000000000109</v>
      </c>
      <c r="K335">
        <v>-62.110788000000127</v>
      </c>
      <c r="L335">
        <v>7.7784420000000001</v>
      </c>
      <c r="M335">
        <v>0</v>
      </c>
      <c r="N335">
        <v>0</v>
      </c>
      <c r="O335">
        <v>-29.712236927840468</v>
      </c>
      <c r="P335">
        <v>46307.674693859997</v>
      </c>
    </row>
    <row r="336" spans="1:16" x14ac:dyDescent="0.25">
      <c r="A336" s="10">
        <v>38112</v>
      </c>
      <c r="B336">
        <v>35.54099603000212</v>
      </c>
      <c r="C336">
        <v>127.3118253</v>
      </c>
      <c r="D336">
        <v>0</v>
      </c>
      <c r="E336">
        <v>0</v>
      </c>
      <c r="F336">
        <v>0</v>
      </c>
      <c r="G336">
        <v>-5.6660555199999987</v>
      </c>
      <c r="H336">
        <v>0</v>
      </c>
      <c r="I336">
        <v>0</v>
      </c>
      <c r="J336">
        <v>-8.6700000000000728</v>
      </c>
      <c r="K336">
        <v>0.49921199999999999</v>
      </c>
      <c r="L336">
        <v>-67.200711004006536</v>
      </c>
      <c r="M336">
        <v>0</v>
      </c>
      <c r="N336">
        <v>0</v>
      </c>
      <c r="O336">
        <v>-10.733274745991279</v>
      </c>
      <c r="P336">
        <v>46343.215689889999</v>
      </c>
    </row>
    <row r="337" spans="1:16" x14ac:dyDescent="0.25">
      <c r="A337" s="10">
        <v>38113</v>
      </c>
      <c r="B337">
        <v>127.0476761099999</v>
      </c>
      <c r="C337">
        <v>133.09613999999999</v>
      </c>
      <c r="D337">
        <v>0</v>
      </c>
      <c r="E337">
        <v>0</v>
      </c>
      <c r="F337">
        <v>0</v>
      </c>
      <c r="G337">
        <v>-6.9836814800000004</v>
      </c>
      <c r="H337">
        <v>0</v>
      </c>
      <c r="I337">
        <v>0</v>
      </c>
      <c r="J337">
        <v>0</v>
      </c>
      <c r="K337">
        <v>0.48924978000000002</v>
      </c>
      <c r="L337">
        <v>0</v>
      </c>
      <c r="M337">
        <v>0</v>
      </c>
      <c r="N337">
        <v>0</v>
      </c>
      <c r="O337">
        <v>0.44596780999990188</v>
      </c>
      <c r="P337">
        <v>46470.263365999999</v>
      </c>
    </row>
    <row r="338" spans="1:16" x14ac:dyDescent="0.25">
      <c r="A338" s="10">
        <v>38114</v>
      </c>
      <c r="B338">
        <v>139.17378199999979</v>
      </c>
      <c r="C338">
        <v>129.9297</v>
      </c>
      <c r="D338">
        <v>0</v>
      </c>
      <c r="E338">
        <v>0</v>
      </c>
      <c r="F338">
        <v>0</v>
      </c>
      <c r="G338">
        <v>-19.275428947689019</v>
      </c>
      <c r="H338">
        <v>0</v>
      </c>
      <c r="I338">
        <v>0</v>
      </c>
      <c r="J338">
        <v>2.3900000000012369</v>
      </c>
      <c r="K338">
        <v>0.48924978000000002</v>
      </c>
      <c r="L338">
        <v>1.8443659999999999</v>
      </c>
      <c r="M338">
        <v>0</v>
      </c>
      <c r="N338">
        <v>0</v>
      </c>
      <c r="O338">
        <v>23.795895167687629</v>
      </c>
      <c r="P338">
        <v>46609.437147999997</v>
      </c>
    </row>
    <row r="339" spans="1:16" x14ac:dyDescent="0.25">
      <c r="A339" s="10">
        <v>38117</v>
      </c>
      <c r="B339">
        <v>160.9611400000048</v>
      </c>
      <c r="C339">
        <v>132.89279999999999</v>
      </c>
      <c r="D339">
        <v>0</v>
      </c>
      <c r="E339">
        <v>0</v>
      </c>
      <c r="F339">
        <v>0</v>
      </c>
      <c r="G339">
        <v>29.94253354603099</v>
      </c>
      <c r="H339">
        <v>0</v>
      </c>
      <c r="I339">
        <v>0</v>
      </c>
      <c r="J339">
        <v>-5.0000000001091387E-2</v>
      </c>
      <c r="K339">
        <v>1.4877493399999999</v>
      </c>
      <c r="L339">
        <v>0</v>
      </c>
      <c r="M339">
        <v>0</v>
      </c>
      <c r="N339">
        <v>0</v>
      </c>
      <c r="O339">
        <v>-3.3119428860250619</v>
      </c>
      <c r="P339">
        <v>46770.398287999997</v>
      </c>
    </row>
    <row r="340" spans="1:16" x14ac:dyDescent="0.25">
      <c r="A340" s="10">
        <v>38118</v>
      </c>
      <c r="B340">
        <v>138.80271199999689</v>
      </c>
      <c r="C340">
        <v>131.54578699999999</v>
      </c>
      <c r="D340">
        <v>0</v>
      </c>
      <c r="E340">
        <v>0</v>
      </c>
      <c r="F340">
        <v>0</v>
      </c>
      <c r="G340">
        <v>-5.5492677197110014</v>
      </c>
      <c r="H340">
        <v>0</v>
      </c>
      <c r="I340">
        <v>0</v>
      </c>
      <c r="J340">
        <v>0</v>
      </c>
      <c r="K340">
        <v>0.5</v>
      </c>
      <c r="L340">
        <v>3.6846199999999998</v>
      </c>
      <c r="M340">
        <v>0</v>
      </c>
      <c r="N340">
        <v>0</v>
      </c>
      <c r="O340">
        <v>8.6215727197079648</v>
      </c>
      <c r="P340">
        <v>46909.201000000001</v>
      </c>
    </row>
    <row r="341" spans="1:16" x14ac:dyDescent="0.25">
      <c r="A341" s="10">
        <v>38119</v>
      </c>
      <c r="B341">
        <v>-97.746172890001617</v>
      </c>
      <c r="C341">
        <v>130.05535223999999</v>
      </c>
      <c r="D341">
        <v>0</v>
      </c>
      <c r="E341">
        <v>0</v>
      </c>
      <c r="F341">
        <v>0</v>
      </c>
      <c r="G341">
        <v>-15.07995245403</v>
      </c>
      <c r="H341">
        <v>0</v>
      </c>
      <c r="I341">
        <v>0</v>
      </c>
      <c r="J341">
        <v>0</v>
      </c>
      <c r="K341">
        <v>0.5</v>
      </c>
      <c r="L341">
        <v>-178.6</v>
      </c>
      <c r="M341">
        <v>0</v>
      </c>
      <c r="N341">
        <v>0</v>
      </c>
      <c r="O341">
        <v>-34.621572675971613</v>
      </c>
      <c r="P341">
        <v>46811.454827109999</v>
      </c>
    </row>
    <row r="342" spans="1:16" x14ac:dyDescent="0.25">
      <c r="A342" s="10">
        <v>38120</v>
      </c>
      <c r="B342">
        <v>121.1923028899982</v>
      </c>
      <c r="C342">
        <v>121.98368499999999</v>
      </c>
      <c r="D342">
        <v>0</v>
      </c>
      <c r="E342">
        <v>0</v>
      </c>
      <c r="F342">
        <v>0</v>
      </c>
      <c r="G342">
        <v>-8.2708646099999985</v>
      </c>
      <c r="H342">
        <v>0</v>
      </c>
      <c r="I342">
        <v>0</v>
      </c>
      <c r="J342">
        <v>0</v>
      </c>
      <c r="K342">
        <v>0.29927677000018188</v>
      </c>
      <c r="L342">
        <v>7.5988379999999998</v>
      </c>
      <c r="M342">
        <v>0</v>
      </c>
      <c r="N342">
        <v>0</v>
      </c>
      <c r="O342">
        <v>-0.41863227000190822</v>
      </c>
      <c r="P342">
        <v>46932.647129999998</v>
      </c>
    </row>
    <row r="343" spans="1:16" x14ac:dyDescent="0.25">
      <c r="A343" s="10">
        <v>38121</v>
      </c>
      <c r="B343">
        <v>146.86528399999949</v>
      </c>
      <c r="C343">
        <v>142.95920000000001</v>
      </c>
      <c r="D343">
        <v>0</v>
      </c>
      <c r="E343">
        <v>0</v>
      </c>
      <c r="F343">
        <v>0</v>
      </c>
      <c r="G343">
        <v>-4.3006859999999989</v>
      </c>
      <c r="H343">
        <v>0</v>
      </c>
      <c r="I343">
        <v>0</v>
      </c>
      <c r="J343">
        <v>0</v>
      </c>
      <c r="K343">
        <v>0.49927676999999998</v>
      </c>
      <c r="L343">
        <v>1.9390879999999999</v>
      </c>
      <c r="M343">
        <v>0</v>
      </c>
      <c r="N343">
        <v>0</v>
      </c>
      <c r="O343">
        <v>5.768405229999547</v>
      </c>
      <c r="P343">
        <v>47079.512413999997</v>
      </c>
    </row>
    <row r="344" spans="1:16" x14ac:dyDescent="0.25">
      <c r="A344" s="10">
        <v>38124</v>
      </c>
      <c r="B344">
        <v>-242.169032999991</v>
      </c>
      <c r="C344">
        <v>129.74940000000001</v>
      </c>
      <c r="D344">
        <v>-380.00682</v>
      </c>
      <c r="E344">
        <v>0</v>
      </c>
      <c r="F344">
        <v>0</v>
      </c>
      <c r="G344">
        <v>-35.718799012364002</v>
      </c>
      <c r="H344">
        <v>0</v>
      </c>
      <c r="I344">
        <v>0</v>
      </c>
      <c r="J344">
        <v>0</v>
      </c>
      <c r="K344">
        <v>44.6978303</v>
      </c>
      <c r="L344">
        <v>0</v>
      </c>
      <c r="M344">
        <v>0</v>
      </c>
      <c r="N344">
        <v>0</v>
      </c>
      <c r="O344">
        <v>-0.89064428762700332</v>
      </c>
      <c r="P344">
        <v>46837.343381000013</v>
      </c>
    </row>
    <row r="345" spans="1:16" x14ac:dyDescent="0.25">
      <c r="A345" s="10">
        <v>38125</v>
      </c>
      <c r="B345">
        <v>91.342056899993622</v>
      </c>
      <c r="C345">
        <v>130.91311358999999</v>
      </c>
      <c r="D345">
        <v>0</v>
      </c>
      <c r="E345">
        <v>0</v>
      </c>
      <c r="F345">
        <v>0</v>
      </c>
      <c r="G345">
        <v>-73.210587151056004</v>
      </c>
      <c r="H345">
        <v>0</v>
      </c>
      <c r="I345">
        <v>0</v>
      </c>
      <c r="J345">
        <v>-0.12999999999919959</v>
      </c>
      <c r="K345">
        <v>-7.2323000000000005E-4</v>
      </c>
      <c r="L345">
        <v>5.6842199999999998</v>
      </c>
      <c r="M345">
        <v>0</v>
      </c>
      <c r="N345">
        <v>0</v>
      </c>
      <c r="O345">
        <v>28.086033691048851</v>
      </c>
      <c r="P345">
        <v>46928.6854379</v>
      </c>
    </row>
    <row r="346" spans="1:16" x14ac:dyDescent="0.25">
      <c r="A346" s="10">
        <v>38126</v>
      </c>
      <c r="B346">
        <v>222.0359985399991</v>
      </c>
      <c r="C346">
        <v>132.77740249999999</v>
      </c>
      <c r="D346">
        <v>0</v>
      </c>
      <c r="E346">
        <v>0</v>
      </c>
      <c r="F346">
        <v>0</v>
      </c>
      <c r="G346">
        <v>171.74289154597801</v>
      </c>
      <c r="H346">
        <v>0</v>
      </c>
      <c r="I346">
        <v>0</v>
      </c>
      <c r="J346">
        <v>0</v>
      </c>
      <c r="K346">
        <v>0.51927677000000005</v>
      </c>
      <c r="L346">
        <v>-80.953899555541938</v>
      </c>
      <c r="M346">
        <v>0</v>
      </c>
      <c r="N346">
        <v>0</v>
      </c>
      <c r="O346">
        <v>-2.0496727204368619</v>
      </c>
      <c r="P346">
        <v>47150.721436439999</v>
      </c>
    </row>
    <row r="347" spans="1:16" x14ac:dyDescent="0.25">
      <c r="A347" s="10">
        <v>38127</v>
      </c>
      <c r="B347">
        <v>129.4351465600048</v>
      </c>
      <c r="C347">
        <v>128.0881</v>
      </c>
      <c r="D347">
        <v>0</v>
      </c>
      <c r="E347">
        <v>0</v>
      </c>
      <c r="F347">
        <v>0</v>
      </c>
      <c r="G347">
        <v>-6.6537399400000004</v>
      </c>
      <c r="H347">
        <v>0</v>
      </c>
      <c r="I347">
        <v>0</v>
      </c>
      <c r="J347">
        <v>0</v>
      </c>
      <c r="K347">
        <v>0.52928755999999999</v>
      </c>
      <c r="L347">
        <v>7.351057</v>
      </c>
      <c r="M347">
        <v>0</v>
      </c>
      <c r="N347">
        <v>0</v>
      </c>
      <c r="O347">
        <v>0.12044194000479699</v>
      </c>
      <c r="P347">
        <v>47280.156583000004</v>
      </c>
    </row>
    <row r="348" spans="1:16" x14ac:dyDescent="0.25">
      <c r="A348" s="10">
        <v>38128</v>
      </c>
      <c r="B348">
        <v>148.35499500000151</v>
      </c>
      <c r="C348">
        <v>138.46894700000001</v>
      </c>
      <c r="D348">
        <v>0</v>
      </c>
      <c r="E348">
        <v>0</v>
      </c>
      <c r="F348">
        <v>0</v>
      </c>
      <c r="G348">
        <v>3.503666460368001</v>
      </c>
      <c r="H348">
        <v>1.606795000000002</v>
      </c>
      <c r="I348">
        <v>0</v>
      </c>
      <c r="J348">
        <v>0</v>
      </c>
      <c r="K348">
        <v>0.53928756</v>
      </c>
      <c r="L348">
        <v>4.8954550000000001</v>
      </c>
      <c r="M348">
        <v>0</v>
      </c>
      <c r="N348">
        <v>0</v>
      </c>
      <c r="O348">
        <v>-0.65915602036648924</v>
      </c>
      <c r="P348">
        <v>47428.511578000012</v>
      </c>
    </row>
    <row r="349" spans="1:16" x14ac:dyDescent="0.25">
      <c r="A349" s="10">
        <v>38131</v>
      </c>
      <c r="B349">
        <v>126.9184079999977</v>
      </c>
      <c r="C349">
        <v>137.042</v>
      </c>
      <c r="D349">
        <v>0</v>
      </c>
      <c r="E349">
        <v>0</v>
      </c>
      <c r="F349">
        <v>0</v>
      </c>
      <c r="G349">
        <v>2.987107836289399</v>
      </c>
      <c r="H349">
        <v>-19.702000000000002</v>
      </c>
      <c r="I349">
        <v>0</v>
      </c>
      <c r="J349">
        <v>0</v>
      </c>
      <c r="K349">
        <v>1.6392875600000001</v>
      </c>
      <c r="L349">
        <v>4.8853949999999999</v>
      </c>
      <c r="M349">
        <v>0</v>
      </c>
      <c r="N349">
        <v>0</v>
      </c>
      <c r="O349">
        <v>6.6617603708322121E-2</v>
      </c>
      <c r="P349">
        <v>47555.429986000003</v>
      </c>
    </row>
    <row r="350" spans="1:16" x14ac:dyDescent="0.25">
      <c r="A350" s="10">
        <v>38133</v>
      </c>
      <c r="B350">
        <v>129.6436360000007</v>
      </c>
      <c r="C350">
        <v>119.52</v>
      </c>
      <c r="D350">
        <v>0</v>
      </c>
      <c r="E350">
        <v>0</v>
      </c>
      <c r="F350">
        <v>0</v>
      </c>
      <c r="G350">
        <v>-9.4666575704250011</v>
      </c>
      <c r="H350">
        <v>0</v>
      </c>
      <c r="I350">
        <v>0</v>
      </c>
      <c r="J350">
        <v>0</v>
      </c>
      <c r="K350">
        <v>1.0900000000000001</v>
      </c>
      <c r="L350">
        <v>0</v>
      </c>
      <c r="M350">
        <v>0</v>
      </c>
      <c r="N350">
        <v>0</v>
      </c>
      <c r="O350">
        <v>18.500293570425701</v>
      </c>
      <c r="P350">
        <v>47685.073622000004</v>
      </c>
    </row>
    <row r="351" spans="1:16" x14ac:dyDescent="0.25">
      <c r="A351" s="10">
        <v>38134</v>
      </c>
      <c r="B351">
        <v>57.375875999998208</v>
      </c>
      <c r="C351">
        <v>117.72045</v>
      </c>
      <c r="D351">
        <v>0</v>
      </c>
      <c r="E351">
        <v>0</v>
      </c>
      <c r="F351">
        <v>0</v>
      </c>
      <c r="G351">
        <v>-5.8905559999999983</v>
      </c>
      <c r="H351">
        <v>0</v>
      </c>
      <c r="I351">
        <v>0</v>
      </c>
      <c r="J351">
        <v>0</v>
      </c>
      <c r="K351">
        <v>0.49786268</v>
      </c>
      <c r="L351">
        <v>-100.7481588119345</v>
      </c>
      <c r="M351">
        <v>0</v>
      </c>
      <c r="N351">
        <v>0</v>
      </c>
      <c r="O351">
        <v>45.796278131932702</v>
      </c>
      <c r="P351">
        <v>47742.449498000002</v>
      </c>
    </row>
    <row r="352" spans="1:16" x14ac:dyDescent="0.25">
      <c r="A352" s="10">
        <v>38135</v>
      </c>
      <c r="B352">
        <v>-6.2810590000008233</v>
      </c>
      <c r="C352">
        <v>132.75534999999999</v>
      </c>
      <c r="D352">
        <v>0</v>
      </c>
      <c r="E352">
        <v>0</v>
      </c>
      <c r="F352">
        <v>0</v>
      </c>
      <c r="G352">
        <v>-5.1268170000000008</v>
      </c>
      <c r="H352">
        <v>-134.79764499999899</v>
      </c>
      <c r="I352">
        <v>0</v>
      </c>
      <c r="J352">
        <v>0</v>
      </c>
      <c r="K352">
        <v>0.51</v>
      </c>
      <c r="L352">
        <v>0</v>
      </c>
      <c r="M352">
        <v>0</v>
      </c>
      <c r="N352">
        <v>0</v>
      </c>
      <c r="O352">
        <v>0.37805299999815201</v>
      </c>
      <c r="P352">
        <v>47736.168439000001</v>
      </c>
    </row>
    <row r="353" spans="1:16" x14ac:dyDescent="0.25">
      <c r="A353" s="10">
        <v>38138</v>
      </c>
      <c r="B353">
        <v>-85.697132000001147</v>
      </c>
      <c r="C353">
        <v>0</v>
      </c>
      <c r="D353">
        <v>0</v>
      </c>
      <c r="E353">
        <v>0</v>
      </c>
      <c r="F353">
        <v>0</v>
      </c>
      <c r="G353">
        <v>-4.9246269999999992</v>
      </c>
      <c r="H353">
        <v>-76.383795000001015</v>
      </c>
      <c r="I353">
        <v>0</v>
      </c>
      <c r="J353">
        <v>0</v>
      </c>
      <c r="K353">
        <v>1.76</v>
      </c>
      <c r="L353">
        <v>0</v>
      </c>
      <c r="M353">
        <v>0</v>
      </c>
      <c r="N353">
        <v>0</v>
      </c>
      <c r="O353">
        <v>-6.1487100000001389</v>
      </c>
      <c r="P353">
        <v>47650.471307</v>
      </c>
    </row>
    <row r="354" spans="1:16" x14ac:dyDescent="0.25">
      <c r="A354" s="10">
        <v>38139</v>
      </c>
      <c r="B354">
        <v>112.34236500000409</v>
      </c>
      <c r="C354">
        <v>123.52288</v>
      </c>
      <c r="D354">
        <v>0</v>
      </c>
      <c r="E354">
        <v>0</v>
      </c>
      <c r="F354">
        <v>0</v>
      </c>
      <c r="G354">
        <v>-3.694065999999999</v>
      </c>
      <c r="H354">
        <v>-34.025999999999982</v>
      </c>
      <c r="I354">
        <v>0</v>
      </c>
      <c r="J354">
        <v>0</v>
      </c>
      <c r="K354">
        <v>0.6</v>
      </c>
      <c r="L354">
        <v>0</v>
      </c>
      <c r="M354">
        <v>0</v>
      </c>
      <c r="N354">
        <v>0</v>
      </c>
      <c r="O354">
        <v>25.939551000004069</v>
      </c>
      <c r="P354">
        <v>47762.813671999997</v>
      </c>
    </row>
    <row r="355" spans="1:16" x14ac:dyDescent="0.25">
      <c r="A355" s="10">
        <v>38140</v>
      </c>
      <c r="B355">
        <v>11.68368799998996</v>
      </c>
      <c r="C355">
        <v>134.80748</v>
      </c>
      <c r="D355">
        <v>0</v>
      </c>
      <c r="E355">
        <v>0</v>
      </c>
      <c r="F355">
        <v>0</v>
      </c>
      <c r="G355">
        <v>-2.625426720946002</v>
      </c>
      <c r="H355">
        <v>137.28399999999999</v>
      </c>
      <c r="I355">
        <v>0</v>
      </c>
      <c r="J355">
        <v>-135</v>
      </c>
      <c r="K355">
        <v>-55.418000000000092</v>
      </c>
      <c r="L355">
        <v>-56.117374990918307</v>
      </c>
      <c r="M355">
        <v>0</v>
      </c>
      <c r="N355">
        <v>0</v>
      </c>
      <c r="O355">
        <v>-11.246990288145639</v>
      </c>
      <c r="P355">
        <v>47774.497359999987</v>
      </c>
    </row>
    <row r="356" spans="1:16" x14ac:dyDescent="0.25">
      <c r="A356" s="10">
        <v>38141</v>
      </c>
      <c r="B356">
        <v>134.5155340000056</v>
      </c>
      <c r="C356">
        <v>75.750070000000008</v>
      </c>
      <c r="D356">
        <v>0</v>
      </c>
      <c r="E356">
        <v>0</v>
      </c>
      <c r="F356">
        <v>0</v>
      </c>
      <c r="G356">
        <v>4.5663830004149997</v>
      </c>
      <c r="H356">
        <v>24.673999999999989</v>
      </c>
      <c r="I356">
        <v>0</v>
      </c>
      <c r="J356">
        <v>0</v>
      </c>
      <c r="K356">
        <v>0</v>
      </c>
      <c r="L356">
        <v>27.878770505170831</v>
      </c>
      <c r="M356">
        <v>0</v>
      </c>
      <c r="N356">
        <v>0</v>
      </c>
      <c r="O356">
        <v>1.6463104944197391</v>
      </c>
      <c r="P356">
        <v>47909.012894</v>
      </c>
    </row>
    <row r="357" spans="1:16" x14ac:dyDescent="0.25">
      <c r="A357" s="10">
        <v>38142</v>
      </c>
      <c r="B357">
        <v>-334.32131199999998</v>
      </c>
      <c r="C357">
        <v>150.72487799999999</v>
      </c>
      <c r="D357">
        <v>-248.66785999999999</v>
      </c>
      <c r="E357">
        <v>0</v>
      </c>
      <c r="F357">
        <v>0</v>
      </c>
      <c r="G357">
        <v>-3.4186155643269842</v>
      </c>
      <c r="H357">
        <v>-107.675455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-125.28425943567299</v>
      </c>
      <c r="P357">
        <v>47574.691581999999</v>
      </c>
    </row>
    <row r="358" spans="1:16" x14ac:dyDescent="0.25">
      <c r="A358" s="10">
        <v>38145</v>
      </c>
      <c r="B358">
        <v>124.1619020700018</v>
      </c>
      <c r="C358">
        <v>137.85679300000001</v>
      </c>
      <c r="D358">
        <v>0</v>
      </c>
      <c r="E358">
        <v>0</v>
      </c>
      <c r="F358">
        <v>0</v>
      </c>
      <c r="G358">
        <v>-3.0019923499999952</v>
      </c>
      <c r="H358">
        <v>-3.5973750999999941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-7.0955234799982181</v>
      </c>
      <c r="P358">
        <v>47698.853484070001</v>
      </c>
    </row>
    <row r="359" spans="1:16" x14ac:dyDescent="0.25">
      <c r="A359" s="10">
        <v>38146</v>
      </c>
      <c r="B359">
        <v>91.551636650001456</v>
      </c>
      <c r="C359">
        <v>118.80119322</v>
      </c>
      <c r="D359">
        <v>0</v>
      </c>
      <c r="E359">
        <v>0</v>
      </c>
      <c r="F359">
        <v>0</v>
      </c>
      <c r="G359">
        <v>-5.9420183899999994</v>
      </c>
      <c r="H359">
        <v>-40.97962677000001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19.672088590001469</v>
      </c>
      <c r="P359">
        <v>47790.405120720003</v>
      </c>
    </row>
    <row r="360" spans="1:16" x14ac:dyDescent="0.25">
      <c r="A360" s="10">
        <v>38147</v>
      </c>
      <c r="B360">
        <v>-59.353489720007929</v>
      </c>
      <c r="C360">
        <v>118.739</v>
      </c>
      <c r="D360">
        <v>0</v>
      </c>
      <c r="E360">
        <v>0</v>
      </c>
      <c r="F360">
        <v>0</v>
      </c>
      <c r="G360">
        <v>-22.773888379999999</v>
      </c>
      <c r="H360">
        <v>-50.933999999999997</v>
      </c>
      <c r="I360">
        <v>0</v>
      </c>
      <c r="J360">
        <v>0</v>
      </c>
      <c r="K360">
        <v>0</v>
      </c>
      <c r="L360">
        <v>-111.3549039048397</v>
      </c>
      <c r="M360">
        <v>0</v>
      </c>
      <c r="N360">
        <v>0</v>
      </c>
      <c r="O360">
        <v>6.9703025648317709</v>
      </c>
      <c r="P360">
        <v>47731.051630999988</v>
      </c>
    </row>
    <row r="361" spans="1:16" x14ac:dyDescent="0.25">
      <c r="A361" s="10">
        <v>38148</v>
      </c>
      <c r="B361">
        <v>74.766193000003085</v>
      </c>
      <c r="C361">
        <v>123.21168</v>
      </c>
      <c r="D361">
        <v>0</v>
      </c>
      <c r="E361">
        <v>0</v>
      </c>
      <c r="F361">
        <v>0</v>
      </c>
      <c r="G361">
        <v>-6.1138579999999996</v>
      </c>
      <c r="H361">
        <v>-41.183205000000036</v>
      </c>
      <c r="I361">
        <v>0</v>
      </c>
      <c r="J361">
        <v>0</v>
      </c>
      <c r="K361">
        <v>1.2709E-2</v>
      </c>
      <c r="L361">
        <v>0</v>
      </c>
      <c r="M361">
        <v>0</v>
      </c>
      <c r="N361">
        <v>0</v>
      </c>
      <c r="O361">
        <v>-1.161132999996852</v>
      </c>
      <c r="P361">
        <v>47805.817823999998</v>
      </c>
    </row>
    <row r="362" spans="1:16" x14ac:dyDescent="0.25">
      <c r="A362" s="10">
        <v>38149</v>
      </c>
      <c r="B362">
        <v>-41.164033000000948</v>
      </c>
      <c r="C362">
        <v>112.9495</v>
      </c>
      <c r="D362">
        <v>0</v>
      </c>
      <c r="E362">
        <v>0</v>
      </c>
      <c r="F362">
        <v>0</v>
      </c>
      <c r="G362">
        <v>-3.7826849999999972</v>
      </c>
      <c r="H362">
        <v>-122.53100000000001</v>
      </c>
      <c r="I362">
        <v>0</v>
      </c>
      <c r="J362">
        <v>0</v>
      </c>
      <c r="K362">
        <v>1.0792390000000001E-2</v>
      </c>
      <c r="L362">
        <v>0</v>
      </c>
      <c r="M362">
        <v>0</v>
      </c>
      <c r="N362">
        <v>0</v>
      </c>
      <c r="O362">
        <v>-27.810640390000941</v>
      </c>
      <c r="P362">
        <v>47764.653790999997</v>
      </c>
    </row>
    <row r="363" spans="1:16" x14ac:dyDescent="0.25">
      <c r="A363" s="10">
        <v>38152</v>
      </c>
      <c r="B363">
        <v>146.49102900000429</v>
      </c>
      <c r="C363">
        <v>126.334</v>
      </c>
      <c r="D363">
        <v>0</v>
      </c>
      <c r="E363">
        <v>0</v>
      </c>
      <c r="F363">
        <v>0</v>
      </c>
      <c r="G363">
        <v>-6.8543149999999997</v>
      </c>
      <c r="H363">
        <v>29.036000000000001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-2.0246559999956659</v>
      </c>
      <c r="P363">
        <v>47911.144820000001</v>
      </c>
    </row>
    <row r="364" spans="1:16" x14ac:dyDescent="0.25">
      <c r="A364" s="10">
        <v>38153</v>
      </c>
      <c r="B364">
        <v>83.962233059995924</v>
      </c>
      <c r="C364">
        <v>116.79297955</v>
      </c>
      <c r="D364">
        <v>0</v>
      </c>
      <c r="E364">
        <v>0</v>
      </c>
      <c r="F364">
        <v>0</v>
      </c>
      <c r="G364">
        <v>1.8991859199999941</v>
      </c>
      <c r="H364">
        <v>-82.498934189999943</v>
      </c>
      <c r="I364">
        <v>0</v>
      </c>
      <c r="J364">
        <v>0</v>
      </c>
      <c r="K364">
        <v>12.69</v>
      </c>
      <c r="L364">
        <v>-1.9985219999999999</v>
      </c>
      <c r="M364">
        <v>0</v>
      </c>
      <c r="N364">
        <v>0</v>
      </c>
      <c r="O364">
        <v>37.077523779995879</v>
      </c>
      <c r="P364">
        <v>47995.107053059997</v>
      </c>
    </row>
    <row r="365" spans="1:16" x14ac:dyDescent="0.25">
      <c r="A365" s="10">
        <v>38154</v>
      </c>
      <c r="B365">
        <v>0.48782425999525308</v>
      </c>
      <c r="C365">
        <v>117.00545028000001</v>
      </c>
      <c r="D365">
        <v>0</v>
      </c>
      <c r="E365">
        <v>0</v>
      </c>
      <c r="F365">
        <v>0</v>
      </c>
      <c r="G365">
        <v>-0.13512714000000259</v>
      </c>
      <c r="H365">
        <v>-58.459891109999937</v>
      </c>
      <c r="I365">
        <v>0</v>
      </c>
      <c r="J365">
        <v>0</v>
      </c>
      <c r="K365">
        <v>0</v>
      </c>
      <c r="L365">
        <v>-57.435697664978512</v>
      </c>
      <c r="M365">
        <v>0</v>
      </c>
      <c r="N365">
        <v>0</v>
      </c>
      <c r="O365">
        <v>-0.48691010502629378</v>
      </c>
      <c r="P365">
        <v>47995.594877319993</v>
      </c>
    </row>
    <row r="366" spans="1:16" x14ac:dyDescent="0.25">
      <c r="A366" s="10">
        <v>38155</v>
      </c>
      <c r="B366">
        <v>89.95870014000684</v>
      </c>
      <c r="C366">
        <v>130.66528434</v>
      </c>
      <c r="D366">
        <v>0</v>
      </c>
      <c r="E366">
        <v>0</v>
      </c>
      <c r="F366">
        <v>0</v>
      </c>
      <c r="G366">
        <v>-6.8126696399999993</v>
      </c>
      <c r="H366">
        <v>-42.063439890000041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8.1695253300068771</v>
      </c>
      <c r="P366">
        <v>48085.553577459999</v>
      </c>
    </row>
    <row r="367" spans="1:16" x14ac:dyDescent="0.25">
      <c r="A367" s="10">
        <v>38156</v>
      </c>
      <c r="B367">
        <v>-52.839577459999319</v>
      </c>
      <c r="C367">
        <v>113.169</v>
      </c>
      <c r="D367">
        <v>-1060.000000012325</v>
      </c>
      <c r="E367">
        <v>1060.000000012325</v>
      </c>
      <c r="F367">
        <v>0</v>
      </c>
      <c r="G367">
        <v>-60.905389139999897</v>
      </c>
      <c r="H367">
        <v>-105.1550000000001</v>
      </c>
      <c r="I367">
        <v>0</v>
      </c>
      <c r="J367">
        <v>0</v>
      </c>
      <c r="K367">
        <v>5.0628069999999997E-2</v>
      </c>
      <c r="L367">
        <v>0</v>
      </c>
      <c r="M367">
        <v>0</v>
      </c>
      <c r="N367">
        <v>0</v>
      </c>
      <c r="O367">
        <v>1.183610000682053E-3</v>
      </c>
      <c r="P367">
        <v>48032.714</v>
      </c>
    </row>
    <row r="368" spans="1:16" x14ac:dyDescent="0.25">
      <c r="A368" s="10">
        <v>38160</v>
      </c>
      <c r="B368">
        <v>92.67700375000274</v>
      </c>
      <c r="C368">
        <v>94.643889999999999</v>
      </c>
      <c r="D368">
        <v>0</v>
      </c>
      <c r="E368">
        <v>0</v>
      </c>
      <c r="F368">
        <v>0</v>
      </c>
      <c r="G368">
        <v>59.373026000000038</v>
      </c>
      <c r="H368">
        <v>-63.955503000000022</v>
      </c>
      <c r="I368">
        <v>0</v>
      </c>
      <c r="J368">
        <v>0</v>
      </c>
      <c r="K368">
        <v>0.11349461</v>
      </c>
      <c r="L368">
        <v>-2.9963880000000001</v>
      </c>
      <c r="M368">
        <v>0</v>
      </c>
      <c r="N368">
        <v>0</v>
      </c>
      <c r="O368">
        <v>5.4984841400027173</v>
      </c>
      <c r="P368">
        <v>48125.391003750003</v>
      </c>
    </row>
    <row r="369" spans="1:16" x14ac:dyDescent="0.25">
      <c r="A369" s="10">
        <v>38161</v>
      </c>
      <c r="B369">
        <v>-57.453498750008343</v>
      </c>
      <c r="C369">
        <v>114.8682</v>
      </c>
      <c r="D369">
        <v>0</v>
      </c>
      <c r="E369">
        <v>0</v>
      </c>
      <c r="F369">
        <v>0</v>
      </c>
      <c r="G369">
        <v>80.344228344383993</v>
      </c>
      <c r="H369">
        <v>-116.755189</v>
      </c>
      <c r="I369">
        <v>0</v>
      </c>
      <c r="J369">
        <v>0</v>
      </c>
      <c r="K369">
        <v>6.5439540000000004E-2</v>
      </c>
      <c r="L369">
        <v>-163.08523693128021</v>
      </c>
      <c r="M369">
        <v>0</v>
      </c>
      <c r="N369">
        <v>0</v>
      </c>
      <c r="O369">
        <v>27.109059296887839</v>
      </c>
      <c r="P369">
        <v>48067.937504999987</v>
      </c>
    </row>
    <row r="370" spans="1:16" x14ac:dyDescent="0.25">
      <c r="A370" s="10">
        <v>38162</v>
      </c>
      <c r="B370">
        <v>112.7597749999987</v>
      </c>
      <c r="C370">
        <v>111.517</v>
      </c>
      <c r="D370">
        <v>0</v>
      </c>
      <c r="E370">
        <v>0</v>
      </c>
      <c r="F370">
        <v>0</v>
      </c>
      <c r="G370">
        <v>-4.0662543443839994</v>
      </c>
      <c r="H370">
        <v>16.920000000000069</v>
      </c>
      <c r="I370">
        <v>0</v>
      </c>
      <c r="J370">
        <v>0</v>
      </c>
      <c r="K370">
        <v>6.7811239999999995E-2</v>
      </c>
      <c r="L370">
        <v>-13.995405999999999</v>
      </c>
      <c r="M370">
        <v>0</v>
      </c>
      <c r="N370">
        <v>0</v>
      </c>
      <c r="O370">
        <v>2.3166241043825888</v>
      </c>
      <c r="P370">
        <v>48180.697279999993</v>
      </c>
    </row>
    <row r="371" spans="1:16" x14ac:dyDescent="0.25">
      <c r="A371" s="10">
        <v>38163</v>
      </c>
      <c r="B371">
        <v>146.57772000000111</v>
      </c>
      <c r="C371">
        <v>105.61499999999999</v>
      </c>
      <c r="D371">
        <v>0</v>
      </c>
      <c r="E371">
        <v>0</v>
      </c>
      <c r="F371">
        <v>0</v>
      </c>
      <c r="G371">
        <v>-5.8711156837900003</v>
      </c>
      <c r="H371">
        <v>29.44499999999994</v>
      </c>
      <c r="I371">
        <v>0</v>
      </c>
      <c r="J371">
        <v>0</v>
      </c>
      <c r="K371">
        <v>0.10104534</v>
      </c>
      <c r="L371">
        <v>0</v>
      </c>
      <c r="M371">
        <v>0</v>
      </c>
      <c r="N371">
        <v>0</v>
      </c>
      <c r="O371">
        <v>17.287790343791151</v>
      </c>
      <c r="P371">
        <v>48327.274999999987</v>
      </c>
    </row>
    <row r="372" spans="1:16" x14ac:dyDescent="0.25">
      <c r="A372" s="10">
        <v>38166</v>
      </c>
      <c r="B372">
        <v>56.007546000000737</v>
      </c>
      <c r="C372">
        <v>102.97606399999999</v>
      </c>
      <c r="D372">
        <v>-169.99999998831501</v>
      </c>
      <c r="E372">
        <v>169.99999998831501</v>
      </c>
      <c r="F372">
        <v>0</v>
      </c>
      <c r="G372">
        <v>-4.0595712697916886</v>
      </c>
      <c r="H372">
        <v>-50.984000000000037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8.0750532697924591</v>
      </c>
      <c r="P372">
        <v>48383.282545999988</v>
      </c>
    </row>
    <row r="373" spans="1:16" x14ac:dyDescent="0.25">
      <c r="A373" s="10">
        <v>38167</v>
      </c>
      <c r="B373">
        <v>148.16558884000551</v>
      </c>
      <c r="C373">
        <v>106.05090848</v>
      </c>
      <c r="D373">
        <v>0</v>
      </c>
      <c r="E373">
        <v>0</v>
      </c>
      <c r="F373">
        <v>0</v>
      </c>
      <c r="G373">
        <v>-8.5228539000000012</v>
      </c>
      <c r="H373">
        <v>47.986969859999697</v>
      </c>
      <c r="I373">
        <v>0</v>
      </c>
      <c r="J373">
        <v>0</v>
      </c>
      <c r="K373">
        <v>0.25522361999990911</v>
      </c>
      <c r="L373">
        <v>0</v>
      </c>
      <c r="M373">
        <v>0</v>
      </c>
      <c r="N373">
        <v>0</v>
      </c>
      <c r="O373">
        <v>2.3953407800058928</v>
      </c>
      <c r="P373">
        <v>48531.44813484</v>
      </c>
    </row>
    <row r="374" spans="1:16" x14ac:dyDescent="0.25">
      <c r="A374" s="10">
        <v>38168</v>
      </c>
      <c r="B374">
        <v>95.249798160002626</v>
      </c>
      <c r="C374">
        <v>-86.518360000000001</v>
      </c>
      <c r="D374">
        <v>0</v>
      </c>
      <c r="E374">
        <v>0</v>
      </c>
      <c r="F374">
        <v>0</v>
      </c>
      <c r="G374">
        <v>17.691704609799999</v>
      </c>
      <c r="H374">
        <v>-98.655224270000076</v>
      </c>
      <c r="I374">
        <v>0</v>
      </c>
      <c r="J374">
        <v>0</v>
      </c>
      <c r="K374">
        <v>0.12141826999999999</v>
      </c>
      <c r="L374">
        <v>178.96</v>
      </c>
      <c r="M374">
        <v>0</v>
      </c>
      <c r="N374">
        <v>0</v>
      </c>
      <c r="O374">
        <v>83.650259550202719</v>
      </c>
      <c r="P374">
        <v>48626.697933000003</v>
      </c>
    </row>
    <row r="375" spans="1:16" x14ac:dyDescent="0.25">
      <c r="A375" s="10">
        <v>38169</v>
      </c>
      <c r="B375">
        <v>-329.26613150000043</v>
      </c>
      <c r="C375">
        <v>103.4235</v>
      </c>
      <c r="D375">
        <v>0</v>
      </c>
      <c r="E375">
        <v>0</v>
      </c>
      <c r="F375">
        <v>0</v>
      </c>
      <c r="G375">
        <v>-3.47</v>
      </c>
      <c r="H375">
        <v>-425.31153452999968</v>
      </c>
      <c r="I375">
        <v>0</v>
      </c>
      <c r="J375">
        <v>0</v>
      </c>
      <c r="K375">
        <v>5.9702870000004772E-2</v>
      </c>
      <c r="L375">
        <v>-3.9769559999999999</v>
      </c>
      <c r="M375">
        <v>0</v>
      </c>
      <c r="N375">
        <v>0</v>
      </c>
      <c r="O375">
        <v>9.1561599992360243E-3</v>
      </c>
      <c r="P375">
        <v>48297.431801500003</v>
      </c>
    </row>
    <row r="376" spans="1:16" x14ac:dyDescent="0.25">
      <c r="A376" s="10">
        <v>38170</v>
      </c>
      <c r="B376">
        <v>-364.24591350000298</v>
      </c>
      <c r="C376">
        <v>103.44986299999999</v>
      </c>
      <c r="D376">
        <v>0</v>
      </c>
      <c r="E376">
        <v>0</v>
      </c>
      <c r="F376">
        <v>0</v>
      </c>
      <c r="G376">
        <v>-3.47</v>
      </c>
      <c r="H376">
        <v>-267.62585399999989</v>
      </c>
      <c r="I376">
        <v>0</v>
      </c>
      <c r="J376">
        <v>-136.76000000000019</v>
      </c>
      <c r="K376">
        <v>-59.75307261000016</v>
      </c>
      <c r="L376">
        <v>0</v>
      </c>
      <c r="M376">
        <v>0</v>
      </c>
      <c r="N376">
        <v>0</v>
      </c>
      <c r="O376">
        <v>-8.6849890002781649E-2</v>
      </c>
      <c r="P376">
        <v>47933.185888</v>
      </c>
    </row>
    <row r="377" spans="1:16" x14ac:dyDescent="0.25">
      <c r="A377" s="10">
        <v>38173</v>
      </c>
      <c r="B377">
        <v>-376.13359949999722</v>
      </c>
      <c r="C377">
        <v>8.6999999999999994E-2</v>
      </c>
      <c r="D377">
        <v>0</v>
      </c>
      <c r="E377">
        <v>0</v>
      </c>
      <c r="F377">
        <v>0</v>
      </c>
      <c r="G377">
        <v>-3.47</v>
      </c>
      <c r="H377">
        <v>-372.66367700000001</v>
      </c>
      <c r="I377">
        <v>0</v>
      </c>
      <c r="J377">
        <v>0</v>
      </c>
      <c r="K377">
        <v>2.4444570000000301E-2</v>
      </c>
      <c r="L377">
        <v>0</v>
      </c>
      <c r="M377">
        <v>0</v>
      </c>
      <c r="N377">
        <v>0</v>
      </c>
      <c r="O377">
        <v>-0.11136706999724311</v>
      </c>
      <c r="P377">
        <v>47557.052288500003</v>
      </c>
    </row>
    <row r="378" spans="1:16" x14ac:dyDescent="0.25">
      <c r="A378" s="10">
        <v>38174</v>
      </c>
      <c r="B378">
        <v>-290.93386527999979</v>
      </c>
      <c r="C378">
        <v>292.46527900000001</v>
      </c>
      <c r="D378">
        <v>0</v>
      </c>
      <c r="E378">
        <v>0</v>
      </c>
      <c r="F378">
        <v>0</v>
      </c>
      <c r="G378">
        <v>3.0402205900000041</v>
      </c>
      <c r="H378">
        <v>-463.25637493000039</v>
      </c>
      <c r="I378">
        <v>0</v>
      </c>
      <c r="J378">
        <v>0</v>
      </c>
      <c r="K378">
        <v>0.1127302399999499</v>
      </c>
      <c r="L378">
        <v>0</v>
      </c>
      <c r="M378">
        <v>0</v>
      </c>
      <c r="N378">
        <v>0</v>
      </c>
      <c r="O378">
        <v>-123.29572017999929</v>
      </c>
      <c r="P378">
        <v>47266.118423220003</v>
      </c>
    </row>
    <row r="379" spans="1:16" x14ac:dyDescent="0.25">
      <c r="A379" s="10">
        <v>38175</v>
      </c>
      <c r="B379">
        <v>-766.48139649010398</v>
      </c>
      <c r="C379">
        <v>106.86813600000001</v>
      </c>
      <c r="D379">
        <v>0</v>
      </c>
      <c r="E379">
        <v>0</v>
      </c>
      <c r="F379">
        <v>0</v>
      </c>
      <c r="G379">
        <v>-9.5936130000000031</v>
      </c>
      <c r="H379">
        <v>-688.64335353999968</v>
      </c>
      <c r="I379">
        <v>0</v>
      </c>
      <c r="J379">
        <v>0</v>
      </c>
      <c r="K379">
        <v>7.8487187299999999</v>
      </c>
      <c r="L379">
        <v>-190.86</v>
      </c>
      <c r="M379">
        <v>0</v>
      </c>
      <c r="N379">
        <v>0</v>
      </c>
      <c r="O379">
        <v>7.898715319895663</v>
      </c>
      <c r="P379">
        <v>46499.637026729899</v>
      </c>
    </row>
    <row r="380" spans="1:16" x14ac:dyDescent="0.25">
      <c r="A380" s="10">
        <v>38176</v>
      </c>
      <c r="B380">
        <v>-563.13646178990189</v>
      </c>
      <c r="C380">
        <v>100.829605</v>
      </c>
      <c r="D380">
        <v>0</v>
      </c>
      <c r="E380">
        <v>0</v>
      </c>
      <c r="F380">
        <v>0</v>
      </c>
      <c r="G380">
        <v>-6.1565349999999981</v>
      </c>
      <c r="H380">
        <v>-684.42075099999965</v>
      </c>
      <c r="I380">
        <v>0</v>
      </c>
      <c r="J380">
        <v>0</v>
      </c>
      <c r="K380">
        <v>0.26354465999999999</v>
      </c>
      <c r="L380">
        <v>-1.9992620000000001</v>
      </c>
      <c r="M380">
        <v>0</v>
      </c>
      <c r="N380">
        <v>0</v>
      </c>
      <c r="O380">
        <v>28.346936550097791</v>
      </c>
      <c r="P380">
        <v>45936.500564939997</v>
      </c>
    </row>
    <row r="381" spans="1:16" x14ac:dyDescent="0.25">
      <c r="A381" s="10">
        <v>38180</v>
      </c>
      <c r="B381">
        <v>-78.457683209999132</v>
      </c>
      <c r="C381">
        <v>91.992589730000006</v>
      </c>
      <c r="D381">
        <v>0</v>
      </c>
      <c r="E381">
        <v>0</v>
      </c>
      <c r="F381">
        <v>0</v>
      </c>
      <c r="G381">
        <v>-2.594129800000001</v>
      </c>
      <c r="H381">
        <v>-146.07113331999969</v>
      </c>
      <c r="I381">
        <v>0</v>
      </c>
      <c r="J381">
        <v>0</v>
      </c>
      <c r="K381">
        <v>0.51060667999999998</v>
      </c>
      <c r="L381">
        <v>-1.9902219999999999</v>
      </c>
      <c r="M381">
        <v>0</v>
      </c>
      <c r="N381">
        <v>0</v>
      </c>
      <c r="O381">
        <v>-20.305394499999419</v>
      </c>
      <c r="P381">
        <v>45858.042881729998</v>
      </c>
    </row>
    <row r="382" spans="1:16" x14ac:dyDescent="0.25">
      <c r="A382" s="10">
        <v>38181</v>
      </c>
      <c r="B382">
        <v>-265.7408277299985</v>
      </c>
      <c r="C382">
        <v>84.465055000000007</v>
      </c>
      <c r="D382">
        <v>0</v>
      </c>
      <c r="E382">
        <v>0</v>
      </c>
      <c r="F382">
        <v>0</v>
      </c>
      <c r="G382">
        <v>-4.2904732000000001</v>
      </c>
      <c r="H382">
        <v>-345.41580799999969</v>
      </c>
      <c r="I382">
        <v>0</v>
      </c>
      <c r="J382">
        <v>0</v>
      </c>
      <c r="K382">
        <v>0.33491423999999997</v>
      </c>
      <c r="L382">
        <v>0</v>
      </c>
      <c r="M382">
        <v>0</v>
      </c>
      <c r="N382">
        <v>0</v>
      </c>
      <c r="O382">
        <v>-0.83451576999875443</v>
      </c>
      <c r="P382">
        <v>45592.302054</v>
      </c>
    </row>
    <row r="383" spans="1:16" x14ac:dyDescent="0.25">
      <c r="A383" s="10">
        <v>38182</v>
      </c>
      <c r="B383">
        <v>-66.659669579996191</v>
      </c>
      <c r="C383">
        <v>94.513722999999999</v>
      </c>
      <c r="D383">
        <v>0</v>
      </c>
      <c r="E383">
        <v>0</v>
      </c>
      <c r="F383">
        <v>0</v>
      </c>
      <c r="G383">
        <v>-24.644594000000001</v>
      </c>
      <c r="H383">
        <v>-216.690822999999</v>
      </c>
      <c r="I383">
        <v>0</v>
      </c>
      <c r="J383">
        <v>0</v>
      </c>
      <c r="K383">
        <v>0.49883504000000001</v>
      </c>
      <c r="L383">
        <v>170.85952812638311</v>
      </c>
      <c r="M383">
        <v>0</v>
      </c>
      <c r="N383">
        <v>0</v>
      </c>
      <c r="O383">
        <v>-91.196338746380277</v>
      </c>
      <c r="P383">
        <v>45525.642384420004</v>
      </c>
    </row>
    <row r="384" spans="1:16" x14ac:dyDescent="0.25">
      <c r="A384" s="10">
        <v>38183</v>
      </c>
      <c r="B384">
        <v>-312.12365942000139</v>
      </c>
      <c r="C384">
        <v>83.939516800000007</v>
      </c>
      <c r="D384">
        <v>-90</v>
      </c>
      <c r="E384">
        <v>0</v>
      </c>
      <c r="F384">
        <v>0</v>
      </c>
      <c r="G384">
        <v>9.2449999910590037</v>
      </c>
      <c r="H384">
        <v>-308.14103500000061</v>
      </c>
      <c r="I384">
        <v>0</v>
      </c>
      <c r="J384">
        <v>-1.2800000000006551</v>
      </c>
      <c r="K384">
        <v>1.1816918599999999</v>
      </c>
      <c r="L384">
        <v>-6.9806800000000004</v>
      </c>
      <c r="M384">
        <v>0</v>
      </c>
      <c r="N384">
        <v>0</v>
      </c>
      <c r="O384">
        <v>-8.8153071059200561E-2</v>
      </c>
      <c r="P384">
        <v>45213.518725000002</v>
      </c>
    </row>
    <row r="385" spans="1:16" x14ac:dyDescent="0.25">
      <c r="A385" s="10">
        <v>38184</v>
      </c>
      <c r="B385">
        <v>-43.65750200000182</v>
      </c>
      <c r="C385">
        <v>94.816586000000001</v>
      </c>
      <c r="D385">
        <v>0</v>
      </c>
      <c r="E385">
        <v>0</v>
      </c>
      <c r="F385">
        <v>0</v>
      </c>
      <c r="G385">
        <v>-5.8684489999999983</v>
      </c>
      <c r="H385">
        <v>-133.0469999999996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0.44136099999775091</v>
      </c>
      <c r="P385">
        <v>45169.861223</v>
      </c>
    </row>
    <row r="386" spans="1:16" x14ac:dyDescent="0.25">
      <c r="A386" s="10">
        <v>38187</v>
      </c>
      <c r="B386">
        <v>343.38304999999679</v>
      </c>
      <c r="C386">
        <v>74.242011230000003</v>
      </c>
      <c r="D386">
        <v>0</v>
      </c>
      <c r="E386">
        <v>0</v>
      </c>
      <c r="F386">
        <v>0</v>
      </c>
      <c r="G386">
        <v>48.956338000000002</v>
      </c>
      <c r="H386">
        <v>215.14890699999981</v>
      </c>
      <c r="I386">
        <v>0</v>
      </c>
      <c r="J386">
        <v>0</v>
      </c>
      <c r="K386">
        <v>0.48837335999999998</v>
      </c>
      <c r="L386">
        <v>0</v>
      </c>
      <c r="M386">
        <v>0</v>
      </c>
      <c r="N386">
        <v>0</v>
      </c>
      <c r="O386">
        <v>4.547420409996942</v>
      </c>
      <c r="P386">
        <v>45513.244272999997</v>
      </c>
    </row>
    <row r="387" spans="1:16" x14ac:dyDescent="0.25">
      <c r="A387" s="10">
        <v>38188</v>
      </c>
      <c r="B387">
        <v>429.98524585000263</v>
      </c>
      <c r="C387">
        <v>75.341604000000004</v>
      </c>
      <c r="D387">
        <v>0</v>
      </c>
      <c r="E387">
        <v>0</v>
      </c>
      <c r="F387">
        <v>0</v>
      </c>
      <c r="G387">
        <v>-67.000334170000002</v>
      </c>
      <c r="H387">
        <v>420.23281200000019</v>
      </c>
      <c r="I387">
        <v>0</v>
      </c>
      <c r="J387">
        <v>0</v>
      </c>
      <c r="K387">
        <v>0.50052459999999999</v>
      </c>
      <c r="L387">
        <v>0</v>
      </c>
      <c r="M387">
        <v>0</v>
      </c>
      <c r="N387">
        <v>0</v>
      </c>
      <c r="O387">
        <v>0.91063942000242604</v>
      </c>
      <c r="P387">
        <v>45943.229518849999</v>
      </c>
    </row>
    <row r="388" spans="1:16" x14ac:dyDescent="0.25">
      <c r="A388" s="10">
        <v>38189</v>
      </c>
      <c r="B388">
        <v>387.34356214999582</v>
      </c>
      <c r="C388">
        <v>74.343638999999996</v>
      </c>
      <c r="D388">
        <v>0</v>
      </c>
      <c r="E388">
        <v>0</v>
      </c>
      <c r="F388">
        <v>0</v>
      </c>
      <c r="G388">
        <v>6.2175131699999984</v>
      </c>
      <c r="H388">
        <v>433.75659300000052</v>
      </c>
      <c r="I388">
        <v>0</v>
      </c>
      <c r="J388">
        <v>0</v>
      </c>
      <c r="K388">
        <v>0.60273032000000004</v>
      </c>
      <c r="L388">
        <v>-125.8403533365032</v>
      </c>
      <c r="M388">
        <v>0</v>
      </c>
      <c r="N388">
        <v>0</v>
      </c>
      <c r="O388">
        <v>-1.7365600035015269</v>
      </c>
      <c r="P388">
        <v>46330.573080999988</v>
      </c>
    </row>
    <row r="389" spans="1:16" x14ac:dyDescent="0.25">
      <c r="A389" s="10">
        <v>38190</v>
      </c>
      <c r="B389">
        <v>389.33865200000571</v>
      </c>
      <c r="C389">
        <v>74.237317000000004</v>
      </c>
      <c r="D389">
        <v>0</v>
      </c>
      <c r="E389">
        <v>0</v>
      </c>
      <c r="F389">
        <v>0</v>
      </c>
      <c r="G389">
        <v>-6.1039920000000034</v>
      </c>
      <c r="H389">
        <v>312.20367600000009</v>
      </c>
      <c r="I389">
        <v>0</v>
      </c>
      <c r="J389">
        <v>0</v>
      </c>
      <c r="K389">
        <v>3.7294310300000002</v>
      </c>
      <c r="L389">
        <v>0</v>
      </c>
      <c r="M389">
        <v>0</v>
      </c>
      <c r="N389">
        <v>0</v>
      </c>
      <c r="O389">
        <v>5.2722199700056311</v>
      </c>
      <c r="P389">
        <v>46719.911733000001</v>
      </c>
    </row>
    <row r="390" spans="1:16" x14ac:dyDescent="0.25">
      <c r="A390" s="10">
        <v>38191</v>
      </c>
      <c r="B390">
        <v>-69.758639999999843</v>
      </c>
      <c r="C390">
        <v>74.116</v>
      </c>
      <c r="D390">
        <v>0</v>
      </c>
      <c r="E390">
        <v>0</v>
      </c>
      <c r="F390">
        <v>0</v>
      </c>
      <c r="G390">
        <v>10.01044050000001</v>
      </c>
      <c r="H390">
        <v>-158.37503000000021</v>
      </c>
      <c r="I390">
        <v>0</v>
      </c>
      <c r="J390">
        <v>0</v>
      </c>
      <c r="K390">
        <v>6.3790029999999998E-2</v>
      </c>
      <c r="L390">
        <v>0</v>
      </c>
      <c r="M390">
        <v>0</v>
      </c>
      <c r="N390">
        <v>0</v>
      </c>
      <c r="O390">
        <v>4.4261594700003037</v>
      </c>
      <c r="P390">
        <v>46650.153093000001</v>
      </c>
    </row>
    <row r="391" spans="1:16" x14ac:dyDescent="0.25">
      <c r="A391" s="10">
        <v>38194</v>
      </c>
      <c r="B391">
        <v>260.91984599999688</v>
      </c>
      <c r="C391">
        <v>72.970928999999998</v>
      </c>
      <c r="D391">
        <v>0</v>
      </c>
      <c r="E391">
        <v>0</v>
      </c>
      <c r="F391">
        <v>0</v>
      </c>
      <c r="G391">
        <v>2.6346764999999879</v>
      </c>
      <c r="H391">
        <v>185.41459059999991</v>
      </c>
      <c r="I391">
        <v>0</v>
      </c>
      <c r="J391">
        <v>0</v>
      </c>
      <c r="K391">
        <v>0.38310975000000003</v>
      </c>
      <c r="L391">
        <v>0</v>
      </c>
      <c r="M391">
        <v>0</v>
      </c>
      <c r="N391">
        <v>0</v>
      </c>
      <c r="O391">
        <v>-0.483459850002946</v>
      </c>
      <c r="P391">
        <v>46911.072938999998</v>
      </c>
    </row>
    <row r="392" spans="1:16" x14ac:dyDescent="0.25">
      <c r="A392" s="10">
        <v>38195</v>
      </c>
      <c r="B392">
        <v>7.4306710000016878</v>
      </c>
      <c r="C392">
        <v>76.55287899999999</v>
      </c>
      <c r="D392">
        <v>0</v>
      </c>
      <c r="E392">
        <v>0</v>
      </c>
      <c r="F392">
        <v>0</v>
      </c>
      <c r="G392">
        <v>-7.1285232947907966</v>
      </c>
      <c r="H392">
        <v>-97.91015871000036</v>
      </c>
      <c r="I392">
        <v>0</v>
      </c>
      <c r="J392">
        <v>0</v>
      </c>
      <c r="K392">
        <v>33.599043709999997</v>
      </c>
      <c r="L392">
        <v>0</v>
      </c>
      <c r="M392">
        <v>0</v>
      </c>
      <c r="N392">
        <v>0</v>
      </c>
      <c r="O392">
        <v>2.3174302947928558</v>
      </c>
      <c r="P392">
        <v>46918.50361</v>
      </c>
    </row>
    <row r="393" spans="1:16" x14ac:dyDescent="0.25">
      <c r="A393" s="10">
        <v>38196</v>
      </c>
      <c r="B393">
        <v>43.670389999999408</v>
      </c>
      <c r="C393">
        <v>74.83</v>
      </c>
      <c r="D393">
        <v>0</v>
      </c>
      <c r="E393">
        <v>0</v>
      </c>
      <c r="F393">
        <v>0</v>
      </c>
      <c r="G393">
        <v>-4.7273965372749966</v>
      </c>
      <c r="H393">
        <v>36.699999999999818</v>
      </c>
      <c r="I393">
        <v>0</v>
      </c>
      <c r="J393">
        <v>0</v>
      </c>
      <c r="K393">
        <v>0.39476484000000001</v>
      </c>
      <c r="L393">
        <v>-87.151393155551617</v>
      </c>
      <c r="M393">
        <v>0</v>
      </c>
      <c r="N393">
        <v>0</v>
      </c>
      <c r="O393">
        <v>23.62441485282622</v>
      </c>
      <c r="P393">
        <v>46962.173999999999</v>
      </c>
    </row>
    <row r="394" spans="1:16" x14ac:dyDescent="0.25">
      <c r="A394" s="10">
        <v>38197</v>
      </c>
      <c r="B394">
        <v>141.2750000000014</v>
      </c>
      <c r="C394">
        <v>75.631</v>
      </c>
      <c r="D394">
        <v>0</v>
      </c>
      <c r="E394">
        <v>0</v>
      </c>
      <c r="F394">
        <v>0</v>
      </c>
      <c r="G394">
        <v>-6.3409999999999984</v>
      </c>
      <c r="H394">
        <v>68.289999999999964</v>
      </c>
      <c r="I394">
        <v>0</v>
      </c>
      <c r="J394">
        <v>0</v>
      </c>
      <c r="K394">
        <v>0.48974433000009099</v>
      </c>
      <c r="L394">
        <v>0</v>
      </c>
      <c r="M394">
        <v>0</v>
      </c>
      <c r="N394">
        <v>0</v>
      </c>
      <c r="O394">
        <v>3.205255670001335</v>
      </c>
      <c r="P394">
        <v>47103.449000000001</v>
      </c>
    </row>
    <row r="395" spans="1:16" x14ac:dyDescent="0.25">
      <c r="A395" s="10">
        <v>38198</v>
      </c>
      <c r="B395">
        <v>-41.285000000003599</v>
      </c>
      <c r="C395">
        <v>76.191528000000005</v>
      </c>
      <c r="D395">
        <v>0</v>
      </c>
      <c r="E395">
        <v>0</v>
      </c>
      <c r="F395">
        <v>0</v>
      </c>
      <c r="G395">
        <v>-92.281000000000006</v>
      </c>
      <c r="H395">
        <v>-23.423269999999771</v>
      </c>
      <c r="I395">
        <v>0</v>
      </c>
      <c r="J395">
        <v>0</v>
      </c>
      <c r="K395">
        <v>0.13972327000000001</v>
      </c>
      <c r="L395">
        <v>0</v>
      </c>
      <c r="M395">
        <v>0</v>
      </c>
      <c r="N395">
        <v>0</v>
      </c>
      <c r="O395">
        <v>-1.911981270003819</v>
      </c>
      <c r="P395">
        <v>47062.163999999997</v>
      </c>
    </row>
    <row r="396" spans="1:16" x14ac:dyDescent="0.25">
      <c r="A396" s="10">
        <v>38201</v>
      </c>
      <c r="B396">
        <v>222.21723300000281</v>
      </c>
      <c r="C396">
        <v>78.951893999999996</v>
      </c>
      <c r="D396">
        <v>0</v>
      </c>
      <c r="E396">
        <v>749.99999990399999</v>
      </c>
      <c r="F396">
        <v>0</v>
      </c>
      <c r="G396">
        <v>-697.45290072192006</v>
      </c>
      <c r="H396">
        <v>67.309945999999854</v>
      </c>
      <c r="I396">
        <v>0</v>
      </c>
      <c r="J396">
        <v>0</v>
      </c>
      <c r="K396">
        <v>0.29632238</v>
      </c>
      <c r="L396">
        <v>0</v>
      </c>
      <c r="M396">
        <v>0</v>
      </c>
      <c r="N396">
        <v>0</v>
      </c>
      <c r="O396">
        <v>23.111971437923</v>
      </c>
      <c r="P396">
        <v>47284.381233</v>
      </c>
    </row>
    <row r="397" spans="1:16" x14ac:dyDescent="0.25">
      <c r="A397" s="10">
        <v>38202</v>
      </c>
      <c r="B397">
        <v>-236.11487699999819</v>
      </c>
      <c r="C397">
        <v>75.433768999999998</v>
      </c>
      <c r="D397">
        <v>0</v>
      </c>
      <c r="E397">
        <v>0</v>
      </c>
      <c r="F397">
        <v>0</v>
      </c>
      <c r="G397">
        <v>12.85952599999999</v>
      </c>
      <c r="H397">
        <v>171.1225979999999</v>
      </c>
      <c r="I397">
        <v>0</v>
      </c>
      <c r="J397">
        <v>-139.94999999999891</v>
      </c>
      <c r="K397">
        <v>-71.264013080000126</v>
      </c>
      <c r="L397">
        <v>0</v>
      </c>
      <c r="M397">
        <v>0</v>
      </c>
      <c r="N397">
        <v>0</v>
      </c>
      <c r="O397">
        <v>-284.31675691999908</v>
      </c>
      <c r="P397">
        <v>47048.266356</v>
      </c>
    </row>
    <row r="398" spans="1:16" x14ac:dyDescent="0.25">
      <c r="A398" s="10">
        <v>38203</v>
      </c>
      <c r="B398">
        <v>-14.01280900000001</v>
      </c>
      <c r="C398">
        <v>74.599961000000008</v>
      </c>
      <c r="D398">
        <v>-30</v>
      </c>
      <c r="E398">
        <v>0</v>
      </c>
      <c r="F398">
        <v>0</v>
      </c>
      <c r="G398">
        <v>-5.882285996511996</v>
      </c>
      <c r="H398">
        <v>68.757990000000063</v>
      </c>
      <c r="I398">
        <v>0</v>
      </c>
      <c r="J398">
        <v>0</v>
      </c>
      <c r="K398">
        <v>0.37716939999999999</v>
      </c>
      <c r="L398">
        <v>-104.31572672721779</v>
      </c>
      <c r="M398">
        <v>0</v>
      </c>
      <c r="N398">
        <v>0</v>
      </c>
      <c r="O398">
        <v>-17.549916676270271</v>
      </c>
      <c r="P398">
        <v>47034.253547</v>
      </c>
    </row>
    <row r="399" spans="1:16" x14ac:dyDescent="0.25">
      <c r="A399" s="10">
        <v>38204</v>
      </c>
      <c r="B399">
        <v>-213.76819600000471</v>
      </c>
      <c r="C399">
        <v>78.510463000000001</v>
      </c>
      <c r="D399">
        <v>0</v>
      </c>
      <c r="E399">
        <v>0</v>
      </c>
      <c r="F399">
        <v>0</v>
      </c>
      <c r="G399">
        <v>-6.237179000000026</v>
      </c>
      <c r="H399">
        <v>-287.5152149999999</v>
      </c>
      <c r="I399">
        <v>0</v>
      </c>
      <c r="J399">
        <v>0</v>
      </c>
      <c r="K399">
        <v>0.55700254000000005</v>
      </c>
      <c r="L399">
        <v>0</v>
      </c>
      <c r="M399">
        <v>0</v>
      </c>
      <c r="N399">
        <v>0</v>
      </c>
      <c r="O399">
        <v>0.91673245999516895</v>
      </c>
      <c r="P399">
        <v>46820.485351000003</v>
      </c>
    </row>
    <row r="400" spans="1:16" x14ac:dyDescent="0.25">
      <c r="A400" s="10">
        <v>38205</v>
      </c>
      <c r="B400">
        <v>157.17719900000529</v>
      </c>
      <c r="C400">
        <v>0.38200000000000001</v>
      </c>
      <c r="D400">
        <v>0</v>
      </c>
      <c r="E400">
        <v>0</v>
      </c>
      <c r="F400">
        <v>0</v>
      </c>
      <c r="G400">
        <v>-5.7332680000000007</v>
      </c>
      <c r="H400">
        <v>50.073904000000311</v>
      </c>
      <c r="I400">
        <v>0</v>
      </c>
      <c r="J400">
        <v>0</v>
      </c>
      <c r="K400">
        <v>0.15095368000000001</v>
      </c>
      <c r="L400">
        <v>0</v>
      </c>
      <c r="M400">
        <v>0</v>
      </c>
      <c r="N400">
        <v>0</v>
      </c>
      <c r="O400">
        <v>112.30360932000499</v>
      </c>
      <c r="P400">
        <v>46977.662550000001</v>
      </c>
    </row>
    <row r="401" spans="1:16" x14ac:dyDescent="0.25">
      <c r="A401" s="10">
        <v>38208</v>
      </c>
      <c r="B401">
        <v>-224.04911600000179</v>
      </c>
      <c r="C401">
        <v>45.569257</v>
      </c>
      <c r="D401">
        <v>0</v>
      </c>
      <c r="E401">
        <v>0</v>
      </c>
      <c r="F401">
        <v>0</v>
      </c>
      <c r="G401">
        <v>-0.32663499999999601</v>
      </c>
      <c r="H401">
        <v>-287.52144300000009</v>
      </c>
      <c r="I401">
        <v>0</v>
      </c>
      <c r="J401">
        <v>0</v>
      </c>
      <c r="K401">
        <v>0.26405051000000002</v>
      </c>
      <c r="L401">
        <v>0</v>
      </c>
      <c r="M401">
        <v>0</v>
      </c>
      <c r="N401">
        <v>0</v>
      </c>
      <c r="O401">
        <v>17.965654489998279</v>
      </c>
      <c r="P401">
        <v>46753.613433999999</v>
      </c>
    </row>
    <row r="402" spans="1:16" x14ac:dyDescent="0.25">
      <c r="A402" s="10">
        <v>38209</v>
      </c>
      <c r="B402">
        <v>-182.95435800000291</v>
      </c>
      <c r="C402">
        <v>48.184722200000003</v>
      </c>
      <c r="D402">
        <v>0</v>
      </c>
      <c r="E402">
        <v>0</v>
      </c>
      <c r="F402">
        <v>0</v>
      </c>
      <c r="G402">
        <v>-5.3691830000000014</v>
      </c>
      <c r="H402">
        <v>-225.65108000000009</v>
      </c>
      <c r="I402">
        <v>0</v>
      </c>
      <c r="J402">
        <v>0</v>
      </c>
      <c r="K402">
        <v>0.26394185999999997</v>
      </c>
      <c r="L402">
        <v>0</v>
      </c>
      <c r="M402">
        <v>0</v>
      </c>
      <c r="N402">
        <v>0</v>
      </c>
      <c r="O402">
        <v>-0.38275906000272819</v>
      </c>
      <c r="P402">
        <v>46570.659076000004</v>
      </c>
    </row>
    <row r="403" spans="1:16" x14ac:dyDescent="0.25">
      <c r="A403" s="10">
        <v>38210</v>
      </c>
      <c r="B403">
        <v>-389.73770599999978</v>
      </c>
      <c r="C403">
        <v>51.771239000000001</v>
      </c>
      <c r="D403">
        <v>0</v>
      </c>
      <c r="E403">
        <v>0</v>
      </c>
      <c r="F403">
        <v>0</v>
      </c>
      <c r="G403">
        <v>-35.257634000000003</v>
      </c>
      <c r="H403">
        <v>-379.39162499999929</v>
      </c>
      <c r="I403">
        <v>0</v>
      </c>
      <c r="J403">
        <v>0</v>
      </c>
      <c r="K403">
        <v>0.34420323000000003</v>
      </c>
      <c r="L403">
        <v>-28.304521102570639</v>
      </c>
      <c r="M403">
        <v>0</v>
      </c>
      <c r="N403">
        <v>0</v>
      </c>
      <c r="O403">
        <v>1.1006318725700821</v>
      </c>
      <c r="P403">
        <v>46180.921369999996</v>
      </c>
    </row>
    <row r="404" spans="1:16" x14ac:dyDescent="0.25">
      <c r="A404" s="10">
        <v>38211</v>
      </c>
      <c r="B404">
        <v>-638.06236999999953</v>
      </c>
      <c r="C404">
        <v>43.9895</v>
      </c>
      <c r="D404">
        <v>-470</v>
      </c>
      <c r="E404">
        <v>0</v>
      </c>
      <c r="F404">
        <v>0</v>
      </c>
      <c r="G404">
        <v>-5.7655551602584296</v>
      </c>
      <c r="H404">
        <v>-181.95230099999941</v>
      </c>
      <c r="I404">
        <v>0</v>
      </c>
      <c r="J404">
        <v>0</v>
      </c>
      <c r="K404">
        <v>0.69485231000000003</v>
      </c>
      <c r="L404">
        <v>0</v>
      </c>
      <c r="M404">
        <v>0</v>
      </c>
      <c r="N404">
        <v>0</v>
      </c>
      <c r="O404">
        <v>-25.028866149741759</v>
      </c>
      <c r="P404">
        <v>45542.858999999997</v>
      </c>
    </row>
    <row r="405" spans="1:16" x14ac:dyDescent="0.25">
      <c r="A405" s="10">
        <v>38212</v>
      </c>
      <c r="B405">
        <v>-294.67150599999923</v>
      </c>
      <c r="C405">
        <v>74.449382999999997</v>
      </c>
      <c r="D405">
        <v>0</v>
      </c>
      <c r="E405">
        <v>0</v>
      </c>
      <c r="F405">
        <v>0</v>
      </c>
      <c r="G405">
        <v>-23.05462</v>
      </c>
      <c r="H405">
        <v>-348.56948199999988</v>
      </c>
      <c r="I405">
        <v>0</v>
      </c>
      <c r="J405">
        <v>0</v>
      </c>
      <c r="K405">
        <v>0.12694556000000001</v>
      </c>
      <c r="L405">
        <v>0</v>
      </c>
      <c r="M405">
        <v>0</v>
      </c>
      <c r="N405">
        <v>0</v>
      </c>
      <c r="O405">
        <v>2.376267440000654</v>
      </c>
      <c r="P405">
        <v>45248.187493999998</v>
      </c>
    </row>
    <row r="406" spans="1:16" x14ac:dyDescent="0.25">
      <c r="A406" s="10">
        <v>38216</v>
      </c>
      <c r="B406">
        <v>845.98850600000196</v>
      </c>
      <c r="C406">
        <v>55.63885466</v>
      </c>
      <c r="D406">
        <v>0</v>
      </c>
      <c r="E406">
        <v>0</v>
      </c>
      <c r="F406">
        <v>0</v>
      </c>
      <c r="G406">
        <v>-23.66401543000001</v>
      </c>
      <c r="H406">
        <v>809.83478999999988</v>
      </c>
      <c r="I406">
        <v>0</v>
      </c>
      <c r="J406">
        <v>0</v>
      </c>
      <c r="K406">
        <v>0.83144870999999998</v>
      </c>
      <c r="L406">
        <v>0</v>
      </c>
      <c r="M406">
        <v>0</v>
      </c>
      <c r="N406">
        <v>0</v>
      </c>
      <c r="O406">
        <v>3.3474280600019619</v>
      </c>
      <c r="P406">
        <v>46094.175999999999</v>
      </c>
    </row>
    <row r="407" spans="1:16" x14ac:dyDescent="0.25">
      <c r="A407" s="10">
        <v>38217</v>
      </c>
      <c r="B407">
        <v>292.77709500000469</v>
      </c>
      <c r="C407">
        <v>60.716566999999998</v>
      </c>
      <c r="D407">
        <v>0</v>
      </c>
      <c r="E407">
        <v>0</v>
      </c>
      <c r="F407">
        <v>0</v>
      </c>
      <c r="G407">
        <v>22.298040430000011</v>
      </c>
      <c r="H407">
        <v>262.55158099999971</v>
      </c>
      <c r="I407">
        <v>0</v>
      </c>
      <c r="J407">
        <v>0</v>
      </c>
      <c r="K407">
        <v>0.52610330000000005</v>
      </c>
      <c r="L407">
        <v>-56.43684324298669</v>
      </c>
      <c r="M407">
        <v>0</v>
      </c>
      <c r="N407">
        <v>0</v>
      </c>
      <c r="O407">
        <v>3.1216465129917128</v>
      </c>
      <c r="P407">
        <v>46386.953094999997</v>
      </c>
    </row>
    <row r="408" spans="1:16" x14ac:dyDescent="0.25">
      <c r="A408" s="10">
        <v>38218</v>
      </c>
      <c r="B408">
        <v>-45.670433000006767</v>
      </c>
      <c r="C408">
        <v>47.419719999999998</v>
      </c>
      <c r="D408">
        <v>-440</v>
      </c>
      <c r="E408">
        <v>0</v>
      </c>
      <c r="F408">
        <v>0</v>
      </c>
      <c r="G408">
        <v>22.456215986760132</v>
      </c>
      <c r="H408">
        <v>316.82319000000012</v>
      </c>
      <c r="I408">
        <v>0</v>
      </c>
      <c r="J408">
        <v>0</v>
      </c>
      <c r="K408">
        <v>0.78208973999999998</v>
      </c>
      <c r="L408">
        <v>0</v>
      </c>
      <c r="M408">
        <v>0</v>
      </c>
      <c r="N408">
        <v>0</v>
      </c>
      <c r="O408">
        <v>6.8483512732330531</v>
      </c>
      <c r="P408">
        <v>46341.282661999998</v>
      </c>
    </row>
    <row r="409" spans="1:16" x14ac:dyDescent="0.25">
      <c r="A409" s="10">
        <v>38219</v>
      </c>
      <c r="B409">
        <v>115.08131700000391</v>
      </c>
      <c r="C409">
        <v>61.007331000000001</v>
      </c>
      <c r="D409">
        <v>0</v>
      </c>
      <c r="E409">
        <v>0</v>
      </c>
      <c r="F409">
        <v>0</v>
      </c>
      <c r="G409">
        <v>69.210097000000019</v>
      </c>
      <c r="H409">
        <v>-16.669726000000079</v>
      </c>
      <c r="I409">
        <v>0</v>
      </c>
      <c r="J409">
        <v>0</v>
      </c>
      <c r="K409">
        <v>0.29406794000000003</v>
      </c>
      <c r="L409">
        <v>0</v>
      </c>
      <c r="M409">
        <v>0</v>
      </c>
      <c r="N409">
        <v>0</v>
      </c>
      <c r="O409">
        <v>1.2395470600039351</v>
      </c>
      <c r="P409">
        <v>46456.363979000002</v>
      </c>
    </row>
    <row r="410" spans="1:16" x14ac:dyDescent="0.25">
      <c r="A410" s="10">
        <v>38222</v>
      </c>
      <c r="B410">
        <v>-167.28165600000679</v>
      </c>
      <c r="C410">
        <v>59.9925</v>
      </c>
      <c r="D410">
        <v>0</v>
      </c>
      <c r="E410">
        <v>0</v>
      </c>
      <c r="F410">
        <v>0</v>
      </c>
      <c r="G410">
        <v>8.4907509999999995</v>
      </c>
      <c r="H410">
        <v>-234.0358490000003</v>
      </c>
      <c r="I410">
        <v>0</v>
      </c>
      <c r="J410">
        <v>0</v>
      </c>
      <c r="K410">
        <v>0.19406793999999999</v>
      </c>
      <c r="L410">
        <v>0</v>
      </c>
      <c r="M410">
        <v>0</v>
      </c>
      <c r="N410">
        <v>0</v>
      </c>
      <c r="O410">
        <v>-1.923125940006478</v>
      </c>
      <c r="P410">
        <v>46289.082323000002</v>
      </c>
    </row>
    <row r="411" spans="1:16" x14ac:dyDescent="0.25">
      <c r="A411" s="10">
        <v>38223</v>
      </c>
      <c r="B411">
        <v>-7.4606299999940324</v>
      </c>
      <c r="C411">
        <v>62.148499999999999</v>
      </c>
      <c r="D411">
        <v>0</v>
      </c>
      <c r="E411">
        <v>0</v>
      </c>
      <c r="F411">
        <v>0</v>
      </c>
      <c r="G411">
        <v>0.99807100000000115</v>
      </c>
      <c r="H411">
        <v>-71.441017000000102</v>
      </c>
      <c r="I411">
        <v>0</v>
      </c>
      <c r="J411">
        <v>0</v>
      </c>
      <c r="K411">
        <v>0.38575701000000001</v>
      </c>
      <c r="L411">
        <v>0</v>
      </c>
      <c r="M411">
        <v>0</v>
      </c>
      <c r="N411">
        <v>0</v>
      </c>
      <c r="O411">
        <v>0.44805899000606858</v>
      </c>
      <c r="P411">
        <v>46281.621693000001</v>
      </c>
    </row>
    <row r="412" spans="1:16" x14ac:dyDescent="0.25">
      <c r="A412" s="10">
        <v>38224</v>
      </c>
      <c r="B412">
        <v>-170.14792700000561</v>
      </c>
      <c r="C412">
        <v>59.11009</v>
      </c>
      <c r="D412">
        <v>0</v>
      </c>
      <c r="E412">
        <v>0</v>
      </c>
      <c r="F412">
        <v>0</v>
      </c>
      <c r="G412">
        <v>-5.601160000000001</v>
      </c>
      <c r="H412">
        <v>-228.46675199999979</v>
      </c>
      <c r="I412">
        <v>0</v>
      </c>
      <c r="J412">
        <v>0</v>
      </c>
      <c r="K412">
        <v>0.40022243000000002</v>
      </c>
      <c r="L412">
        <v>0</v>
      </c>
      <c r="M412">
        <v>0</v>
      </c>
      <c r="N412">
        <v>0</v>
      </c>
      <c r="O412">
        <v>4.4096725699941626</v>
      </c>
      <c r="P412">
        <v>46111.473766000003</v>
      </c>
    </row>
    <row r="413" spans="1:16" x14ac:dyDescent="0.25">
      <c r="A413" s="10">
        <v>38225</v>
      </c>
      <c r="B413">
        <v>343.02620700000278</v>
      </c>
      <c r="C413">
        <v>61.886000000000003</v>
      </c>
      <c r="D413">
        <v>-15</v>
      </c>
      <c r="E413">
        <v>0</v>
      </c>
      <c r="F413">
        <v>0</v>
      </c>
      <c r="G413">
        <v>-0.90164998767599691</v>
      </c>
      <c r="H413">
        <v>296.08231699999988</v>
      </c>
      <c r="I413">
        <v>0</v>
      </c>
      <c r="J413">
        <v>0</v>
      </c>
      <c r="K413">
        <v>0.63018819999999998</v>
      </c>
      <c r="L413">
        <v>0</v>
      </c>
      <c r="M413">
        <v>0</v>
      </c>
      <c r="N413">
        <v>0</v>
      </c>
      <c r="O413">
        <v>0.3293517876789519</v>
      </c>
      <c r="P413">
        <v>46454.499972999998</v>
      </c>
    </row>
    <row r="414" spans="1:16" x14ac:dyDescent="0.25">
      <c r="A414" s="10">
        <v>38226</v>
      </c>
      <c r="B414">
        <v>791.06187599999953</v>
      </c>
      <c r="C414">
        <v>60.463894000000003</v>
      </c>
      <c r="D414">
        <v>-75.03</v>
      </c>
      <c r="E414">
        <v>0</v>
      </c>
      <c r="F414">
        <v>0</v>
      </c>
      <c r="G414">
        <v>-6.2182661067199803</v>
      </c>
      <c r="H414">
        <v>70.825341999999637</v>
      </c>
      <c r="I414">
        <v>0</v>
      </c>
      <c r="J414">
        <v>0</v>
      </c>
      <c r="K414">
        <v>0.30206028000000001</v>
      </c>
      <c r="L414">
        <v>576.84562213225604</v>
      </c>
      <c r="M414">
        <v>0</v>
      </c>
      <c r="N414">
        <v>0</v>
      </c>
      <c r="O414">
        <v>163.8732236944638</v>
      </c>
      <c r="P414">
        <v>47245.561848999998</v>
      </c>
    </row>
    <row r="415" spans="1:16" x14ac:dyDescent="0.25">
      <c r="A415" s="10">
        <v>38229</v>
      </c>
      <c r="B415">
        <v>-221.83166599999851</v>
      </c>
      <c r="C415">
        <v>57.312528999999998</v>
      </c>
      <c r="D415">
        <v>0</v>
      </c>
      <c r="E415">
        <v>0</v>
      </c>
      <c r="F415">
        <v>0</v>
      </c>
      <c r="G415">
        <v>-95.540999999999997</v>
      </c>
      <c r="H415">
        <v>-187.1621588000003</v>
      </c>
      <c r="I415">
        <v>0</v>
      </c>
      <c r="J415">
        <v>0</v>
      </c>
      <c r="K415">
        <v>0.13673893000000001</v>
      </c>
      <c r="L415">
        <v>0</v>
      </c>
      <c r="M415">
        <v>0</v>
      </c>
      <c r="N415">
        <v>0</v>
      </c>
      <c r="O415">
        <v>3.4222248700017621</v>
      </c>
      <c r="P415">
        <v>47023.730183</v>
      </c>
    </row>
    <row r="416" spans="1:16" x14ac:dyDescent="0.25">
      <c r="A416" s="10">
        <v>38230</v>
      </c>
      <c r="B416">
        <v>382.92225899999909</v>
      </c>
      <c r="C416">
        <v>65.256129000000001</v>
      </c>
      <c r="D416">
        <v>0</v>
      </c>
      <c r="E416">
        <v>0</v>
      </c>
      <c r="F416">
        <v>0</v>
      </c>
      <c r="G416">
        <v>2.0885950000000002</v>
      </c>
      <c r="H416">
        <v>66.043999999999869</v>
      </c>
      <c r="I416">
        <v>0</v>
      </c>
      <c r="J416">
        <v>0</v>
      </c>
      <c r="K416">
        <v>0.42000956</v>
      </c>
      <c r="L416">
        <v>0</v>
      </c>
      <c r="M416">
        <v>0</v>
      </c>
      <c r="N416">
        <v>0</v>
      </c>
      <c r="O416">
        <v>249.11352543999931</v>
      </c>
      <c r="P416">
        <v>47406.652441999999</v>
      </c>
    </row>
    <row r="417" spans="1:16" x14ac:dyDescent="0.25">
      <c r="A417" s="10">
        <v>38231</v>
      </c>
      <c r="B417">
        <v>-566.1361889999971</v>
      </c>
      <c r="C417">
        <v>60.222999999999999</v>
      </c>
      <c r="D417">
        <v>-200</v>
      </c>
      <c r="E417">
        <v>0</v>
      </c>
      <c r="F417">
        <v>0</v>
      </c>
      <c r="G417">
        <v>-8.8719770102010216</v>
      </c>
      <c r="H417">
        <v>-277.1027809999996</v>
      </c>
      <c r="I417">
        <v>0</v>
      </c>
      <c r="J417">
        <v>0</v>
      </c>
      <c r="K417">
        <v>0.53402068999999996</v>
      </c>
      <c r="L417">
        <v>-148.49461126612121</v>
      </c>
      <c r="M417">
        <v>0</v>
      </c>
      <c r="N417">
        <v>0</v>
      </c>
      <c r="O417">
        <v>7.5761595863246978</v>
      </c>
      <c r="P417">
        <v>46840.516253000002</v>
      </c>
    </row>
    <row r="418" spans="1:16" x14ac:dyDescent="0.25">
      <c r="A418" s="10">
        <v>38232</v>
      </c>
      <c r="B418">
        <v>-615.34058600000026</v>
      </c>
      <c r="C418">
        <v>61.621000000000002</v>
      </c>
      <c r="D418">
        <v>0</v>
      </c>
      <c r="E418">
        <v>0</v>
      </c>
      <c r="F418">
        <v>0</v>
      </c>
      <c r="G418">
        <v>2.0683819999999988</v>
      </c>
      <c r="H418">
        <v>-427.58852500000012</v>
      </c>
      <c r="I418">
        <v>0</v>
      </c>
      <c r="J418">
        <v>-191.89000000000121</v>
      </c>
      <c r="K418">
        <v>-61.361768969999908</v>
      </c>
      <c r="L418">
        <v>0</v>
      </c>
      <c r="M418">
        <v>0</v>
      </c>
      <c r="N418">
        <v>0</v>
      </c>
      <c r="O418">
        <v>1.810325970001031</v>
      </c>
      <c r="P418">
        <v>46225.175667000003</v>
      </c>
    </row>
    <row r="419" spans="1:16" x14ac:dyDescent="0.25">
      <c r="A419" s="10">
        <v>38233</v>
      </c>
      <c r="B419">
        <v>303.74086599999248</v>
      </c>
      <c r="C419">
        <v>60.074016999999998</v>
      </c>
      <c r="D419">
        <v>-0.8</v>
      </c>
      <c r="E419">
        <v>0</v>
      </c>
      <c r="F419">
        <v>0</v>
      </c>
      <c r="G419">
        <v>2.8350395650300011</v>
      </c>
      <c r="H419">
        <v>236.11664200000001</v>
      </c>
      <c r="I419">
        <v>0</v>
      </c>
      <c r="J419">
        <v>0</v>
      </c>
      <c r="K419">
        <v>0.26810292000000002</v>
      </c>
      <c r="L419">
        <v>0</v>
      </c>
      <c r="M419">
        <v>0</v>
      </c>
      <c r="N419">
        <v>0</v>
      </c>
      <c r="O419">
        <v>5.2470645149625774</v>
      </c>
      <c r="P419">
        <v>46528.916533000003</v>
      </c>
    </row>
    <row r="420" spans="1:16" x14ac:dyDescent="0.25">
      <c r="A420" s="10">
        <v>38236</v>
      </c>
      <c r="B420">
        <v>-41.275499999996001</v>
      </c>
      <c r="C420">
        <v>0</v>
      </c>
      <c r="D420">
        <v>0</v>
      </c>
      <c r="E420">
        <v>0</v>
      </c>
      <c r="F420">
        <v>0</v>
      </c>
      <c r="G420">
        <v>-0.82462199999999797</v>
      </c>
      <c r="H420">
        <v>-19.310942999999501</v>
      </c>
      <c r="I420">
        <v>0</v>
      </c>
      <c r="J420">
        <v>0</v>
      </c>
      <c r="K420">
        <v>0.2019437</v>
      </c>
      <c r="L420">
        <v>0</v>
      </c>
      <c r="M420">
        <v>0</v>
      </c>
      <c r="N420">
        <v>0</v>
      </c>
      <c r="O420">
        <v>-21.34187869999651</v>
      </c>
      <c r="P420">
        <v>46487.641033</v>
      </c>
    </row>
    <row r="421" spans="1:16" x14ac:dyDescent="0.25">
      <c r="A421" s="10">
        <v>38237</v>
      </c>
      <c r="B421">
        <v>20.042984999999849</v>
      </c>
      <c r="C421">
        <v>62.789816000000002</v>
      </c>
      <c r="D421">
        <v>0</v>
      </c>
      <c r="E421">
        <v>0</v>
      </c>
      <c r="F421">
        <v>0</v>
      </c>
      <c r="G421">
        <v>-3.372385</v>
      </c>
      <c r="H421">
        <v>-36.414088999999883</v>
      </c>
      <c r="I421">
        <v>0</v>
      </c>
      <c r="J421">
        <v>0</v>
      </c>
      <c r="K421">
        <v>0.38834457999999999</v>
      </c>
      <c r="L421">
        <v>0</v>
      </c>
      <c r="M421">
        <v>0</v>
      </c>
      <c r="N421">
        <v>0</v>
      </c>
      <c r="O421">
        <v>-3.3487015800002768</v>
      </c>
      <c r="P421">
        <v>46507.684018</v>
      </c>
    </row>
    <row r="422" spans="1:16" x14ac:dyDescent="0.25">
      <c r="A422" s="10">
        <v>38238</v>
      </c>
      <c r="B422">
        <v>-130.14811400000349</v>
      </c>
      <c r="C422">
        <v>58.013936999999999</v>
      </c>
      <c r="D422">
        <v>0</v>
      </c>
      <c r="E422">
        <v>0</v>
      </c>
      <c r="F422">
        <v>0</v>
      </c>
      <c r="G422">
        <v>-4.9757886772319999</v>
      </c>
      <c r="H422">
        <v>-77.27020899999934</v>
      </c>
      <c r="I422">
        <v>0</v>
      </c>
      <c r="J422">
        <v>0</v>
      </c>
      <c r="K422">
        <v>0.64261838999999998</v>
      </c>
      <c r="L422">
        <v>-146.78604106480029</v>
      </c>
      <c r="M422">
        <v>0</v>
      </c>
      <c r="N422">
        <v>0</v>
      </c>
      <c r="O422">
        <v>40.227369352028141</v>
      </c>
      <c r="P422">
        <v>46377.535903999997</v>
      </c>
    </row>
    <row r="423" spans="1:16" x14ac:dyDescent="0.25">
      <c r="A423" s="10">
        <v>38239</v>
      </c>
      <c r="B423">
        <v>31.951388000008269</v>
      </c>
      <c r="C423">
        <v>64.203325000000007</v>
      </c>
      <c r="D423">
        <v>0</v>
      </c>
      <c r="E423">
        <v>0</v>
      </c>
      <c r="F423">
        <v>0</v>
      </c>
      <c r="G423">
        <v>-3.6237554890917991</v>
      </c>
      <c r="H423">
        <v>-37.186421000000337</v>
      </c>
      <c r="I423">
        <v>0</v>
      </c>
      <c r="J423">
        <v>0</v>
      </c>
      <c r="K423">
        <v>0.69323933000000004</v>
      </c>
      <c r="L423">
        <v>0</v>
      </c>
      <c r="M423">
        <v>0</v>
      </c>
      <c r="N423">
        <v>0</v>
      </c>
      <c r="O423">
        <v>7.8650001591003962</v>
      </c>
      <c r="P423">
        <v>46409.487292000013</v>
      </c>
    </row>
    <row r="424" spans="1:16" x14ac:dyDescent="0.25">
      <c r="A424" s="10">
        <v>38240</v>
      </c>
      <c r="B424">
        <v>-215.20994300000149</v>
      </c>
      <c r="C424">
        <v>62.859935</v>
      </c>
      <c r="D424">
        <v>0</v>
      </c>
      <c r="E424">
        <v>0</v>
      </c>
      <c r="F424">
        <v>0</v>
      </c>
      <c r="G424">
        <v>-3.8266519999999988</v>
      </c>
      <c r="H424">
        <v>-298.82038800000009</v>
      </c>
      <c r="I424">
        <v>0</v>
      </c>
      <c r="J424">
        <v>0</v>
      </c>
      <c r="K424">
        <v>0.15489636000000001</v>
      </c>
      <c r="L424">
        <v>0</v>
      </c>
      <c r="M424">
        <v>0</v>
      </c>
      <c r="N424">
        <v>0</v>
      </c>
      <c r="O424">
        <v>24.422265639998621</v>
      </c>
      <c r="P424">
        <v>46194.277349000004</v>
      </c>
    </row>
    <row r="425" spans="1:16" x14ac:dyDescent="0.25">
      <c r="A425" s="10">
        <v>38243</v>
      </c>
      <c r="B425">
        <v>-564.53405500000372</v>
      </c>
      <c r="C425">
        <v>106.265</v>
      </c>
      <c r="D425">
        <v>0</v>
      </c>
      <c r="E425">
        <v>0</v>
      </c>
      <c r="F425">
        <v>0</v>
      </c>
      <c r="G425">
        <v>-177.934</v>
      </c>
      <c r="H425">
        <v>-470.50764299999992</v>
      </c>
      <c r="I425">
        <v>0</v>
      </c>
      <c r="J425">
        <v>0</v>
      </c>
      <c r="K425">
        <v>0.21</v>
      </c>
      <c r="L425">
        <v>0</v>
      </c>
      <c r="M425">
        <v>0</v>
      </c>
      <c r="N425">
        <v>0</v>
      </c>
      <c r="O425">
        <v>-22.56741200000382</v>
      </c>
      <c r="P425">
        <v>45629.743294</v>
      </c>
    </row>
    <row r="426" spans="1:16" x14ac:dyDescent="0.25">
      <c r="A426" s="10">
        <v>38244</v>
      </c>
      <c r="B426">
        <v>396.77088899999978</v>
      </c>
      <c r="C426">
        <v>61.752999000000003</v>
      </c>
      <c r="D426">
        <v>-3.1</v>
      </c>
      <c r="E426">
        <v>0</v>
      </c>
      <c r="F426">
        <v>0</v>
      </c>
      <c r="G426">
        <v>96.938954358594998</v>
      </c>
      <c r="H426">
        <v>185.9737010000008</v>
      </c>
      <c r="I426">
        <v>0</v>
      </c>
      <c r="J426">
        <v>55.579999999999927</v>
      </c>
      <c r="K426">
        <v>-9.9999999998544586E-3</v>
      </c>
      <c r="L426">
        <v>0</v>
      </c>
      <c r="M426">
        <v>0</v>
      </c>
      <c r="N426">
        <v>0</v>
      </c>
      <c r="O426">
        <v>-0.36476535859605969</v>
      </c>
      <c r="P426">
        <v>46026.514182999999</v>
      </c>
    </row>
    <row r="427" spans="1:16" x14ac:dyDescent="0.25">
      <c r="A427" s="10">
        <v>38245</v>
      </c>
      <c r="B427">
        <v>86.275518000002535</v>
      </c>
      <c r="C427">
        <v>59.076518999999998</v>
      </c>
      <c r="D427">
        <v>-329.6</v>
      </c>
      <c r="E427">
        <v>0</v>
      </c>
      <c r="F427">
        <v>0</v>
      </c>
      <c r="G427">
        <v>-27.300000000000011</v>
      </c>
      <c r="H427">
        <v>117.4938470000006</v>
      </c>
      <c r="I427">
        <v>0</v>
      </c>
      <c r="J427">
        <v>0</v>
      </c>
      <c r="K427">
        <v>0.67966576999999995</v>
      </c>
      <c r="L427">
        <v>-84.831969325890668</v>
      </c>
      <c r="M427">
        <v>0</v>
      </c>
      <c r="N427">
        <v>0</v>
      </c>
      <c r="O427">
        <v>350.75745555589248</v>
      </c>
      <c r="P427">
        <v>46112.789701000002</v>
      </c>
    </row>
    <row r="428" spans="1:16" x14ac:dyDescent="0.25">
      <c r="A428" s="10">
        <v>38246</v>
      </c>
      <c r="B428">
        <v>227.37252799999959</v>
      </c>
      <c r="C428">
        <v>61.939</v>
      </c>
      <c r="D428">
        <v>0</v>
      </c>
      <c r="E428">
        <v>0</v>
      </c>
      <c r="F428">
        <v>0</v>
      </c>
      <c r="G428">
        <v>-9.1686440000000076</v>
      </c>
      <c r="H428">
        <v>173.446911</v>
      </c>
      <c r="I428">
        <v>0</v>
      </c>
      <c r="J428">
        <v>0</v>
      </c>
      <c r="K428">
        <v>0.71106853999999997</v>
      </c>
      <c r="L428">
        <v>0</v>
      </c>
      <c r="M428">
        <v>0</v>
      </c>
      <c r="N428">
        <v>0</v>
      </c>
      <c r="O428">
        <v>0.44419245999962192</v>
      </c>
      <c r="P428">
        <v>46340.162229000001</v>
      </c>
    </row>
    <row r="429" spans="1:16" x14ac:dyDescent="0.25">
      <c r="A429" s="10">
        <v>38247</v>
      </c>
      <c r="B429">
        <v>-179.9224810000012</v>
      </c>
      <c r="C429">
        <v>1.1723703000000001</v>
      </c>
      <c r="D429">
        <v>-1019.99999999146</v>
      </c>
      <c r="E429">
        <v>749.99999999146007</v>
      </c>
      <c r="F429">
        <v>0</v>
      </c>
      <c r="G429">
        <v>91.195666009034994</v>
      </c>
      <c r="H429">
        <v>-4.9504219999998904</v>
      </c>
      <c r="I429">
        <v>0</v>
      </c>
      <c r="J429">
        <v>0</v>
      </c>
      <c r="K429">
        <v>0.29816640999999999</v>
      </c>
      <c r="L429">
        <v>0</v>
      </c>
      <c r="M429">
        <v>0</v>
      </c>
      <c r="N429">
        <v>0</v>
      </c>
      <c r="O429">
        <v>2.3617382809636549</v>
      </c>
      <c r="P429">
        <v>46160.239748</v>
      </c>
    </row>
    <row r="430" spans="1:16" x14ac:dyDescent="0.25">
      <c r="A430" s="10">
        <v>38250</v>
      </c>
      <c r="B430">
        <v>369.61889800000102</v>
      </c>
      <c r="C430">
        <v>60.100999999999999</v>
      </c>
      <c r="D430">
        <v>0</v>
      </c>
      <c r="E430">
        <v>0</v>
      </c>
      <c r="F430">
        <v>0</v>
      </c>
      <c r="G430">
        <v>58.479198999999987</v>
      </c>
      <c r="H430">
        <v>248.2688340000004</v>
      </c>
      <c r="I430">
        <v>0</v>
      </c>
      <c r="J430">
        <v>0</v>
      </c>
      <c r="K430">
        <v>2.58</v>
      </c>
      <c r="L430">
        <v>0</v>
      </c>
      <c r="M430">
        <v>0</v>
      </c>
      <c r="N430">
        <v>0</v>
      </c>
      <c r="O430">
        <v>0.18986500000063869</v>
      </c>
      <c r="P430">
        <v>46529.858646000001</v>
      </c>
    </row>
    <row r="431" spans="1:16" x14ac:dyDescent="0.25">
      <c r="A431" s="10">
        <v>38251</v>
      </c>
      <c r="B431">
        <v>-370.78887400000502</v>
      </c>
      <c r="C431">
        <v>60.568034999999988</v>
      </c>
      <c r="D431">
        <v>0</v>
      </c>
      <c r="E431">
        <v>0</v>
      </c>
      <c r="F431">
        <v>0</v>
      </c>
      <c r="G431">
        <v>7.144715000000005</v>
      </c>
      <c r="H431">
        <v>-439.86186699999962</v>
      </c>
      <c r="I431">
        <v>0</v>
      </c>
      <c r="J431">
        <v>0</v>
      </c>
      <c r="K431">
        <v>0.32</v>
      </c>
      <c r="L431">
        <v>0</v>
      </c>
      <c r="M431">
        <v>0</v>
      </c>
      <c r="N431">
        <v>0</v>
      </c>
      <c r="O431">
        <v>1.040242999994575</v>
      </c>
      <c r="P431">
        <v>46159.069772000003</v>
      </c>
    </row>
    <row r="432" spans="1:16" x14ac:dyDescent="0.25">
      <c r="A432" s="10">
        <v>38252</v>
      </c>
      <c r="B432">
        <v>148.35256600000881</v>
      </c>
      <c r="C432">
        <v>61.191381149999998</v>
      </c>
      <c r="D432">
        <v>0</v>
      </c>
      <c r="E432">
        <v>0</v>
      </c>
      <c r="F432">
        <v>0</v>
      </c>
      <c r="G432">
        <v>-6.4689139999999998</v>
      </c>
      <c r="H432">
        <v>176.28074199999989</v>
      </c>
      <c r="I432">
        <v>0</v>
      </c>
      <c r="J432">
        <v>0</v>
      </c>
      <c r="K432">
        <v>17.670000000000002</v>
      </c>
      <c r="L432">
        <v>-96.86</v>
      </c>
      <c r="M432">
        <v>0</v>
      </c>
      <c r="N432">
        <v>0</v>
      </c>
      <c r="O432">
        <v>-3.4606431499911419</v>
      </c>
      <c r="P432">
        <v>46307.422337999997</v>
      </c>
    </row>
    <row r="433" spans="1:16" x14ac:dyDescent="0.25">
      <c r="A433" s="10">
        <v>38253</v>
      </c>
      <c r="B433">
        <v>50.165994999995632</v>
      </c>
      <c r="C433">
        <v>59.180608999999997</v>
      </c>
      <c r="D433">
        <v>0</v>
      </c>
      <c r="E433">
        <v>0</v>
      </c>
      <c r="F433">
        <v>0</v>
      </c>
      <c r="G433">
        <v>-4.8987837299999999</v>
      </c>
      <c r="H433">
        <v>-22.245589000000109</v>
      </c>
      <c r="I433">
        <v>0</v>
      </c>
      <c r="J433">
        <v>0</v>
      </c>
      <c r="K433">
        <v>0.63</v>
      </c>
      <c r="L433">
        <v>0</v>
      </c>
      <c r="M433">
        <v>0</v>
      </c>
      <c r="N433">
        <v>0</v>
      </c>
      <c r="O433">
        <v>17.49975872999574</v>
      </c>
      <c r="P433">
        <v>46357.588333</v>
      </c>
    </row>
    <row r="434" spans="1:16" x14ac:dyDescent="0.25">
      <c r="A434" s="10">
        <v>38254</v>
      </c>
      <c r="B434">
        <v>-369.1707830000019</v>
      </c>
      <c r="C434">
        <v>61.704149999999998</v>
      </c>
      <c r="D434">
        <v>-233</v>
      </c>
      <c r="E434">
        <v>0</v>
      </c>
      <c r="F434">
        <v>0</v>
      </c>
      <c r="G434">
        <v>-1.135881995474989</v>
      </c>
      <c r="H434">
        <v>-199.56500000000051</v>
      </c>
      <c r="I434">
        <v>0</v>
      </c>
      <c r="J434">
        <v>0</v>
      </c>
      <c r="K434">
        <v>0.3</v>
      </c>
      <c r="L434">
        <v>0</v>
      </c>
      <c r="M434">
        <v>0</v>
      </c>
      <c r="N434">
        <v>0</v>
      </c>
      <c r="O434">
        <v>2.5259489954735841</v>
      </c>
      <c r="P434">
        <v>45988.417549999998</v>
      </c>
    </row>
    <row r="435" spans="1:16" x14ac:dyDescent="0.25">
      <c r="A435" s="10">
        <v>38257</v>
      </c>
      <c r="B435">
        <v>128.75860200000201</v>
      </c>
      <c r="C435">
        <v>61.245277999999999</v>
      </c>
      <c r="D435">
        <v>0</v>
      </c>
      <c r="E435">
        <v>0</v>
      </c>
      <c r="F435">
        <v>0</v>
      </c>
      <c r="G435">
        <v>-6.0416939999999997</v>
      </c>
      <c r="H435">
        <v>72.082408999999643</v>
      </c>
      <c r="I435">
        <v>0</v>
      </c>
      <c r="J435">
        <v>0</v>
      </c>
      <c r="K435">
        <v>0.32</v>
      </c>
      <c r="L435">
        <v>0</v>
      </c>
      <c r="M435">
        <v>0</v>
      </c>
      <c r="N435">
        <v>0</v>
      </c>
      <c r="O435">
        <v>1.152609000002337</v>
      </c>
      <c r="P435">
        <v>46117.176152</v>
      </c>
    </row>
    <row r="436" spans="1:16" x14ac:dyDescent="0.25">
      <c r="A436" s="10">
        <v>38258</v>
      </c>
      <c r="B436">
        <v>376.23515100000031</v>
      </c>
      <c r="C436">
        <v>60.966999999999999</v>
      </c>
      <c r="D436">
        <v>0</v>
      </c>
      <c r="E436">
        <v>0</v>
      </c>
      <c r="F436">
        <v>0</v>
      </c>
      <c r="G436">
        <v>-3.590000000000003</v>
      </c>
      <c r="H436">
        <v>308.58799999999968</v>
      </c>
      <c r="I436">
        <v>0</v>
      </c>
      <c r="J436">
        <v>0</v>
      </c>
      <c r="K436">
        <v>0.52753075999999999</v>
      </c>
      <c r="L436">
        <v>0</v>
      </c>
      <c r="M436">
        <v>0</v>
      </c>
      <c r="N436">
        <v>0</v>
      </c>
      <c r="O436">
        <v>9.7426202400005764</v>
      </c>
      <c r="P436">
        <v>46493.411303000001</v>
      </c>
    </row>
    <row r="437" spans="1:16" x14ac:dyDescent="0.25">
      <c r="A437" s="10">
        <v>38259</v>
      </c>
      <c r="B437">
        <v>490.88999999999947</v>
      </c>
      <c r="C437">
        <v>60.744000000000007</v>
      </c>
      <c r="D437">
        <v>0</v>
      </c>
      <c r="E437">
        <v>0</v>
      </c>
      <c r="F437">
        <v>0</v>
      </c>
      <c r="G437">
        <v>-3.733000000000001</v>
      </c>
      <c r="H437">
        <v>58.927183699996021</v>
      </c>
      <c r="I437">
        <v>0</v>
      </c>
      <c r="J437">
        <v>0</v>
      </c>
      <c r="K437">
        <v>1.3688156</v>
      </c>
      <c r="L437">
        <v>252.74948040480001</v>
      </c>
      <c r="M437">
        <v>0</v>
      </c>
      <c r="N437">
        <v>0</v>
      </c>
      <c r="O437">
        <v>120.8335202952034</v>
      </c>
      <c r="P437">
        <v>46984.301303</v>
      </c>
    </row>
    <row r="438" spans="1:16" x14ac:dyDescent="0.25">
      <c r="A438" s="10">
        <v>38260</v>
      </c>
      <c r="B438">
        <v>549.48778999999899</v>
      </c>
      <c r="C438">
        <v>49.953608000000003</v>
      </c>
      <c r="D438">
        <v>0</v>
      </c>
      <c r="E438">
        <v>0</v>
      </c>
      <c r="F438">
        <v>0</v>
      </c>
      <c r="G438">
        <v>-81.068512999999996</v>
      </c>
      <c r="H438">
        <v>615.91498130000537</v>
      </c>
      <c r="I438">
        <v>0</v>
      </c>
      <c r="J438">
        <v>0</v>
      </c>
      <c r="K438">
        <v>0.63857549000000002</v>
      </c>
      <c r="L438">
        <v>-30.59</v>
      </c>
      <c r="M438">
        <v>0</v>
      </c>
      <c r="N438">
        <v>0</v>
      </c>
      <c r="O438">
        <v>-5.3608617900062976</v>
      </c>
      <c r="P438">
        <v>47533.789092999999</v>
      </c>
    </row>
    <row r="439" spans="1:16" x14ac:dyDescent="0.25">
      <c r="A439" s="10">
        <v>38261</v>
      </c>
      <c r="B439">
        <v>-11.10451800000023</v>
      </c>
      <c r="C439">
        <v>67.172456999999994</v>
      </c>
      <c r="D439">
        <v>0</v>
      </c>
      <c r="E439">
        <v>0</v>
      </c>
      <c r="F439">
        <v>0</v>
      </c>
      <c r="G439">
        <v>1.3690174175000001</v>
      </c>
      <c r="H439">
        <v>-85.756515000000491</v>
      </c>
      <c r="I439">
        <v>0</v>
      </c>
      <c r="J439">
        <v>0</v>
      </c>
      <c r="K439">
        <v>0.39622205999999999</v>
      </c>
      <c r="L439">
        <v>0</v>
      </c>
      <c r="M439">
        <v>0</v>
      </c>
      <c r="N439">
        <v>0</v>
      </c>
      <c r="O439">
        <v>5.7143005225002659</v>
      </c>
      <c r="P439">
        <v>47522.684574999999</v>
      </c>
    </row>
    <row r="440" spans="1:16" x14ac:dyDescent="0.25">
      <c r="A440" s="10">
        <v>38264</v>
      </c>
      <c r="B440">
        <v>-455.72361300000051</v>
      </c>
      <c r="C440">
        <v>60.505808999999999</v>
      </c>
      <c r="D440">
        <v>-395.09999999540997</v>
      </c>
      <c r="E440">
        <v>395.09999999540997</v>
      </c>
      <c r="F440">
        <v>0</v>
      </c>
      <c r="G440">
        <v>-0.8974725039599889</v>
      </c>
      <c r="H440">
        <v>-301.57086100000009</v>
      </c>
      <c r="I440">
        <v>0</v>
      </c>
      <c r="J440">
        <v>-129.4299999999985</v>
      </c>
      <c r="K440">
        <v>-64.690000000000254</v>
      </c>
      <c r="L440">
        <v>0</v>
      </c>
      <c r="M440">
        <v>0</v>
      </c>
      <c r="N440">
        <v>0</v>
      </c>
      <c r="O440">
        <v>-19.641088496041561</v>
      </c>
      <c r="P440">
        <v>47066.960961999997</v>
      </c>
    </row>
    <row r="441" spans="1:16" x14ac:dyDescent="0.25">
      <c r="A441" s="10">
        <v>38265</v>
      </c>
      <c r="B441">
        <v>-165.7719159999975</v>
      </c>
      <c r="C441">
        <v>67.034055999999993</v>
      </c>
      <c r="D441">
        <v>0</v>
      </c>
      <c r="E441">
        <v>0</v>
      </c>
      <c r="F441">
        <v>0</v>
      </c>
      <c r="G441">
        <v>-0.66660699999999906</v>
      </c>
      <c r="H441">
        <v>-237.81700000000001</v>
      </c>
      <c r="I441">
        <v>0</v>
      </c>
      <c r="J441">
        <v>0</v>
      </c>
      <c r="K441">
        <v>0.4</v>
      </c>
      <c r="L441">
        <v>0</v>
      </c>
      <c r="M441">
        <v>0</v>
      </c>
      <c r="N441">
        <v>0</v>
      </c>
      <c r="O441">
        <v>5.2776350000025047</v>
      </c>
      <c r="P441">
        <v>46901.189046</v>
      </c>
    </row>
    <row r="442" spans="1:16" x14ac:dyDescent="0.25">
      <c r="A442" s="10">
        <v>38266</v>
      </c>
      <c r="B442">
        <v>90.119548000002183</v>
      </c>
      <c r="C442">
        <v>58.224938999999999</v>
      </c>
      <c r="D442">
        <v>0</v>
      </c>
      <c r="E442">
        <v>0</v>
      </c>
      <c r="F442">
        <v>0</v>
      </c>
      <c r="G442">
        <v>-5.9408739999999938</v>
      </c>
      <c r="H442">
        <v>18.129485999999819</v>
      </c>
      <c r="I442">
        <v>0</v>
      </c>
      <c r="J442">
        <v>0</v>
      </c>
      <c r="K442">
        <v>0.51</v>
      </c>
      <c r="L442">
        <v>0</v>
      </c>
      <c r="M442">
        <v>0</v>
      </c>
      <c r="N442">
        <v>0</v>
      </c>
      <c r="O442">
        <v>19.195997000002361</v>
      </c>
      <c r="P442">
        <v>46991.308594000002</v>
      </c>
    </row>
    <row r="443" spans="1:16" x14ac:dyDescent="0.25">
      <c r="A443" s="10">
        <v>38267</v>
      </c>
      <c r="B443">
        <v>-5.4122940000017188</v>
      </c>
      <c r="C443">
        <v>74.511655999999988</v>
      </c>
      <c r="D443">
        <v>-50</v>
      </c>
      <c r="E443">
        <v>0</v>
      </c>
      <c r="F443">
        <v>0</v>
      </c>
      <c r="G443">
        <v>-3.2099999930000038</v>
      </c>
      <c r="H443">
        <v>-32.595083999999588</v>
      </c>
      <c r="I443">
        <v>0</v>
      </c>
      <c r="J443">
        <v>0</v>
      </c>
      <c r="K443">
        <v>0.34</v>
      </c>
      <c r="L443">
        <v>0</v>
      </c>
      <c r="M443">
        <v>0</v>
      </c>
      <c r="N443">
        <v>0</v>
      </c>
      <c r="O443">
        <v>5.5411339929978851</v>
      </c>
      <c r="P443">
        <v>46985.8963</v>
      </c>
    </row>
    <row r="444" spans="1:16" x14ac:dyDescent="0.25">
      <c r="A444" s="10">
        <v>38268</v>
      </c>
      <c r="B444">
        <v>133.97863468000261</v>
      </c>
      <c r="C444">
        <v>65.357291999999987</v>
      </c>
      <c r="D444">
        <v>0</v>
      </c>
      <c r="E444">
        <v>0</v>
      </c>
      <c r="F444">
        <v>0</v>
      </c>
      <c r="G444">
        <v>-1.5289399999999771</v>
      </c>
      <c r="H444">
        <v>-267.95003329000059</v>
      </c>
      <c r="I444">
        <v>0</v>
      </c>
      <c r="J444">
        <v>0</v>
      </c>
      <c r="K444">
        <v>0.43733829000000002</v>
      </c>
      <c r="L444">
        <v>326.88130797413072</v>
      </c>
      <c r="M444">
        <v>0</v>
      </c>
      <c r="N444">
        <v>0</v>
      </c>
      <c r="O444">
        <v>10.781669705872501</v>
      </c>
      <c r="P444">
        <v>47119.874934680003</v>
      </c>
    </row>
    <row r="445" spans="1:16" x14ac:dyDescent="0.25">
      <c r="A445" s="10">
        <v>38272</v>
      </c>
      <c r="B445">
        <v>-118.2262066800033</v>
      </c>
      <c r="C445">
        <v>73.450226999999998</v>
      </c>
      <c r="D445">
        <v>0</v>
      </c>
      <c r="E445">
        <v>0</v>
      </c>
      <c r="F445">
        <v>0</v>
      </c>
      <c r="G445">
        <v>0.32793999999999979</v>
      </c>
      <c r="H445">
        <v>-185.7945380000001</v>
      </c>
      <c r="I445">
        <v>0</v>
      </c>
      <c r="J445">
        <v>0</v>
      </c>
      <c r="K445">
        <v>0.98249697999999996</v>
      </c>
      <c r="L445">
        <v>0</v>
      </c>
      <c r="M445">
        <v>0</v>
      </c>
      <c r="N445">
        <v>0</v>
      </c>
      <c r="O445">
        <v>-7.1923326600031654</v>
      </c>
      <c r="P445">
        <v>47001.648728</v>
      </c>
    </row>
    <row r="446" spans="1:16" x14ac:dyDescent="0.25">
      <c r="A446" s="10">
        <v>38273</v>
      </c>
      <c r="B446">
        <v>-76.820891999995894</v>
      </c>
      <c r="C446">
        <v>74.447999999999993</v>
      </c>
      <c r="D446">
        <v>0</v>
      </c>
      <c r="E446">
        <v>0</v>
      </c>
      <c r="F446">
        <v>0</v>
      </c>
      <c r="G446">
        <v>-6.422949</v>
      </c>
      <c r="H446">
        <v>6.0270000000000437</v>
      </c>
      <c r="I446">
        <v>0</v>
      </c>
      <c r="J446">
        <v>0</v>
      </c>
      <c r="K446">
        <v>12.244869250000001</v>
      </c>
      <c r="L446">
        <v>-158.68310088738849</v>
      </c>
      <c r="M446">
        <v>0</v>
      </c>
      <c r="N446">
        <v>0</v>
      </c>
      <c r="O446">
        <v>-4.4347113626074046</v>
      </c>
      <c r="P446">
        <v>46924.827835999997</v>
      </c>
    </row>
    <row r="447" spans="1:16" x14ac:dyDescent="0.25">
      <c r="A447" s="10">
        <v>38274</v>
      </c>
      <c r="B447">
        <v>-262.34944399999949</v>
      </c>
      <c r="C447">
        <v>77.608406000000002</v>
      </c>
      <c r="D447">
        <v>-60</v>
      </c>
      <c r="E447">
        <v>0</v>
      </c>
      <c r="F447">
        <v>0</v>
      </c>
      <c r="G447">
        <v>-20.7573956681879</v>
      </c>
      <c r="H447">
        <v>-260.79109599999992</v>
      </c>
      <c r="I447">
        <v>0</v>
      </c>
      <c r="J447">
        <v>0</v>
      </c>
      <c r="K447">
        <v>1.2989001899999999</v>
      </c>
      <c r="L447">
        <v>0</v>
      </c>
      <c r="M447">
        <v>0</v>
      </c>
      <c r="N447">
        <v>0</v>
      </c>
      <c r="O447">
        <v>0.29174147818830759</v>
      </c>
      <c r="P447">
        <v>46662.478391999997</v>
      </c>
    </row>
    <row r="448" spans="1:16" x14ac:dyDescent="0.25">
      <c r="A448" s="10">
        <v>38275</v>
      </c>
      <c r="B448">
        <v>17.59740399999998</v>
      </c>
      <c r="C448">
        <v>78.613371000000001</v>
      </c>
      <c r="D448">
        <v>-515.999999995248</v>
      </c>
      <c r="E448">
        <v>515.999999995248</v>
      </c>
      <c r="F448">
        <v>0</v>
      </c>
      <c r="G448">
        <v>4.3232469999999807</v>
      </c>
      <c r="H448">
        <v>-66.851458999999522</v>
      </c>
      <c r="I448">
        <v>0</v>
      </c>
      <c r="J448">
        <v>0</v>
      </c>
      <c r="K448">
        <v>0.56580750000000002</v>
      </c>
      <c r="L448">
        <v>0</v>
      </c>
      <c r="M448">
        <v>0</v>
      </c>
      <c r="N448">
        <v>0</v>
      </c>
      <c r="O448">
        <v>0.94643749999949178</v>
      </c>
      <c r="P448">
        <v>46680.075795999997</v>
      </c>
    </row>
    <row r="449" spans="1:16" x14ac:dyDescent="0.25">
      <c r="A449" s="10">
        <v>38278</v>
      </c>
      <c r="B449">
        <v>-867.29496000000665</v>
      </c>
      <c r="C449">
        <v>83.081000000000003</v>
      </c>
      <c r="D449">
        <v>0</v>
      </c>
      <c r="E449">
        <v>0</v>
      </c>
      <c r="F449">
        <v>0</v>
      </c>
      <c r="G449">
        <v>-34.588782632343992</v>
      </c>
      <c r="H449">
        <v>-920.42697899999985</v>
      </c>
      <c r="I449">
        <v>0</v>
      </c>
      <c r="J449">
        <v>0</v>
      </c>
      <c r="K449">
        <v>0.56580750000000002</v>
      </c>
      <c r="L449">
        <v>0</v>
      </c>
      <c r="M449">
        <v>0</v>
      </c>
      <c r="N449">
        <v>0</v>
      </c>
      <c r="O449">
        <v>4.0739941323371056</v>
      </c>
      <c r="P449">
        <v>45812.780835999998</v>
      </c>
    </row>
    <row r="450" spans="1:16" x14ac:dyDescent="0.25">
      <c r="A450" s="10">
        <v>38279</v>
      </c>
      <c r="B450">
        <v>989.45360200000118</v>
      </c>
      <c r="C450">
        <v>89.429000000000002</v>
      </c>
      <c r="D450">
        <v>0</v>
      </c>
      <c r="E450">
        <v>0</v>
      </c>
      <c r="F450">
        <v>0</v>
      </c>
      <c r="G450">
        <v>81.259341011700016</v>
      </c>
      <c r="H450">
        <v>818.80153599999994</v>
      </c>
      <c r="I450">
        <v>0</v>
      </c>
      <c r="J450">
        <v>0</v>
      </c>
      <c r="K450">
        <v>1.01046466</v>
      </c>
      <c r="L450">
        <v>0</v>
      </c>
      <c r="M450">
        <v>0</v>
      </c>
      <c r="N450">
        <v>0</v>
      </c>
      <c r="O450">
        <v>-1.0467396716988051</v>
      </c>
      <c r="P450">
        <v>46802.234437999999</v>
      </c>
    </row>
    <row r="451" spans="1:16" x14ac:dyDescent="0.25">
      <c r="A451" s="10">
        <v>38280</v>
      </c>
      <c r="B451">
        <v>-409.10351200000161</v>
      </c>
      <c r="C451">
        <v>89.484999999999999</v>
      </c>
      <c r="D451">
        <v>0</v>
      </c>
      <c r="E451">
        <v>0</v>
      </c>
      <c r="F451">
        <v>0</v>
      </c>
      <c r="G451">
        <v>-50.590829999999997</v>
      </c>
      <c r="H451">
        <v>-375.04199999999952</v>
      </c>
      <c r="I451">
        <v>0</v>
      </c>
      <c r="J451">
        <v>0</v>
      </c>
      <c r="K451">
        <v>0.49897985</v>
      </c>
      <c r="L451">
        <v>-102.1130119412247</v>
      </c>
      <c r="M451">
        <v>0</v>
      </c>
      <c r="N451">
        <v>0</v>
      </c>
      <c r="O451">
        <v>28.658350091222601</v>
      </c>
      <c r="P451">
        <v>46393.130925999998</v>
      </c>
    </row>
    <row r="452" spans="1:16" x14ac:dyDescent="0.25">
      <c r="A452" s="10">
        <v>38281</v>
      </c>
      <c r="B452">
        <v>-259.2200899999952</v>
      </c>
      <c r="C452">
        <v>88.760580000000004</v>
      </c>
      <c r="D452">
        <v>0</v>
      </c>
      <c r="E452">
        <v>0</v>
      </c>
      <c r="F452">
        <v>0</v>
      </c>
      <c r="G452">
        <v>66.338724999999997</v>
      </c>
      <c r="H452">
        <v>-414.88900000000012</v>
      </c>
      <c r="I452">
        <v>0</v>
      </c>
      <c r="J452">
        <v>0</v>
      </c>
      <c r="K452">
        <v>0.48393700000000001</v>
      </c>
      <c r="L452">
        <v>0</v>
      </c>
      <c r="M452">
        <v>0</v>
      </c>
      <c r="N452">
        <v>0</v>
      </c>
      <c r="O452">
        <v>8.5668000004886835E-2</v>
      </c>
      <c r="P452">
        <v>46133.910836000003</v>
      </c>
    </row>
    <row r="453" spans="1:16" x14ac:dyDescent="0.25">
      <c r="A453" s="10">
        <v>38282</v>
      </c>
      <c r="B453">
        <v>-63.053891000003162</v>
      </c>
      <c r="C453">
        <v>90.785499999999999</v>
      </c>
      <c r="D453">
        <v>-120.90000000771199</v>
      </c>
      <c r="E453">
        <v>120.90000000771199</v>
      </c>
      <c r="F453">
        <v>0</v>
      </c>
      <c r="G453">
        <v>-6.0461760000000027</v>
      </c>
      <c r="H453">
        <v>-151.88785900000039</v>
      </c>
      <c r="I453">
        <v>0</v>
      </c>
      <c r="J453">
        <v>0</v>
      </c>
      <c r="K453">
        <v>0.59785955999999996</v>
      </c>
      <c r="L453">
        <v>0</v>
      </c>
      <c r="M453">
        <v>0</v>
      </c>
      <c r="N453">
        <v>0</v>
      </c>
      <c r="O453">
        <v>3.4967844399972279</v>
      </c>
      <c r="P453">
        <v>46070.856945</v>
      </c>
    </row>
    <row r="454" spans="1:16" x14ac:dyDescent="0.25">
      <c r="A454" s="10">
        <v>38285</v>
      </c>
      <c r="B454">
        <v>-211.80749500000141</v>
      </c>
      <c r="C454">
        <v>96.637245000000007</v>
      </c>
      <c r="D454">
        <v>0</v>
      </c>
      <c r="E454">
        <v>0</v>
      </c>
      <c r="F454">
        <v>0</v>
      </c>
      <c r="G454">
        <v>0.56341999999999981</v>
      </c>
      <c r="H454">
        <v>-310.20865899999899</v>
      </c>
      <c r="I454">
        <v>0</v>
      </c>
      <c r="J454">
        <v>0</v>
      </c>
      <c r="K454">
        <v>0.44130059999999999</v>
      </c>
      <c r="L454">
        <v>0</v>
      </c>
      <c r="M454">
        <v>0</v>
      </c>
      <c r="N454">
        <v>0</v>
      </c>
      <c r="O454">
        <v>0.75919839999759686</v>
      </c>
      <c r="P454">
        <v>45859.049449999999</v>
      </c>
    </row>
    <row r="455" spans="1:16" x14ac:dyDescent="0.25">
      <c r="A455" s="10">
        <v>38286</v>
      </c>
      <c r="B455">
        <v>7.9794970000004772</v>
      </c>
      <c r="C455">
        <v>95.575876050000005</v>
      </c>
      <c r="D455">
        <v>0</v>
      </c>
      <c r="E455">
        <v>0</v>
      </c>
      <c r="F455">
        <v>0</v>
      </c>
      <c r="G455">
        <v>-4.7279999999999998</v>
      </c>
      <c r="H455">
        <v>-83.893423999999868</v>
      </c>
      <c r="I455">
        <v>0</v>
      </c>
      <c r="J455">
        <v>0</v>
      </c>
      <c r="K455">
        <v>0.61788860000000001</v>
      </c>
      <c r="L455">
        <v>0</v>
      </c>
      <c r="M455">
        <v>0</v>
      </c>
      <c r="N455">
        <v>0</v>
      </c>
      <c r="O455">
        <v>0.40715635000033529</v>
      </c>
      <c r="P455">
        <v>45867.028946999999</v>
      </c>
    </row>
    <row r="456" spans="1:16" x14ac:dyDescent="0.25">
      <c r="A456" s="10">
        <v>38287</v>
      </c>
      <c r="B456">
        <v>-255.09636017999591</v>
      </c>
      <c r="C456">
        <v>98.879499999999993</v>
      </c>
      <c r="D456">
        <v>0</v>
      </c>
      <c r="E456">
        <v>0</v>
      </c>
      <c r="F456">
        <v>0</v>
      </c>
      <c r="G456">
        <v>-6.3560000000000008</v>
      </c>
      <c r="H456">
        <v>-128.46679399999991</v>
      </c>
      <c r="I456">
        <v>0</v>
      </c>
      <c r="J456">
        <v>0</v>
      </c>
      <c r="K456">
        <v>0.67879498000000005</v>
      </c>
      <c r="L456">
        <v>-225.52781512644731</v>
      </c>
      <c r="M456">
        <v>0</v>
      </c>
      <c r="N456">
        <v>0</v>
      </c>
      <c r="O456">
        <v>5.6959539664513974</v>
      </c>
      <c r="P456">
        <v>45611.932586820003</v>
      </c>
    </row>
    <row r="457" spans="1:16" x14ac:dyDescent="0.25">
      <c r="A457" s="10">
        <v>38288</v>
      </c>
      <c r="B457">
        <v>-240.35433682000439</v>
      </c>
      <c r="C457">
        <v>98.595999999999989</v>
      </c>
      <c r="D457">
        <v>-570</v>
      </c>
      <c r="E457">
        <v>0</v>
      </c>
      <c r="F457">
        <v>0</v>
      </c>
      <c r="G457">
        <v>-102.72448875825501</v>
      </c>
      <c r="H457">
        <v>331.94707000000022</v>
      </c>
      <c r="I457">
        <v>0</v>
      </c>
      <c r="J457">
        <v>0</v>
      </c>
      <c r="K457">
        <v>1.08285689</v>
      </c>
      <c r="L457">
        <v>0</v>
      </c>
      <c r="M457">
        <v>0</v>
      </c>
      <c r="N457">
        <v>0</v>
      </c>
      <c r="O457">
        <v>0.74422504825041291</v>
      </c>
      <c r="P457">
        <v>45371.578249999999</v>
      </c>
    </row>
    <row r="458" spans="1:16" x14ac:dyDescent="0.25">
      <c r="A458" s="10">
        <v>38289</v>
      </c>
      <c r="B458">
        <v>518.67375818000437</v>
      </c>
      <c r="C458">
        <v>89.876389900000007</v>
      </c>
      <c r="D458">
        <v>0</v>
      </c>
      <c r="E458">
        <v>0</v>
      </c>
      <c r="F458">
        <v>0</v>
      </c>
      <c r="G458">
        <v>-12.17003182</v>
      </c>
      <c r="H458">
        <v>440.5441409999994</v>
      </c>
      <c r="I458">
        <v>0</v>
      </c>
      <c r="J458">
        <v>0</v>
      </c>
      <c r="K458">
        <v>0.67068285000000005</v>
      </c>
      <c r="L458">
        <v>0</v>
      </c>
      <c r="M458">
        <v>0</v>
      </c>
      <c r="N458">
        <v>0</v>
      </c>
      <c r="O458">
        <v>-0.24742374999505051</v>
      </c>
      <c r="P458">
        <v>45890.252008180003</v>
      </c>
    </row>
    <row r="459" spans="1:16" x14ac:dyDescent="0.25">
      <c r="A459" s="10">
        <v>38292</v>
      </c>
      <c r="B459">
        <v>213.74257963999059</v>
      </c>
      <c r="C459">
        <v>86.74199999999999</v>
      </c>
      <c r="D459">
        <v>0</v>
      </c>
      <c r="E459">
        <v>0</v>
      </c>
      <c r="F459">
        <v>0</v>
      </c>
      <c r="G459">
        <v>-87.471199590243984</v>
      </c>
      <c r="H459">
        <v>187.49000000000069</v>
      </c>
      <c r="I459">
        <v>0</v>
      </c>
      <c r="J459">
        <v>0</v>
      </c>
      <c r="K459">
        <v>1.90561129</v>
      </c>
      <c r="L459">
        <v>0</v>
      </c>
      <c r="M459">
        <v>0</v>
      </c>
      <c r="N459">
        <v>0</v>
      </c>
      <c r="O459">
        <v>25.076167940233901</v>
      </c>
      <c r="P459">
        <v>46103.994587819987</v>
      </c>
    </row>
    <row r="460" spans="1:16" x14ac:dyDescent="0.25">
      <c r="A460" s="10">
        <v>38293</v>
      </c>
      <c r="B460">
        <v>114.95869418000611</v>
      </c>
      <c r="C460">
        <v>89.171999999999997</v>
      </c>
      <c r="D460">
        <v>0</v>
      </c>
      <c r="E460">
        <v>0</v>
      </c>
      <c r="F460">
        <v>0</v>
      </c>
      <c r="G460">
        <v>102.93899999999999</v>
      </c>
      <c r="H460">
        <v>82.692918000000645</v>
      </c>
      <c r="I460">
        <v>0</v>
      </c>
      <c r="J460">
        <v>-128.9900000000016</v>
      </c>
      <c r="K460">
        <v>-57.062660979999777</v>
      </c>
      <c r="L460">
        <v>0</v>
      </c>
      <c r="M460">
        <v>0</v>
      </c>
      <c r="N460">
        <v>0</v>
      </c>
      <c r="O460">
        <v>26.20743716000683</v>
      </c>
      <c r="P460">
        <v>46218.953282000002</v>
      </c>
    </row>
    <row r="461" spans="1:16" x14ac:dyDescent="0.25">
      <c r="A461" s="10">
        <v>38294</v>
      </c>
      <c r="B461">
        <v>370.3875884000027</v>
      </c>
      <c r="C461">
        <v>97.808999999999997</v>
      </c>
      <c r="D461">
        <v>0</v>
      </c>
      <c r="E461">
        <v>0</v>
      </c>
      <c r="F461">
        <v>0</v>
      </c>
      <c r="G461">
        <v>2.7130000000000001</v>
      </c>
      <c r="H461">
        <v>394.53478274000008</v>
      </c>
      <c r="I461">
        <v>0</v>
      </c>
      <c r="J461">
        <v>-1.1099999999987631</v>
      </c>
      <c r="K461">
        <v>-9.7810650000127342E-2</v>
      </c>
      <c r="L461">
        <v>-124.7569942378577</v>
      </c>
      <c r="M461">
        <v>0</v>
      </c>
      <c r="N461">
        <v>0</v>
      </c>
      <c r="O461">
        <v>1.2956105478591959</v>
      </c>
      <c r="P461">
        <v>46589.340870400003</v>
      </c>
    </row>
    <row r="462" spans="1:16" x14ac:dyDescent="0.25">
      <c r="A462" s="10">
        <v>38295</v>
      </c>
      <c r="B462">
        <v>7.2276326499918859</v>
      </c>
      <c r="C462">
        <v>102.58499999999999</v>
      </c>
      <c r="D462">
        <v>0</v>
      </c>
      <c r="E462">
        <v>0</v>
      </c>
      <c r="F462">
        <v>0</v>
      </c>
      <c r="G462">
        <v>-5.3899999999999864</v>
      </c>
      <c r="H462">
        <v>-76.301300000000083</v>
      </c>
      <c r="I462">
        <v>0</v>
      </c>
      <c r="J462">
        <v>0</v>
      </c>
      <c r="K462">
        <v>0.53005188000000003</v>
      </c>
      <c r="L462">
        <v>0</v>
      </c>
      <c r="M462">
        <v>0</v>
      </c>
      <c r="N462">
        <v>0</v>
      </c>
      <c r="O462">
        <v>-14.196119230008041</v>
      </c>
      <c r="P462">
        <v>46596.568503050003</v>
      </c>
    </row>
    <row r="463" spans="1:16" x14ac:dyDescent="0.25">
      <c r="A463" s="10">
        <v>38296</v>
      </c>
      <c r="B463">
        <v>212.89974195000849</v>
      </c>
      <c r="C463">
        <v>104.495</v>
      </c>
      <c r="D463">
        <v>0</v>
      </c>
      <c r="E463">
        <v>0</v>
      </c>
      <c r="F463">
        <v>0</v>
      </c>
      <c r="G463">
        <v>-0.85499999999999954</v>
      </c>
      <c r="H463">
        <v>108.2713310000008</v>
      </c>
      <c r="I463">
        <v>0</v>
      </c>
      <c r="J463">
        <v>0</v>
      </c>
      <c r="K463">
        <v>0.46030197</v>
      </c>
      <c r="L463">
        <v>0</v>
      </c>
      <c r="M463">
        <v>0</v>
      </c>
      <c r="N463">
        <v>0</v>
      </c>
      <c r="O463">
        <v>0.52810898000767903</v>
      </c>
      <c r="P463">
        <v>46809.468244999996</v>
      </c>
    </row>
    <row r="464" spans="1:16" x14ac:dyDescent="0.25">
      <c r="A464" s="10">
        <v>38299</v>
      </c>
      <c r="B464">
        <v>196.82720714999579</v>
      </c>
      <c r="C464">
        <v>99.798999999999992</v>
      </c>
      <c r="D464">
        <v>0</v>
      </c>
      <c r="E464">
        <v>0</v>
      </c>
      <c r="F464">
        <v>0</v>
      </c>
      <c r="G464">
        <v>-2.597</v>
      </c>
      <c r="H464">
        <v>98.578031879999799</v>
      </c>
      <c r="I464">
        <v>0</v>
      </c>
      <c r="J464">
        <v>0</v>
      </c>
      <c r="K464">
        <v>0.51547887000000003</v>
      </c>
      <c r="L464">
        <v>0</v>
      </c>
      <c r="M464">
        <v>0</v>
      </c>
      <c r="N464">
        <v>0</v>
      </c>
      <c r="O464">
        <v>0.5316963999960036</v>
      </c>
      <c r="P464">
        <v>47006.29545215</v>
      </c>
    </row>
    <row r="465" spans="1:16" x14ac:dyDescent="0.25">
      <c r="A465" s="10">
        <v>38300</v>
      </c>
      <c r="B465">
        <v>-59.114248289996112</v>
      </c>
      <c r="C465">
        <v>99.669062999999994</v>
      </c>
      <c r="D465">
        <v>0</v>
      </c>
      <c r="E465">
        <v>0</v>
      </c>
      <c r="F465">
        <v>0</v>
      </c>
      <c r="G465">
        <v>-53.713663464718387</v>
      </c>
      <c r="H465">
        <v>-129.98445900000019</v>
      </c>
      <c r="I465">
        <v>0</v>
      </c>
      <c r="J465">
        <v>0</v>
      </c>
      <c r="K465">
        <v>0.63825978000000005</v>
      </c>
      <c r="L465">
        <v>0</v>
      </c>
      <c r="M465">
        <v>0</v>
      </c>
      <c r="N465">
        <v>0</v>
      </c>
      <c r="O465">
        <v>24.276551394722532</v>
      </c>
      <c r="P465">
        <v>46947.181203859996</v>
      </c>
    </row>
    <row r="466" spans="1:16" x14ac:dyDescent="0.25">
      <c r="A466" s="10">
        <v>38301</v>
      </c>
      <c r="B466">
        <v>-71.191808810006393</v>
      </c>
      <c r="C466">
        <v>108.60868992</v>
      </c>
      <c r="D466">
        <v>-15</v>
      </c>
      <c r="E466">
        <v>15</v>
      </c>
      <c r="F466">
        <v>0</v>
      </c>
      <c r="G466">
        <v>44.818365999999997</v>
      </c>
      <c r="H466">
        <v>-69.144518000000971</v>
      </c>
      <c r="I466">
        <v>0</v>
      </c>
      <c r="J466">
        <v>0</v>
      </c>
      <c r="K466">
        <v>0.57051856999999995</v>
      </c>
      <c r="L466">
        <v>-155.75969741736481</v>
      </c>
      <c r="M466">
        <v>0</v>
      </c>
      <c r="N466">
        <v>0</v>
      </c>
      <c r="O466">
        <v>-0.28516788264060461</v>
      </c>
      <c r="P466">
        <v>46875.989395049997</v>
      </c>
    </row>
    <row r="467" spans="1:16" x14ac:dyDescent="0.25">
      <c r="A467" s="10">
        <v>38302</v>
      </c>
      <c r="B467">
        <v>-174.52663635999471</v>
      </c>
      <c r="C467">
        <v>0</v>
      </c>
      <c r="D467">
        <v>0</v>
      </c>
      <c r="E467">
        <v>0</v>
      </c>
      <c r="F467">
        <v>0</v>
      </c>
      <c r="G467">
        <v>-9.2779999999999987</v>
      </c>
      <c r="H467">
        <v>-125.3882449999992</v>
      </c>
      <c r="I467">
        <v>0</v>
      </c>
      <c r="J467">
        <v>0</v>
      </c>
      <c r="K467">
        <v>0.56028712999999997</v>
      </c>
      <c r="L467">
        <v>0</v>
      </c>
      <c r="M467">
        <v>0</v>
      </c>
      <c r="N467">
        <v>0</v>
      </c>
      <c r="O467">
        <v>-40.420678489995481</v>
      </c>
      <c r="P467">
        <v>46701.462758690002</v>
      </c>
    </row>
    <row r="468" spans="1:16" x14ac:dyDescent="0.25">
      <c r="A468" s="10">
        <v>38303</v>
      </c>
      <c r="B468">
        <v>-254.69666460000761</v>
      </c>
      <c r="C468">
        <v>95.326981969999991</v>
      </c>
      <c r="D468">
        <v>0</v>
      </c>
      <c r="E468">
        <v>0</v>
      </c>
      <c r="F468">
        <v>0</v>
      </c>
      <c r="G468">
        <v>-5.4765090799999996</v>
      </c>
      <c r="H468">
        <v>-364.59387799999882</v>
      </c>
      <c r="I468">
        <v>0</v>
      </c>
      <c r="J468">
        <v>0</v>
      </c>
      <c r="K468">
        <v>0.40755237</v>
      </c>
      <c r="L468">
        <v>0</v>
      </c>
      <c r="M468">
        <v>0</v>
      </c>
      <c r="N468">
        <v>0</v>
      </c>
      <c r="O468">
        <v>19.639188139991131</v>
      </c>
      <c r="P468">
        <v>46446.766094090002</v>
      </c>
    </row>
    <row r="469" spans="1:16" x14ac:dyDescent="0.25">
      <c r="A469" s="10">
        <v>38306</v>
      </c>
      <c r="B469">
        <v>38.785790520006977</v>
      </c>
      <c r="C469">
        <v>106.67910035</v>
      </c>
      <c r="D469">
        <v>-842.00000001471199</v>
      </c>
      <c r="E469">
        <v>842.00000001471199</v>
      </c>
      <c r="F469">
        <v>0</v>
      </c>
      <c r="G469">
        <v>8.8099999999999454</v>
      </c>
      <c r="H469">
        <v>-102.97453997999951</v>
      </c>
      <c r="I469">
        <v>0</v>
      </c>
      <c r="J469">
        <v>0</v>
      </c>
      <c r="K469">
        <v>13.8085662</v>
      </c>
      <c r="L469">
        <v>0</v>
      </c>
      <c r="M469">
        <v>0</v>
      </c>
      <c r="N469">
        <v>0</v>
      </c>
      <c r="O469">
        <v>12.46266395000649</v>
      </c>
      <c r="P469">
        <v>46485.551884610002</v>
      </c>
    </row>
    <row r="470" spans="1:16" x14ac:dyDescent="0.25">
      <c r="A470" s="10">
        <v>38307</v>
      </c>
      <c r="B470">
        <v>29.474901209999921</v>
      </c>
      <c r="C470">
        <v>93.296000000000006</v>
      </c>
      <c r="D470">
        <v>0</v>
      </c>
      <c r="E470">
        <v>0</v>
      </c>
      <c r="F470">
        <v>0</v>
      </c>
      <c r="G470">
        <v>-10.261779911594999</v>
      </c>
      <c r="H470">
        <v>-56.775148020000422</v>
      </c>
      <c r="I470">
        <v>0</v>
      </c>
      <c r="J470">
        <v>0</v>
      </c>
      <c r="K470">
        <v>1.8807860599999999</v>
      </c>
      <c r="L470">
        <v>0</v>
      </c>
      <c r="M470">
        <v>0</v>
      </c>
      <c r="N470">
        <v>0</v>
      </c>
      <c r="O470">
        <v>1.335043081595334</v>
      </c>
      <c r="P470">
        <v>46515.026785820002</v>
      </c>
    </row>
    <row r="471" spans="1:16" x14ac:dyDescent="0.25">
      <c r="A471" s="10">
        <v>38308</v>
      </c>
      <c r="B471">
        <v>-83.273785820005585</v>
      </c>
      <c r="C471">
        <v>133.91300000000001</v>
      </c>
      <c r="D471">
        <v>0</v>
      </c>
      <c r="E471">
        <v>0</v>
      </c>
      <c r="F471">
        <v>0</v>
      </c>
      <c r="G471">
        <v>-38.735999999999997</v>
      </c>
      <c r="H471">
        <v>7.954000000000633</v>
      </c>
      <c r="I471">
        <v>0</v>
      </c>
      <c r="J471">
        <v>0</v>
      </c>
      <c r="K471">
        <v>1.16435445</v>
      </c>
      <c r="L471">
        <v>-189.184866850378</v>
      </c>
      <c r="M471">
        <v>0</v>
      </c>
      <c r="N471">
        <v>0</v>
      </c>
      <c r="O471">
        <v>1.61572658037174</v>
      </c>
      <c r="P471">
        <v>46431.752999999997</v>
      </c>
    </row>
    <row r="472" spans="1:16" x14ac:dyDescent="0.25">
      <c r="A472" s="10">
        <v>38309</v>
      </c>
      <c r="B472">
        <v>334.58200000000181</v>
      </c>
      <c r="C472">
        <v>132.28100000000001</v>
      </c>
      <c r="D472">
        <v>0</v>
      </c>
      <c r="E472">
        <v>0</v>
      </c>
      <c r="F472">
        <v>0</v>
      </c>
      <c r="G472">
        <v>-5.4249999999999972</v>
      </c>
      <c r="H472">
        <v>206.6080000000002</v>
      </c>
      <c r="I472">
        <v>0</v>
      </c>
      <c r="J472">
        <v>0</v>
      </c>
      <c r="K472">
        <v>0.62040510000000004</v>
      </c>
      <c r="L472">
        <v>0</v>
      </c>
      <c r="M472">
        <v>0</v>
      </c>
      <c r="N472">
        <v>0</v>
      </c>
      <c r="O472">
        <v>0.49759490000155893</v>
      </c>
      <c r="P472">
        <v>46766.334999999999</v>
      </c>
    </row>
    <row r="473" spans="1:16" x14ac:dyDescent="0.25">
      <c r="A473" s="10">
        <v>38310</v>
      </c>
      <c r="B473">
        <v>384.55695999999398</v>
      </c>
      <c r="C473">
        <v>136.99017277999999</v>
      </c>
      <c r="D473">
        <v>0</v>
      </c>
      <c r="E473">
        <v>0</v>
      </c>
      <c r="F473">
        <v>0</v>
      </c>
      <c r="G473">
        <v>88.831000000000003</v>
      </c>
      <c r="H473">
        <v>157.22611099999989</v>
      </c>
      <c r="I473">
        <v>0</v>
      </c>
      <c r="J473">
        <v>0</v>
      </c>
      <c r="K473">
        <v>0.58235767000000005</v>
      </c>
      <c r="L473">
        <v>0</v>
      </c>
      <c r="M473">
        <v>0</v>
      </c>
      <c r="N473">
        <v>0</v>
      </c>
      <c r="O473">
        <v>0.9273185499940606</v>
      </c>
      <c r="P473">
        <v>47150.891959999994</v>
      </c>
    </row>
    <row r="474" spans="1:16" x14ac:dyDescent="0.25">
      <c r="A474" s="10">
        <v>38313</v>
      </c>
      <c r="B474">
        <v>230.4255940000071</v>
      </c>
      <c r="C474">
        <v>149.05699999999999</v>
      </c>
      <c r="D474">
        <v>0</v>
      </c>
      <c r="E474">
        <v>0</v>
      </c>
      <c r="F474">
        <v>0</v>
      </c>
      <c r="G474">
        <v>8.0750000000000455</v>
      </c>
      <c r="H474">
        <v>77.8149999999996</v>
      </c>
      <c r="I474">
        <v>0</v>
      </c>
      <c r="J474">
        <v>0</v>
      </c>
      <c r="K474">
        <v>0.51763798000000005</v>
      </c>
      <c r="L474">
        <v>0</v>
      </c>
      <c r="M474">
        <v>0</v>
      </c>
      <c r="N474">
        <v>0</v>
      </c>
      <c r="O474">
        <v>-5.0390439799925737</v>
      </c>
      <c r="P474">
        <v>47381.317554000001</v>
      </c>
    </row>
    <row r="475" spans="1:16" x14ac:dyDescent="0.25">
      <c r="A475" s="10">
        <v>38314</v>
      </c>
      <c r="B475">
        <v>209.71199999999951</v>
      </c>
      <c r="C475">
        <v>146.11199999999999</v>
      </c>
      <c r="D475">
        <v>0</v>
      </c>
      <c r="E475">
        <v>0</v>
      </c>
      <c r="F475">
        <v>0</v>
      </c>
      <c r="G475">
        <v>-6.2710000000000017</v>
      </c>
      <c r="H475">
        <v>69.915000000000873</v>
      </c>
      <c r="I475">
        <v>0</v>
      </c>
      <c r="J475">
        <v>0</v>
      </c>
      <c r="K475">
        <v>0.70803084000000005</v>
      </c>
      <c r="L475">
        <v>0</v>
      </c>
      <c r="M475">
        <v>0</v>
      </c>
      <c r="N475">
        <v>0</v>
      </c>
      <c r="O475">
        <v>-0.75203084000131071</v>
      </c>
      <c r="P475">
        <v>47591.029554000001</v>
      </c>
    </row>
    <row r="476" spans="1:16" x14ac:dyDescent="0.25">
      <c r="A476" s="10">
        <v>38315</v>
      </c>
      <c r="B476">
        <v>221.88199999999719</v>
      </c>
      <c r="C476">
        <v>148.67699999999999</v>
      </c>
      <c r="D476">
        <v>0</v>
      </c>
      <c r="E476">
        <v>0</v>
      </c>
      <c r="F476">
        <v>0</v>
      </c>
      <c r="G476">
        <v>-0.69100000000000006</v>
      </c>
      <c r="H476">
        <v>72.526999999999134</v>
      </c>
      <c r="I476">
        <v>0</v>
      </c>
      <c r="J476">
        <v>0</v>
      </c>
      <c r="K476">
        <v>0.58054106000000005</v>
      </c>
      <c r="L476">
        <v>0</v>
      </c>
      <c r="M476">
        <v>0</v>
      </c>
      <c r="N476">
        <v>0</v>
      </c>
      <c r="O476">
        <v>0.78845893999813477</v>
      </c>
      <c r="P476">
        <v>47812.911553999998</v>
      </c>
    </row>
    <row r="477" spans="1:16" x14ac:dyDescent="0.25">
      <c r="A477" s="10">
        <v>38316</v>
      </c>
      <c r="B477">
        <v>114.2169999999965</v>
      </c>
      <c r="C477">
        <v>0</v>
      </c>
      <c r="D477">
        <v>0</v>
      </c>
      <c r="E477">
        <v>0</v>
      </c>
      <c r="F477">
        <v>0</v>
      </c>
      <c r="G477">
        <v>-6.4750000000000014</v>
      </c>
      <c r="H477">
        <v>117.5770000000002</v>
      </c>
      <c r="I477">
        <v>0</v>
      </c>
      <c r="J477">
        <v>0</v>
      </c>
      <c r="K477">
        <v>0.52134661000000004</v>
      </c>
      <c r="L477">
        <v>0</v>
      </c>
      <c r="M477">
        <v>0</v>
      </c>
      <c r="N477">
        <v>0</v>
      </c>
      <c r="O477">
        <v>2.5936533899963252</v>
      </c>
      <c r="P477">
        <v>47927.128554000003</v>
      </c>
    </row>
    <row r="478" spans="1:16" x14ac:dyDescent="0.25">
      <c r="A478" s="10">
        <v>38317</v>
      </c>
      <c r="B478">
        <v>567.59566000000643</v>
      </c>
      <c r="C478">
        <v>162.369</v>
      </c>
      <c r="D478">
        <v>0</v>
      </c>
      <c r="E478">
        <v>0</v>
      </c>
      <c r="F478">
        <v>0</v>
      </c>
      <c r="G478">
        <v>-9.5630000000000006</v>
      </c>
      <c r="H478">
        <v>103.2210000000014</v>
      </c>
      <c r="I478">
        <v>0</v>
      </c>
      <c r="J478">
        <v>-41.840000000000153</v>
      </c>
      <c r="K478">
        <v>-2.0530247099999639</v>
      </c>
      <c r="L478">
        <v>345.32481652194969</v>
      </c>
      <c r="M478">
        <v>0</v>
      </c>
      <c r="N478">
        <v>0</v>
      </c>
      <c r="O478">
        <v>10.136868188055489</v>
      </c>
      <c r="P478">
        <v>48494.724214000002</v>
      </c>
    </row>
    <row r="479" spans="1:16" x14ac:dyDescent="0.25">
      <c r="A479" s="10">
        <v>38320</v>
      </c>
      <c r="B479">
        <v>97.342340000002594</v>
      </c>
      <c r="C479">
        <v>161.41999999999999</v>
      </c>
      <c r="D479">
        <v>0</v>
      </c>
      <c r="E479">
        <v>0</v>
      </c>
      <c r="F479">
        <v>0</v>
      </c>
      <c r="G479">
        <v>-4.0380000000000003</v>
      </c>
      <c r="H479">
        <v>-59.833999999999833</v>
      </c>
      <c r="I479">
        <v>0</v>
      </c>
      <c r="J479">
        <v>0</v>
      </c>
      <c r="K479">
        <v>0.48043200000000003</v>
      </c>
      <c r="L479">
        <v>-0.28999999999999998</v>
      </c>
      <c r="M479">
        <v>0</v>
      </c>
      <c r="N479">
        <v>0</v>
      </c>
      <c r="O479">
        <v>-0.39609199999757272</v>
      </c>
      <c r="P479">
        <v>48592.066553999997</v>
      </c>
    </row>
    <row r="480" spans="1:16" x14ac:dyDescent="0.25">
      <c r="A480" s="10">
        <v>38321</v>
      </c>
      <c r="B480">
        <v>83.027445999991244</v>
      </c>
      <c r="C480">
        <v>162.34399999999999</v>
      </c>
      <c r="D480">
        <v>0</v>
      </c>
      <c r="E480">
        <v>0</v>
      </c>
      <c r="F480">
        <v>0</v>
      </c>
      <c r="G480">
        <v>-176.47</v>
      </c>
      <c r="H480">
        <v>105.6190000000006</v>
      </c>
      <c r="I480">
        <v>0</v>
      </c>
      <c r="J480">
        <v>-3.3000000000010909</v>
      </c>
      <c r="K480">
        <v>0.67451000999999999</v>
      </c>
      <c r="L480">
        <v>0</v>
      </c>
      <c r="M480">
        <v>0</v>
      </c>
      <c r="N480">
        <v>0</v>
      </c>
      <c r="O480">
        <v>-5.8400640100083239</v>
      </c>
      <c r="P480">
        <v>48675.093999999997</v>
      </c>
    </row>
    <row r="481" spans="1:16" x14ac:dyDescent="0.25">
      <c r="A481" s="10">
        <v>38322</v>
      </c>
      <c r="B481">
        <v>104.0110000000054</v>
      </c>
      <c r="C481">
        <v>191.48599999999999</v>
      </c>
      <c r="D481">
        <v>0</v>
      </c>
      <c r="E481">
        <v>0</v>
      </c>
      <c r="F481">
        <v>0</v>
      </c>
      <c r="G481">
        <v>35.484000000000023</v>
      </c>
      <c r="H481">
        <v>-0.57889001001149154</v>
      </c>
      <c r="I481">
        <v>0</v>
      </c>
      <c r="J481">
        <v>0</v>
      </c>
      <c r="K481">
        <v>0.54802538999999995</v>
      </c>
      <c r="L481">
        <v>-129.79537801455149</v>
      </c>
      <c r="M481">
        <v>0</v>
      </c>
      <c r="N481">
        <v>0</v>
      </c>
      <c r="O481">
        <v>6.8672426345683846</v>
      </c>
      <c r="P481">
        <v>48779.105000000003</v>
      </c>
    </row>
    <row r="482" spans="1:16" x14ac:dyDescent="0.25">
      <c r="A482" s="10">
        <v>38323</v>
      </c>
      <c r="B482">
        <v>189.0269999999951</v>
      </c>
      <c r="C482">
        <v>222.619</v>
      </c>
      <c r="D482">
        <v>0</v>
      </c>
      <c r="E482">
        <v>0</v>
      </c>
      <c r="F482">
        <v>0</v>
      </c>
      <c r="G482">
        <v>74.652000000000001</v>
      </c>
      <c r="H482">
        <v>114.9812313799994</v>
      </c>
      <c r="I482">
        <v>0</v>
      </c>
      <c r="J482">
        <v>-163.23999999999981</v>
      </c>
      <c r="K482">
        <v>-61.292767919999761</v>
      </c>
      <c r="L482">
        <v>0</v>
      </c>
      <c r="M482">
        <v>0</v>
      </c>
      <c r="N482">
        <v>0</v>
      </c>
      <c r="O482">
        <v>1.3075365399952401</v>
      </c>
      <c r="P482">
        <v>48968.131999999998</v>
      </c>
    </row>
    <row r="483" spans="1:16" x14ac:dyDescent="0.25">
      <c r="A483" s="10">
        <v>38324</v>
      </c>
      <c r="B483">
        <v>175.6730000000025</v>
      </c>
      <c r="C483">
        <v>207.57900000000001</v>
      </c>
      <c r="D483">
        <v>0</v>
      </c>
      <c r="E483">
        <v>0</v>
      </c>
      <c r="F483">
        <v>0</v>
      </c>
      <c r="G483">
        <v>1.157999999999999</v>
      </c>
      <c r="H483">
        <v>-69.625</v>
      </c>
      <c r="I483">
        <v>0</v>
      </c>
      <c r="J483">
        <v>0</v>
      </c>
      <c r="K483">
        <v>0.46</v>
      </c>
      <c r="L483">
        <v>39.246599281878481</v>
      </c>
      <c r="M483">
        <v>0</v>
      </c>
      <c r="N483">
        <v>0</v>
      </c>
      <c r="O483">
        <v>-3.1455992818759739</v>
      </c>
      <c r="P483">
        <v>49143.805</v>
      </c>
    </row>
    <row r="484" spans="1:16" x14ac:dyDescent="0.25">
      <c r="A484" s="10">
        <v>38327</v>
      </c>
      <c r="B484">
        <v>66.402000000001664</v>
      </c>
      <c r="C484">
        <v>226.55600000000001</v>
      </c>
      <c r="D484">
        <v>-1825.0999999918349</v>
      </c>
      <c r="E484">
        <v>1825.0999999918349</v>
      </c>
      <c r="F484">
        <v>0</v>
      </c>
      <c r="G484">
        <v>-4.446999999999889</v>
      </c>
      <c r="H484">
        <v>-136.30200000000059</v>
      </c>
      <c r="I484">
        <v>0</v>
      </c>
      <c r="J484">
        <v>0</v>
      </c>
      <c r="K484">
        <v>0.49360080000000001</v>
      </c>
      <c r="L484">
        <v>0</v>
      </c>
      <c r="M484">
        <v>0</v>
      </c>
      <c r="N484">
        <v>0</v>
      </c>
      <c r="O484">
        <v>-19.89860079999789</v>
      </c>
      <c r="P484">
        <v>49210.207000000002</v>
      </c>
    </row>
    <row r="485" spans="1:16" x14ac:dyDescent="0.25">
      <c r="A485" s="10">
        <v>38328</v>
      </c>
      <c r="B485">
        <v>303.40099999999808</v>
      </c>
      <c r="C485">
        <v>165.39</v>
      </c>
      <c r="D485">
        <v>1263.7746110099499</v>
      </c>
      <c r="E485">
        <v>-1263.7746110099499</v>
      </c>
      <c r="F485">
        <v>0</v>
      </c>
      <c r="G485">
        <v>-4.2880000000000109</v>
      </c>
      <c r="H485">
        <v>128.37800000000061</v>
      </c>
      <c r="I485">
        <v>0</v>
      </c>
      <c r="J485">
        <v>0</v>
      </c>
      <c r="K485">
        <v>16.103870990000001</v>
      </c>
      <c r="L485">
        <v>0</v>
      </c>
      <c r="M485">
        <v>0</v>
      </c>
      <c r="N485">
        <v>0</v>
      </c>
      <c r="O485">
        <v>-2.1828709900025931</v>
      </c>
      <c r="P485">
        <v>49513.608</v>
      </c>
    </row>
    <row r="486" spans="1:16" x14ac:dyDescent="0.25">
      <c r="A486" s="10">
        <v>38330</v>
      </c>
      <c r="B486">
        <v>174.45700000000161</v>
      </c>
      <c r="C486">
        <v>182.453</v>
      </c>
      <c r="D486">
        <v>0</v>
      </c>
      <c r="E486">
        <v>0</v>
      </c>
      <c r="F486">
        <v>0</v>
      </c>
      <c r="G486">
        <v>-6.1820000000000164</v>
      </c>
      <c r="H486">
        <v>158.50299999999879</v>
      </c>
      <c r="I486">
        <v>0</v>
      </c>
      <c r="J486">
        <v>0</v>
      </c>
      <c r="K486">
        <v>1.6220019300000019</v>
      </c>
      <c r="L486">
        <v>-163.0306033017759</v>
      </c>
      <c r="M486">
        <v>0</v>
      </c>
      <c r="N486">
        <v>0</v>
      </c>
      <c r="O486">
        <v>1.091601371778754</v>
      </c>
      <c r="P486">
        <v>49688.065000000002</v>
      </c>
    </row>
    <row r="487" spans="1:16" x14ac:dyDescent="0.25">
      <c r="A487" s="10">
        <v>38331</v>
      </c>
      <c r="B487">
        <v>4.4859999999973894</v>
      </c>
      <c r="C487">
        <v>220.86699999999999</v>
      </c>
      <c r="D487">
        <v>0</v>
      </c>
      <c r="E487">
        <v>0</v>
      </c>
      <c r="F487">
        <v>0</v>
      </c>
      <c r="G487">
        <v>-49.233000012549986</v>
      </c>
      <c r="H487">
        <v>-183.2549999999992</v>
      </c>
      <c r="I487">
        <v>0</v>
      </c>
      <c r="J487">
        <v>0</v>
      </c>
      <c r="K487">
        <v>0.49086801000000002</v>
      </c>
      <c r="L487">
        <v>0</v>
      </c>
      <c r="M487">
        <v>0</v>
      </c>
      <c r="N487">
        <v>0</v>
      </c>
      <c r="O487">
        <v>15.61613200254658</v>
      </c>
      <c r="P487">
        <v>49692.550999999999</v>
      </c>
    </row>
    <row r="488" spans="1:16" x14ac:dyDescent="0.25">
      <c r="A488" s="10">
        <v>38334</v>
      </c>
      <c r="B488">
        <v>290.40899999999908</v>
      </c>
      <c r="C488">
        <v>223.226</v>
      </c>
      <c r="D488">
        <v>0</v>
      </c>
      <c r="E488">
        <v>0</v>
      </c>
      <c r="F488">
        <v>0</v>
      </c>
      <c r="G488">
        <v>-6.2409999999999997</v>
      </c>
      <c r="H488">
        <v>79.738000000000284</v>
      </c>
      <c r="I488">
        <v>0</v>
      </c>
      <c r="J488">
        <v>0</v>
      </c>
      <c r="K488">
        <v>0.55895121000000003</v>
      </c>
      <c r="L488">
        <v>0</v>
      </c>
      <c r="M488">
        <v>0</v>
      </c>
      <c r="N488">
        <v>0</v>
      </c>
      <c r="O488">
        <v>-6.8729512100011299</v>
      </c>
      <c r="P488">
        <v>49982.960000000006</v>
      </c>
    </row>
    <row r="489" spans="1:16" x14ac:dyDescent="0.25">
      <c r="A489" s="10">
        <v>38335</v>
      </c>
      <c r="B489">
        <v>314.92700000000372</v>
      </c>
      <c r="C489">
        <v>223.31100000000001</v>
      </c>
      <c r="D489">
        <v>0</v>
      </c>
      <c r="E489">
        <v>0</v>
      </c>
      <c r="F489">
        <v>0</v>
      </c>
      <c r="G489">
        <v>-10.016</v>
      </c>
      <c r="H489">
        <v>101.652</v>
      </c>
      <c r="I489">
        <v>0</v>
      </c>
      <c r="J489">
        <v>0</v>
      </c>
      <c r="K489">
        <v>0.56232046000000002</v>
      </c>
      <c r="L489">
        <v>0</v>
      </c>
      <c r="M489">
        <v>0</v>
      </c>
      <c r="N489">
        <v>0</v>
      </c>
      <c r="O489">
        <v>-0.58232045999642423</v>
      </c>
      <c r="P489">
        <v>50297.887000000002</v>
      </c>
    </row>
    <row r="490" spans="1:16" x14ac:dyDescent="0.25">
      <c r="A490" s="10">
        <v>38336</v>
      </c>
      <c r="B490">
        <v>-326.19400000000348</v>
      </c>
      <c r="C490">
        <v>222.09800000000001</v>
      </c>
      <c r="D490">
        <v>-1260.000000010325</v>
      </c>
      <c r="E490">
        <v>1260.000000010325</v>
      </c>
      <c r="F490">
        <v>0</v>
      </c>
      <c r="G490">
        <v>18.529519429458109</v>
      </c>
      <c r="H490">
        <v>-556.05500000000029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-10.766519429461249</v>
      </c>
      <c r="P490">
        <v>49971.692999999999</v>
      </c>
    </row>
    <row r="491" spans="1:16" x14ac:dyDescent="0.25">
      <c r="A491" s="10">
        <v>38337</v>
      </c>
      <c r="B491">
        <v>815.58800000000406</v>
      </c>
      <c r="C491">
        <v>228.631</v>
      </c>
      <c r="D491">
        <v>0</v>
      </c>
      <c r="E491">
        <v>0</v>
      </c>
      <c r="F491">
        <v>0</v>
      </c>
      <c r="G491">
        <v>-6.9249999999999998</v>
      </c>
      <c r="H491">
        <v>589.09500000000025</v>
      </c>
      <c r="I491">
        <v>0</v>
      </c>
      <c r="J491">
        <v>0</v>
      </c>
      <c r="K491">
        <v>0.88400780999999995</v>
      </c>
      <c r="L491">
        <v>0</v>
      </c>
      <c r="M491">
        <v>0</v>
      </c>
      <c r="N491">
        <v>0</v>
      </c>
      <c r="O491">
        <v>3.9029921900038289</v>
      </c>
      <c r="P491">
        <v>50787.281000000003</v>
      </c>
    </row>
    <row r="492" spans="1:16" x14ac:dyDescent="0.25">
      <c r="A492" s="10">
        <v>38338</v>
      </c>
      <c r="B492">
        <v>557.81700000000194</v>
      </c>
      <c r="C492">
        <v>224.19200000000001</v>
      </c>
      <c r="D492">
        <v>0</v>
      </c>
      <c r="E492">
        <v>0</v>
      </c>
      <c r="F492">
        <v>0</v>
      </c>
      <c r="G492">
        <v>-1.466999999999999</v>
      </c>
      <c r="H492">
        <v>-180.7020000000002</v>
      </c>
      <c r="I492">
        <v>0</v>
      </c>
      <c r="J492">
        <v>0</v>
      </c>
      <c r="K492">
        <v>0.57956165999999998</v>
      </c>
      <c r="L492">
        <v>506.29640925307211</v>
      </c>
      <c r="M492">
        <v>0</v>
      </c>
      <c r="N492">
        <v>0</v>
      </c>
      <c r="O492">
        <v>8.9180290869301189</v>
      </c>
      <c r="P492">
        <v>51345.098000000013</v>
      </c>
    </row>
    <row r="493" spans="1:16" x14ac:dyDescent="0.25">
      <c r="A493" s="10">
        <v>38341</v>
      </c>
      <c r="B493">
        <v>152.90899999999249</v>
      </c>
      <c r="C493">
        <v>150.31200000000001</v>
      </c>
      <c r="D493">
        <v>0</v>
      </c>
      <c r="E493">
        <v>0</v>
      </c>
      <c r="F493">
        <v>0</v>
      </c>
      <c r="G493">
        <v>59.309000000000083</v>
      </c>
      <c r="H493">
        <v>-59.030000000000648</v>
      </c>
      <c r="I493">
        <v>0</v>
      </c>
      <c r="J493">
        <v>0</v>
      </c>
      <c r="K493">
        <v>0.54227276000000002</v>
      </c>
      <c r="L493">
        <v>0</v>
      </c>
      <c r="M493">
        <v>0</v>
      </c>
      <c r="N493">
        <v>0</v>
      </c>
      <c r="O493">
        <v>1.7757272399931081</v>
      </c>
      <c r="P493">
        <v>51498.006999999998</v>
      </c>
    </row>
    <row r="494" spans="1:16" x14ac:dyDescent="0.25">
      <c r="A494" s="10">
        <v>38342</v>
      </c>
      <c r="B494">
        <v>168.18800000000209</v>
      </c>
      <c r="C494">
        <v>216</v>
      </c>
      <c r="D494">
        <v>0</v>
      </c>
      <c r="E494">
        <v>0</v>
      </c>
      <c r="F494">
        <v>0</v>
      </c>
      <c r="G494">
        <v>6.6820000000000022</v>
      </c>
      <c r="H494">
        <v>-67.589999999999236</v>
      </c>
      <c r="I494">
        <v>0</v>
      </c>
      <c r="J494">
        <v>0</v>
      </c>
      <c r="K494">
        <v>0.54384270999999995</v>
      </c>
      <c r="L494">
        <v>0</v>
      </c>
      <c r="M494">
        <v>0</v>
      </c>
      <c r="N494">
        <v>0</v>
      </c>
      <c r="O494">
        <v>12.552157290001331</v>
      </c>
      <c r="P494">
        <v>51666.195</v>
      </c>
    </row>
    <row r="495" spans="1:16" x14ac:dyDescent="0.25">
      <c r="A495" s="10">
        <v>38343</v>
      </c>
      <c r="B495">
        <v>-606.76000000000192</v>
      </c>
      <c r="C495">
        <v>133.66300000000001</v>
      </c>
      <c r="D495">
        <v>0</v>
      </c>
      <c r="E495">
        <v>0</v>
      </c>
      <c r="F495">
        <v>0</v>
      </c>
      <c r="G495">
        <v>-5.5750000000000002</v>
      </c>
      <c r="H495">
        <v>-462.27800000000019</v>
      </c>
      <c r="I495">
        <v>0</v>
      </c>
      <c r="J495">
        <v>0</v>
      </c>
      <c r="K495">
        <v>0.26660215999999998</v>
      </c>
      <c r="L495">
        <v>-270.51903971784628</v>
      </c>
      <c r="M495">
        <v>0</v>
      </c>
      <c r="N495">
        <v>0</v>
      </c>
      <c r="O495">
        <v>-2.3175624421553489</v>
      </c>
      <c r="P495">
        <v>51059.434999999998</v>
      </c>
    </row>
    <row r="496" spans="1:16" x14ac:dyDescent="0.25">
      <c r="A496" s="10">
        <v>38344</v>
      </c>
      <c r="B496">
        <v>176.51000000000181</v>
      </c>
      <c r="C496">
        <v>208.417</v>
      </c>
      <c r="D496">
        <v>0</v>
      </c>
      <c r="E496">
        <v>0</v>
      </c>
      <c r="F496">
        <v>0</v>
      </c>
      <c r="G496">
        <v>-5.9638162238890002</v>
      </c>
      <c r="H496">
        <v>-33.946999999999207</v>
      </c>
      <c r="I496">
        <v>0</v>
      </c>
      <c r="J496">
        <v>0</v>
      </c>
      <c r="K496">
        <v>0.59744982000000002</v>
      </c>
      <c r="L496">
        <v>0</v>
      </c>
      <c r="M496">
        <v>0</v>
      </c>
      <c r="N496">
        <v>0</v>
      </c>
      <c r="O496">
        <v>7.4063664038899617</v>
      </c>
      <c r="P496">
        <v>51235.945</v>
      </c>
    </row>
    <row r="497" spans="1:16" x14ac:dyDescent="0.25">
      <c r="A497" s="10">
        <v>38345</v>
      </c>
      <c r="B497">
        <v>161.20500000000129</v>
      </c>
      <c r="C497">
        <v>0.13500000000000001</v>
      </c>
      <c r="D497">
        <v>0</v>
      </c>
      <c r="E497">
        <v>0</v>
      </c>
      <c r="F497">
        <v>0</v>
      </c>
      <c r="G497">
        <v>-0.57800000000000029</v>
      </c>
      <c r="H497">
        <v>160.97400000000019</v>
      </c>
      <c r="I497">
        <v>0</v>
      </c>
      <c r="J497">
        <v>0</v>
      </c>
      <c r="K497">
        <v>0.66536821000000002</v>
      </c>
      <c r="L497">
        <v>0</v>
      </c>
      <c r="M497">
        <v>0</v>
      </c>
      <c r="N497">
        <v>0</v>
      </c>
      <c r="O497">
        <v>8.6317900011465554E-3</v>
      </c>
      <c r="P497">
        <v>51397.149999999987</v>
      </c>
    </row>
    <row r="498" spans="1:16" x14ac:dyDescent="0.25">
      <c r="A498" s="10">
        <v>38348</v>
      </c>
      <c r="B498">
        <v>247.71300000000369</v>
      </c>
      <c r="C498">
        <v>238.45599999999999</v>
      </c>
      <c r="D498">
        <v>0</v>
      </c>
      <c r="E498">
        <v>0</v>
      </c>
      <c r="F498">
        <v>0</v>
      </c>
      <c r="G498">
        <v>-3.976</v>
      </c>
      <c r="H498">
        <v>11.841000000000349</v>
      </c>
      <c r="I498">
        <v>0</v>
      </c>
      <c r="J498">
        <v>0</v>
      </c>
      <c r="K498">
        <v>0.54902298999999999</v>
      </c>
      <c r="L498">
        <v>0</v>
      </c>
      <c r="M498">
        <v>0</v>
      </c>
      <c r="N498">
        <v>0</v>
      </c>
      <c r="O498">
        <v>0.84297701000334424</v>
      </c>
      <c r="P498">
        <v>51644.862999999998</v>
      </c>
    </row>
    <row r="499" spans="1:16" x14ac:dyDescent="0.25">
      <c r="A499" s="10">
        <v>38349</v>
      </c>
      <c r="B499">
        <v>113.36899999999859</v>
      </c>
      <c r="C499">
        <v>104.268</v>
      </c>
      <c r="D499">
        <v>0</v>
      </c>
      <c r="E499">
        <v>0</v>
      </c>
      <c r="F499">
        <v>0</v>
      </c>
      <c r="G499">
        <v>0.92800000000000438</v>
      </c>
      <c r="H499">
        <v>6.4279999999998836</v>
      </c>
      <c r="I499">
        <v>0</v>
      </c>
      <c r="J499">
        <v>0</v>
      </c>
      <c r="K499">
        <v>0.54597275000000001</v>
      </c>
      <c r="L499">
        <v>0</v>
      </c>
      <c r="M499">
        <v>0</v>
      </c>
      <c r="N499">
        <v>0</v>
      </c>
      <c r="O499">
        <v>1.1990272499987451</v>
      </c>
      <c r="P499">
        <v>51758.232000000004</v>
      </c>
    </row>
    <row r="500" spans="1:16" x14ac:dyDescent="0.25">
      <c r="A500" s="10">
        <v>38350</v>
      </c>
      <c r="B500">
        <v>-4.3199999999994816</v>
      </c>
      <c r="C500">
        <v>296.42099999999999</v>
      </c>
      <c r="D500">
        <v>0</v>
      </c>
      <c r="E500">
        <v>0</v>
      </c>
      <c r="F500">
        <v>0</v>
      </c>
      <c r="G500">
        <v>-8.3979999999999961</v>
      </c>
      <c r="H500">
        <v>101.12400000000071</v>
      </c>
      <c r="I500">
        <v>0</v>
      </c>
      <c r="J500">
        <v>0</v>
      </c>
      <c r="K500">
        <v>0.48991254000000001</v>
      </c>
      <c r="L500">
        <v>-391.69507582337923</v>
      </c>
      <c r="M500">
        <v>0</v>
      </c>
      <c r="N500">
        <v>0</v>
      </c>
      <c r="O500">
        <v>-2.2618367166210191</v>
      </c>
      <c r="P500">
        <v>51753.911999999997</v>
      </c>
    </row>
    <row r="501" spans="1:16" x14ac:dyDescent="0.25">
      <c r="A501" s="10">
        <v>38351</v>
      </c>
      <c r="B501">
        <v>339.0799999999939</v>
      </c>
      <c r="C501">
        <v>299.48700000000002</v>
      </c>
      <c r="D501">
        <v>0</v>
      </c>
      <c r="E501">
        <v>0</v>
      </c>
      <c r="F501">
        <v>0</v>
      </c>
      <c r="G501">
        <v>-0.30799999999999977</v>
      </c>
      <c r="H501">
        <v>-7.4919999999992797</v>
      </c>
      <c r="I501">
        <v>0</v>
      </c>
      <c r="J501">
        <v>0</v>
      </c>
      <c r="K501">
        <v>0.61541427999999998</v>
      </c>
      <c r="L501">
        <v>0</v>
      </c>
      <c r="M501">
        <v>0</v>
      </c>
      <c r="N501">
        <v>0</v>
      </c>
      <c r="O501">
        <v>46.777585719993233</v>
      </c>
      <c r="P501">
        <v>52092.991999999998</v>
      </c>
    </row>
    <row r="502" spans="1:16" x14ac:dyDescent="0.25">
      <c r="A502" s="10">
        <v>38352</v>
      </c>
      <c r="B502">
        <v>384.41400000000442</v>
      </c>
      <c r="C502">
        <v>2.5459999999999998</v>
      </c>
      <c r="D502">
        <v>0</v>
      </c>
      <c r="E502">
        <v>0</v>
      </c>
      <c r="F502">
        <v>0</v>
      </c>
      <c r="G502">
        <v>-7.2540000000000013</v>
      </c>
      <c r="H502">
        <v>388.60599999999982</v>
      </c>
      <c r="I502">
        <v>0</v>
      </c>
      <c r="J502">
        <v>0</v>
      </c>
      <c r="K502">
        <v>0.58818935999999999</v>
      </c>
      <c r="L502">
        <v>0</v>
      </c>
      <c r="M502">
        <v>0</v>
      </c>
      <c r="N502">
        <v>0</v>
      </c>
      <c r="O502">
        <v>-7.2189359995320501E-2</v>
      </c>
      <c r="P502">
        <v>52477.406000000003</v>
      </c>
    </row>
    <row r="503" spans="1:16" x14ac:dyDescent="0.25">
      <c r="A503" s="10">
        <v>38355</v>
      </c>
      <c r="B503">
        <v>59.584490049994578</v>
      </c>
      <c r="C503">
        <v>59.281500000000001</v>
      </c>
      <c r="D503">
        <v>0</v>
      </c>
      <c r="E503">
        <v>0</v>
      </c>
      <c r="F503">
        <v>0</v>
      </c>
      <c r="G503">
        <v>-55.677344000000012</v>
      </c>
      <c r="H503">
        <v>58.006747999999789</v>
      </c>
      <c r="I503">
        <v>0</v>
      </c>
      <c r="J503">
        <v>0</v>
      </c>
      <c r="K503">
        <v>0.54334590000000005</v>
      </c>
      <c r="L503">
        <v>-0.08</v>
      </c>
      <c r="M503">
        <v>0</v>
      </c>
      <c r="N503">
        <v>0</v>
      </c>
      <c r="O503">
        <v>-2.4897598500052038</v>
      </c>
      <c r="P503">
        <v>52536.990490049997</v>
      </c>
    </row>
    <row r="504" spans="1:16" x14ac:dyDescent="0.25">
      <c r="A504" s="10">
        <v>38356</v>
      </c>
      <c r="B504">
        <v>-227.3684740999955</v>
      </c>
      <c r="C504">
        <v>5.1716987699999999</v>
      </c>
      <c r="D504">
        <v>0</v>
      </c>
      <c r="E504">
        <v>0</v>
      </c>
      <c r="F504">
        <v>0</v>
      </c>
      <c r="G504">
        <v>-6.1808900000000051</v>
      </c>
      <c r="H504">
        <v>-14.09257600000274</v>
      </c>
      <c r="I504">
        <v>0</v>
      </c>
      <c r="J504">
        <v>-137.55999999999949</v>
      </c>
      <c r="K504">
        <v>-59.47710876999998</v>
      </c>
      <c r="L504">
        <v>0</v>
      </c>
      <c r="M504">
        <v>0</v>
      </c>
      <c r="N504">
        <v>0</v>
      </c>
      <c r="O504">
        <v>-15.22959809999332</v>
      </c>
      <c r="P504">
        <v>52309.622015950001</v>
      </c>
    </row>
    <row r="505" spans="1:16" x14ac:dyDescent="0.25">
      <c r="A505" s="10">
        <v>38357</v>
      </c>
      <c r="B505">
        <v>-451.99588555999838</v>
      </c>
      <c r="C505">
        <v>60.586500000000001</v>
      </c>
      <c r="D505">
        <v>0</v>
      </c>
      <c r="E505">
        <v>0</v>
      </c>
      <c r="F505">
        <v>0</v>
      </c>
      <c r="G505">
        <v>-6.1237660000000034</v>
      </c>
      <c r="H505">
        <v>-218.16440485000109</v>
      </c>
      <c r="I505">
        <v>0</v>
      </c>
      <c r="J505">
        <v>0</v>
      </c>
      <c r="K505">
        <v>0.44146615</v>
      </c>
      <c r="L505">
        <v>-290.90140679096987</v>
      </c>
      <c r="M505">
        <v>0</v>
      </c>
      <c r="N505">
        <v>0</v>
      </c>
      <c r="O505">
        <v>2.1657259309725991</v>
      </c>
      <c r="P505">
        <v>51857.626130390003</v>
      </c>
    </row>
    <row r="506" spans="1:16" x14ac:dyDescent="0.25">
      <c r="A506" s="10">
        <v>38358</v>
      </c>
      <c r="B506">
        <v>-32.377141390003288</v>
      </c>
      <c r="C506">
        <v>0</v>
      </c>
      <c r="D506">
        <v>0</v>
      </c>
      <c r="E506">
        <v>0</v>
      </c>
      <c r="F506">
        <v>0</v>
      </c>
      <c r="G506">
        <v>-38.342871000000017</v>
      </c>
      <c r="H506">
        <v>-113.18000000000031</v>
      </c>
      <c r="I506">
        <v>0</v>
      </c>
      <c r="J506">
        <v>0</v>
      </c>
      <c r="K506">
        <v>0.61731716999999997</v>
      </c>
      <c r="L506">
        <v>0</v>
      </c>
      <c r="M506">
        <v>0</v>
      </c>
      <c r="N506">
        <v>0</v>
      </c>
      <c r="O506">
        <v>118.528412439997</v>
      </c>
      <c r="P506">
        <v>51825.248989</v>
      </c>
    </row>
    <row r="507" spans="1:16" x14ac:dyDescent="0.25">
      <c r="A507" s="10">
        <v>38359</v>
      </c>
      <c r="B507">
        <v>-252.11292999999631</v>
      </c>
      <c r="C507">
        <v>119.129565</v>
      </c>
      <c r="D507">
        <v>0</v>
      </c>
      <c r="E507">
        <v>0</v>
      </c>
      <c r="F507">
        <v>0</v>
      </c>
      <c r="G507">
        <v>-4.1076752565999968</v>
      </c>
      <c r="H507">
        <v>-361.8623690000004</v>
      </c>
      <c r="I507">
        <v>0</v>
      </c>
      <c r="J507">
        <v>0</v>
      </c>
      <c r="K507">
        <v>0.40629492</v>
      </c>
      <c r="L507">
        <v>0</v>
      </c>
      <c r="M507">
        <v>0</v>
      </c>
      <c r="N507">
        <v>0</v>
      </c>
      <c r="O507">
        <v>-5.6787456633959152</v>
      </c>
      <c r="P507">
        <v>51573.136058999997</v>
      </c>
    </row>
    <row r="508" spans="1:16" x14ac:dyDescent="0.25">
      <c r="A508" s="10">
        <v>38362</v>
      </c>
      <c r="B508">
        <v>-1021.951991120005</v>
      </c>
      <c r="C508">
        <v>30.47963</v>
      </c>
      <c r="D508">
        <v>0</v>
      </c>
      <c r="E508">
        <v>0</v>
      </c>
      <c r="F508">
        <v>0</v>
      </c>
      <c r="G508">
        <v>13.212196000000009</v>
      </c>
      <c r="H508">
        <v>-1073.1802009999999</v>
      </c>
      <c r="I508">
        <v>0</v>
      </c>
      <c r="J508">
        <v>0</v>
      </c>
      <c r="K508">
        <v>0.51719921000000002</v>
      </c>
      <c r="L508">
        <v>0</v>
      </c>
      <c r="M508">
        <v>0</v>
      </c>
      <c r="N508">
        <v>0</v>
      </c>
      <c r="O508">
        <v>7.019184669995675</v>
      </c>
      <c r="P508">
        <v>50551.18406788</v>
      </c>
    </row>
    <row r="509" spans="1:16" x14ac:dyDescent="0.25">
      <c r="A509" s="10">
        <v>38363</v>
      </c>
      <c r="B509">
        <v>-346.09591088000121</v>
      </c>
      <c r="C509">
        <v>0.13845199999999999</v>
      </c>
      <c r="D509">
        <v>0</v>
      </c>
      <c r="E509">
        <v>0</v>
      </c>
      <c r="F509">
        <v>0</v>
      </c>
      <c r="G509">
        <v>-5.4179249999999968</v>
      </c>
      <c r="H509">
        <v>-341.65000000000049</v>
      </c>
      <c r="I509">
        <v>0</v>
      </c>
      <c r="J509">
        <v>0</v>
      </c>
      <c r="K509">
        <v>0.55253682999999998</v>
      </c>
      <c r="L509">
        <v>0</v>
      </c>
      <c r="M509">
        <v>0</v>
      </c>
      <c r="N509">
        <v>0</v>
      </c>
      <c r="O509">
        <v>0.28102528999937698</v>
      </c>
      <c r="P509">
        <v>50205.088156999998</v>
      </c>
    </row>
    <row r="510" spans="1:16" x14ac:dyDescent="0.25">
      <c r="A510" s="10">
        <v>38364</v>
      </c>
      <c r="B510">
        <v>-389.86482855999969</v>
      </c>
      <c r="C510">
        <v>7.3999999999999996E-2</v>
      </c>
      <c r="D510">
        <v>0</v>
      </c>
      <c r="E510">
        <v>0</v>
      </c>
      <c r="F510">
        <v>0</v>
      </c>
      <c r="G510">
        <v>-8.789350000000006</v>
      </c>
      <c r="H510">
        <v>-365.78600000000012</v>
      </c>
      <c r="I510">
        <v>0</v>
      </c>
      <c r="J510">
        <v>0</v>
      </c>
      <c r="K510">
        <v>0.54606595000000002</v>
      </c>
      <c r="L510">
        <v>25.85135992431865</v>
      </c>
      <c r="M510">
        <v>0</v>
      </c>
      <c r="N510">
        <v>0</v>
      </c>
      <c r="O510">
        <v>-41.760904434318327</v>
      </c>
      <c r="P510">
        <v>49815.223328439999</v>
      </c>
    </row>
    <row r="511" spans="1:16" x14ac:dyDescent="0.25">
      <c r="A511" s="10">
        <v>38365</v>
      </c>
      <c r="B511">
        <v>20.651168559998268</v>
      </c>
      <c r="C511">
        <v>146.88399999999999</v>
      </c>
      <c r="D511">
        <v>0</v>
      </c>
      <c r="E511">
        <v>0</v>
      </c>
      <c r="F511">
        <v>0</v>
      </c>
      <c r="G511">
        <v>-59.440674999999999</v>
      </c>
      <c r="H511">
        <v>-86.351386000000275</v>
      </c>
      <c r="I511">
        <v>0</v>
      </c>
      <c r="J511">
        <v>0</v>
      </c>
      <c r="K511">
        <v>17.843</v>
      </c>
      <c r="L511">
        <v>0</v>
      </c>
      <c r="M511">
        <v>0</v>
      </c>
      <c r="N511">
        <v>0</v>
      </c>
      <c r="O511">
        <v>1.7162295599985531</v>
      </c>
      <c r="P511">
        <v>49835.874496999997</v>
      </c>
    </row>
    <row r="512" spans="1:16" x14ac:dyDescent="0.25">
      <c r="A512" s="10">
        <v>38366</v>
      </c>
      <c r="B512">
        <v>-509.09238699999759</v>
      </c>
      <c r="C512">
        <v>85.307310999999999</v>
      </c>
      <c r="D512">
        <v>0</v>
      </c>
      <c r="E512">
        <v>0</v>
      </c>
      <c r="F512">
        <v>0</v>
      </c>
      <c r="G512">
        <v>39.774971999999991</v>
      </c>
      <c r="H512">
        <v>-564.97000000000025</v>
      </c>
      <c r="I512">
        <v>0</v>
      </c>
      <c r="J512">
        <v>0</v>
      </c>
      <c r="K512">
        <v>3.5400254699999998</v>
      </c>
      <c r="L512">
        <v>0</v>
      </c>
      <c r="M512">
        <v>0</v>
      </c>
      <c r="N512">
        <v>0</v>
      </c>
      <c r="O512">
        <v>-72.744695469997339</v>
      </c>
      <c r="P512">
        <v>49326.78211</v>
      </c>
    </row>
    <row r="513" spans="1:16" x14ac:dyDescent="0.25">
      <c r="A513" s="10">
        <v>38369</v>
      </c>
      <c r="B513">
        <v>489.09032199999569</v>
      </c>
      <c r="C513">
        <v>0</v>
      </c>
      <c r="D513">
        <v>0</v>
      </c>
      <c r="E513">
        <v>0</v>
      </c>
      <c r="F513">
        <v>0</v>
      </c>
      <c r="G513">
        <v>8.3675479999999993</v>
      </c>
      <c r="H513">
        <v>479.24992200000003</v>
      </c>
      <c r="I513">
        <v>0</v>
      </c>
      <c r="J513">
        <v>0</v>
      </c>
      <c r="K513">
        <v>1.13857863</v>
      </c>
      <c r="L513">
        <v>0</v>
      </c>
      <c r="M513">
        <v>0</v>
      </c>
      <c r="N513">
        <v>0</v>
      </c>
      <c r="O513">
        <v>0.33427336999574209</v>
      </c>
      <c r="P513">
        <v>49815.872431999996</v>
      </c>
    </row>
    <row r="514" spans="1:16" x14ac:dyDescent="0.25">
      <c r="A514" s="10">
        <v>38370</v>
      </c>
      <c r="B514">
        <v>-226.76500699999411</v>
      </c>
      <c r="C514">
        <v>19.497488000000001</v>
      </c>
      <c r="D514">
        <v>0</v>
      </c>
      <c r="E514">
        <v>0</v>
      </c>
      <c r="F514">
        <v>0</v>
      </c>
      <c r="G514">
        <v>-24.919616992832001</v>
      </c>
      <c r="H514">
        <v>-222.41185799999951</v>
      </c>
      <c r="I514">
        <v>0</v>
      </c>
      <c r="J514">
        <v>0</v>
      </c>
      <c r="K514">
        <v>0.79153722000000004</v>
      </c>
      <c r="L514">
        <v>0</v>
      </c>
      <c r="M514">
        <v>0</v>
      </c>
      <c r="N514">
        <v>0</v>
      </c>
      <c r="O514">
        <v>0.27744277283741781</v>
      </c>
      <c r="P514">
        <v>49589.107425000002</v>
      </c>
    </row>
    <row r="515" spans="1:16" x14ac:dyDescent="0.25">
      <c r="A515" s="10">
        <v>38371</v>
      </c>
      <c r="B515">
        <v>-361.08048800000711</v>
      </c>
      <c r="C515">
        <v>0</v>
      </c>
      <c r="D515">
        <v>0</v>
      </c>
      <c r="E515">
        <v>0</v>
      </c>
      <c r="F515">
        <v>0</v>
      </c>
      <c r="G515">
        <v>73.088478000000009</v>
      </c>
      <c r="H515">
        <v>-234.61892699999859</v>
      </c>
      <c r="I515">
        <v>0</v>
      </c>
      <c r="J515">
        <v>0</v>
      </c>
      <c r="K515">
        <v>0.79176203999999994</v>
      </c>
      <c r="L515">
        <v>-199.6033016551641</v>
      </c>
      <c r="M515">
        <v>0</v>
      </c>
      <c r="N515">
        <v>0</v>
      </c>
      <c r="O515">
        <v>-0.73849938484445377</v>
      </c>
      <c r="P515">
        <v>49228.026937000002</v>
      </c>
    </row>
    <row r="516" spans="1:16" x14ac:dyDescent="0.25">
      <c r="A516" s="10">
        <v>38372</v>
      </c>
      <c r="B516">
        <v>375.68506300000581</v>
      </c>
      <c r="C516">
        <v>1.5911999999999999E-2</v>
      </c>
      <c r="D516">
        <v>0</v>
      </c>
      <c r="E516">
        <v>600</v>
      </c>
      <c r="F516">
        <v>0</v>
      </c>
      <c r="G516">
        <v>-86.641861000000006</v>
      </c>
      <c r="H516">
        <v>-139.03999999999911</v>
      </c>
      <c r="I516">
        <v>0</v>
      </c>
      <c r="J516">
        <v>0</v>
      </c>
      <c r="K516">
        <v>0.78519353000000003</v>
      </c>
      <c r="L516">
        <v>0</v>
      </c>
      <c r="M516">
        <v>0</v>
      </c>
      <c r="N516">
        <v>0</v>
      </c>
      <c r="O516">
        <v>0.56581847000484231</v>
      </c>
      <c r="P516">
        <v>49603.712</v>
      </c>
    </row>
    <row r="517" spans="1:16" x14ac:dyDescent="0.25">
      <c r="A517" s="10">
        <v>38373</v>
      </c>
      <c r="B517">
        <v>-178.57925100000361</v>
      </c>
      <c r="C517">
        <v>0.12800600000000001</v>
      </c>
      <c r="D517">
        <v>0</v>
      </c>
      <c r="E517">
        <v>0</v>
      </c>
      <c r="F517">
        <v>0</v>
      </c>
      <c r="G517">
        <v>11.85619299999999</v>
      </c>
      <c r="H517">
        <v>-210.0700000000015</v>
      </c>
      <c r="I517">
        <v>0</v>
      </c>
      <c r="J517">
        <v>0</v>
      </c>
      <c r="K517">
        <v>0.93317709000000004</v>
      </c>
      <c r="L517">
        <v>17.93</v>
      </c>
      <c r="M517">
        <v>0</v>
      </c>
      <c r="N517">
        <v>0</v>
      </c>
      <c r="O517">
        <v>0.64337290999793595</v>
      </c>
      <c r="P517">
        <v>49425.132748999997</v>
      </c>
    </row>
    <row r="518" spans="1:16" x14ac:dyDescent="0.25">
      <c r="A518" s="10">
        <v>38376</v>
      </c>
      <c r="B518">
        <v>133.3637299999977</v>
      </c>
      <c r="C518">
        <v>73.393999999999991</v>
      </c>
      <c r="D518">
        <v>0</v>
      </c>
      <c r="E518">
        <v>0</v>
      </c>
      <c r="F518">
        <v>0</v>
      </c>
      <c r="G518">
        <v>81.281807000000001</v>
      </c>
      <c r="H518">
        <v>-22.65915999999925</v>
      </c>
      <c r="I518">
        <v>0</v>
      </c>
      <c r="J518">
        <v>0</v>
      </c>
      <c r="K518">
        <v>0.88219393000000002</v>
      </c>
      <c r="L518">
        <v>0</v>
      </c>
      <c r="M518">
        <v>0</v>
      </c>
      <c r="N518">
        <v>0</v>
      </c>
      <c r="O518">
        <v>0.46488906999692858</v>
      </c>
      <c r="P518">
        <v>49558.496478999987</v>
      </c>
    </row>
    <row r="519" spans="1:16" x14ac:dyDescent="0.25">
      <c r="A519" s="10">
        <v>38377</v>
      </c>
      <c r="B519">
        <v>-1939.463563999999</v>
      </c>
      <c r="C519">
        <v>134.47194200000001</v>
      </c>
      <c r="D519">
        <v>0</v>
      </c>
      <c r="E519">
        <v>-1800</v>
      </c>
      <c r="F519">
        <v>0</v>
      </c>
      <c r="G519">
        <v>-5.8573060000000003</v>
      </c>
      <c r="H519">
        <v>-269.02536900000092</v>
      </c>
      <c r="I519">
        <v>0</v>
      </c>
      <c r="J519">
        <v>0</v>
      </c>
      <c r="K519">
        <v>0.91078247999999995</v>
      </c>
      <c r="L519">
        <v>0</v>
      </c>
      <c r="M519">
        <v>0</v>
      </c>
      <c r="N519">
        <v>0</v>
      </c>
      <c r="O519">
        <v>3.638652000166076E-2</v>
      </c>
      <c r="P519">
        <v>47619.032915000003</v>
      </c>
    </row>
    <row r="520" spans="1:16" x14ac:dyDescent="0.25">
      <c r="A520" s="10">
        <v>38378</v>
      </c>
      <c r="B520">
        <v>-70.348860999998237</v>
      </c>
      <c r="C520">
        <v>30.864000000000001</v>
      </c>
      <c r="D520">
        <v>0</v>
      </c>
      <c r="E520">
        <v>0</v>
      </c>
      <c r="F520">
        <v>0</v>
      </c>
      <c r="G520">
        <v>-6.6106879999999997</v>
      </c>
      <c r="H520">
        <v>96.493760999999722</v>
      </c>
      <c r="I520">
        <v>0</v>
      </c>
      <c r="J520">
        <v>0</v>
      </c>
      <c r="K520">
        <v>0.91549977999999999</v>
      </c>
      <c r="L520">
        <v>-204.03096362064781</v>
      </c>
      <c r="M520">
        <v>0</v>
      </c>
      <c r="N520">
        <v>0</v>
      </c>
      <c r="O520">
        <v>12.019529840649801</v>
      </c>
      <c r="P520">
        <v>47548.684053999998</v>
      </c>
    </row>
    <row r="521" spans="1:16" x14ac:dyDescent="0.25">
      <c r="A521" s="10">
        <v>38379</v>
      </c>
      <c r="B521">
        <v>1304.110475000002</v>
      </c>
      <c r="C521">
        <v>46.790999999999997</v>
      </c>
      <c r="D521">
        <v>0</v>
      </c>
      <c r="E521">
        <v>1200</v>
      </c>
      <c r="F521">
        <v>0</v>
      </c>
      <c r="G521">
        <v>-5.1816000000000004</v>
      </c>
      <c r="H521">
        <v>56.612932000000001</v>
      </c>
      <c r="I521">
        <v>0</v>
      </c>
      <c r="J521">
        <v>0</v>
      </c>
      <c r="K521">
        <v>0.85760133999999999</v>
      </c>
      <c r="L521">
        <v>0</v>
      </c>
      <c r="M521">
        <v>0</v>
      </c>
      <c r="N521">
        <v>0</v>
      </c>
      <c r="O521">
        <v>5.0305416600015178</v>
      </c>
      <c r="P521">
        <v>48852.794528999999</v>
      </c>
    </row>
    <row r="522" spans="1:16" x14ac:dyDescent="0.25">
      <c r="A522" s="10">
        <v>38380</v>
      </c>
      <c r="B522">
        <v>107.5163939999992</v>
      </c>
      <c r="C522">
        <v>42.676043999999997</v>
      </c>
      <c r="D522">
        <v>0</v>
      </c>
      <c r="E522">
        <v>0</v>
      </c>
      <c r="F522">
        <v>0</v>
      </c>
      <c r="G522">
        <v>-4.5792599999999997</v>
      </c>
      <c r="H522">
        <v>67.449392000000444</v>
      </c>
      <c r="I522">
        <v>0</v>
      </c>
      <c r="J522">
        <v>0</v>
      </c>
      <c r="K522">
        <v>1.04166643</v>
      </c>
      <c r="L522">
        <v>0</v>
      </c>
      <c r="M522">
        <v>0</v>
      </c>
      <c r="N522">
        <v>0</v>
      </c>
      <c r="O522">
        <v>0.9285515699987883</v>
      </c>
      <c r="P522">
        <v>48960.310922999997</v>
      </c>
    </row>
    <row r="523" spans="1:16" x14ac:dyDescent="0.25">
      <c r="A523" s="10">
        <v>38383</v>
      </c>
      <c r="B523">
        <v>402.20348599999937</v>
      </c>
      <c r="C523">
        <v>77.546854999999994</v>
      </c>
      <c r="D523">
        <v>0</v>
      </c>
      <c r="E523">
        <v>0</v>
      </c>
      <c r="F523">
        <v>0</v>
      </c>
      <c r="G523">
        <v>62.729493999999931</v>
      </c>
      <c r="H523">
        <v>268.64072700000003</v>
      </c>
      <c r="I523">
        <v>0</v>
      </c>
      <c r="J523">
        <v>0</v>
      </c>
      <c r="K523">
        <v>0.89227319999999999</v>
      </c>
      <c r="L523">
        <v>0</v>
      </c>
      <c r="M523">
        <v>0</v>
      </c>
      <c r="N523">
        <v>0</v>
      </c>
      <c r="O523">
        <v>-7.6058632000004858</v>
      </c>
      <c r="P523">
        <v>49362.514409000003</v>
      </c>
    </row>
    <row r="524" spans="1:16" x14ac:dyDescent="0.25">
      <c r="A524" s="10">
        <v>38384</v>
      </c>
      <c r="B524">
        <v>836.97571400000015</v>
      </c>
      <c r="C524">
        <v>131.71873400000001</v>
      </c>
      <c r="D524">
        <v>0</v>
      </c>
      <c r="E524">
        <v>0</v>
      </c>
      <c r="F524">
        <v>0</v>
      </c>
      <c r="G524">
        <v>-95.672843000000015</v>
      </c>
      <c r="H524">
        <v>786.42000000000098</v>
      </c>
      <c r="I524">
        <v>0</v>
      </c>
      <c r="J524">
        <v>0</v>
      </c>
      <c r="K524">
        <v>1.04</v>
      </c>
      <c r="L524">
        <v>0</v>
      </c>
      <c r="M524">
        <v>0</v>
      </c>
      <c r="N524">
        <v>0</v>
      </c>
      <c r="O524">
        <v>13.46982299999922</v>
      </c>
      <c r="P524">
        <v>50199.490123000003</v>
      </c>
    </row>
    <row r="525" spans="1:16" x14ac:dyDescent="0.25">
      <c r="A525" s="10">
        <v>38385</v>
      </c>
      <c r="B525">
        <v>-1058.9777379999939</v>
      </c>
      <c r="C525">
        <v>130.29300000000001</v>
      </c>
      <c r="D525">
        <v>0</v>
      </c>
      <c r="E525">
        <v>0</v>
      </c>
      <c r="F525">
        <v>0</v>
      </c>
      <c r="G525">
        <v>-5.7877970000000003</v>
      </c>
      <c r="H525">
        <v>137.10420900000099</v>
      </c>
      <c r="I525">
        <v>0</v>
      </c>
      <c r="J525">
        <v>-1060.639999999999</v>
      </c>
      <c r="K525">
        <v>-51.455390490000163</v>
      </c>
      <c r="L525">
        <v>-210.02183554117161</v>
      </c>
      <c r="M525">
        <v>0</v>
      </c>
      <c r="N525">
        <v>0</v>
      </c>
      <c r="O525">
        <v>1.5300760311763499</v>
      </c>
      <c r="P525">
        <v>49140.512385000002</v>
      </c>
    </row>
    <row r="526" spans="1:16" x14ac:dyDescent="0.25">
      <c r="A526" s="10">
        <v>38386</v>
      </c>
      <c r="B526">
        <v>154.07886100000169</v>
      </c>
      <c r="C526">
        <v>103.702</v>
      </c>
      <c r="D526">
        <v>0</v>
      </c>
      <c r="E526">
        <v>0</v>
      </c>
      <c r="F526">
        <v>0</v>
      </c>
      <c r="G526">
        <v>1.7837460000000009</v>
      </c>
      <c r="H526">
        <v>206.3332269999992</v>
      </c>
      <c r="I526">
        <v>0</v>
      </c>
      <c r="J526">
        <v>-2.840000000000146</v>
      </c>
      <c r="K526">
        <v>-7.802256160000109</v>
      </c>
      <c r="L526">
        <v>0</v>
      </c>
      <c r="M526">
        <v>0</v>
      </c>
      <c r="N526">
        <v>0</v>
      </c>
      <c r="O526">
        <v>-147.09785583999721</v>
      </c>
      <c r="P526">
        <v>49294.591246000004</v>
      </c>
    </row>
    <row r="527" spans="1:16" x14ac:dyDescent="0.25">
      <c r="A527" s="10">
        <v>38387</v>
      </c>
      <c r="B527">
        <v>221.62212899999571</v>
      </c>
      <c r="C527">
        <v>59.899500000000003</v>
      </c>
      <c r="D527">
        <v>0</v>
      </c>
      <c r="E527">
        <v>0</v>
      </c>
      <c r="F527">
        <v>0</v>
      </c>
      <c r="G527">
        <v>-5.9827460000000201</v>
      </c>
      <c r="H527">
        <v>147.72854499999991</v>
      </c>
      <c r="I527">
        <v>0</v>
      </c>
      <c r="J527">
        <v>0</v>
      </c>
      <c r="K527">
        <v>20.186093759999999</v>
      </c>
      <c r="L527">
        <v>0</v>
      </c>
      <c r="M527">
        <v>0</v>
      </c>
      <c r="N527">
        <v>0</v>
      </c>
      <c r="O527">
        <v>-0.20926376000426219</v>
      </c>
      <c r="P527">
        <v>49516.213374999999</v>
      </c>
    </row>
    <row r="528" spans="1:16" x14ac:dyDescent="0.25">
      <c r="A528" s="10">
        <v>38390</v>
      </c>
      <c r="B528">
        <v>50.827458999999642</v>
      </c>
      <c r="C528">
        <v>23.347999999999999</v>
      </c>
      <c r="D528">
        <v>0</v>
      </c>
      <c r="E528">
        <v>0</v>
      </c>
      <c r="F528">
        <v>0</v>
      </c>
      <c r="G528">
        <v>-3.4</v>
      </c>
      <c r="H528">
        <v>133.3299999999999</v>
      </c>
      <c r="I528">
        <v>0</v>
      </c>
      <c r="J528">
        <v>0</v>
      </c>
      <c r="K528">
        <v>0.75059302000000006</v>
      </c>
      <c r="L528">
        <v>0</v>
      </c>
      <c r="M528">
        <v>0</v>
      </c>
      <c r="N528">
        <v>0</v>
      </c>
      <c r="O528">
        <v>-103.2011340200003</v>
      </c>
      <c r="P528">
        <v>49567.040833999999</v>
      </c>
    </row>
    <row r="529" spans="1:16" x14ac:dyDescent="0.25">
      <c r="A529" s="10">
        <v>38391</v>
      </c>
      <c r="B529">
        <v>-348.76310699999891</v>
      </c>
      <c r="C529">
        <v>33.619999999999997</v>
      </c>
      <c r="D529">
        <v>0</v>
      </c>
      <c r="E529">
        <v>-800</v>
      </c>
      <c r="F529">
        <v>0</v>
      </c>
      <c r="G529">
        <v>-5.7385879999999929</v>
      </c>
      <c r="H529">
        <v>427.7658449999999</v>
      </c>
      <c r="I529">
        <v>0</v>
      </c>
      <c r="J529">
        <v>0</v>
      </c>
      <c r="K529">
        <v>0.62921516</v>
      </c>
      <c r="L529">
        <v>0</v>
      </c>
      <c r="M529">
        <v>0</v>
      </c>
      <c r="N529">
        <v>0</v>
      </c>
      <c r="O529">
        <v>-5.039579159998766</v>
      </c>
      <c r="P529">
        <v>49218.277727000001</v>
      </c>
    </row>
    <row r="530" spans="1:16" x14ac:dyDescent="0.25">
      <c r="A530" s="10">
        <v>38392</v>
      </c>
      <c r="B530">
        <v>-20.907609000001909</v>
      </c>
      <c r="C530">
        <v>55.265999999999998</v>
      </c>
      <c r="D530">
        <v>0</v>
      </c>
      <c r="E530">
        <v>0</v>
      </c>
      <c r="F530">
        <v>0</v>
      </c>
      <c r="G530">
        <v>-55.194411999999993</v>
      </c>
      <c r="H530">
        <v>51.520160000000033</v>
      </c>
      <c r="I530">
        <v>0</v>
      </c>
      <c r="J530">
        <v>0</v>
      </c>
      <c r="K530">
        <v>0.79230144999999996</v>
      </c>
      <c r="L530">
        <v>-295.19929562444969</v>
      </c>
      <c r="M530">
        <v>0</v>
      </c>
      <c r="N530">
        <v>0</v>
      </c>
      <c r="O530">
        <v>221.90763717444781</v>
      </c>
      <c r="P530">
        <v>49197.370117999999</v>
      </c>
    </row>
    <row r="531" spans="1:16" x14ac:dyDescent="0.25">
      <c r="A531" s="10">
        <v>38393</v>
      </c>
      <c r="B531">
        <v>1013.632129950005</v>
      </c>
      <c r="C531">
        <v>48.072156</v>
      </c>
      <c r="D531">
        <v>0</v>
      </c>
      <c r="E531">
        <v>1400</v>
      </c>
      <c r="F531">
        <v>0</v>
      </c>
      <c r="G531">
        <v>-75.663000000000025</v>
      </c>
      <c r="H531">
        <v>-360.2900439999994</v>
      </c>
      <c r="I531">
        <v>0</v>
      </c>
      <c r="J531">
        <v>0</v>
      </c>
      <c r="K531">
        <v>0.92892461999999998</v>
      </c>
      <c r="L531">
        <v>0</v>
      </c>
      <c r="M531">
        <v>0</v>
      </c>
      <c r="N531">
        <v>0</v>
      </c>
      <c r="O531">
        <v>0.58409333000486185</v>
      </c>
      <c r="P531">
        <v>50211.002247949997</v>
      </c>
    </row>
    <row r="532" spans="1:16" x14ac:dyDescent="0.25">
      <c r="A532" s="10">
        <v>38394</v>
      </c>
      <c r="B532">
        <v>-592.06959095000605</v>
      </c>
      <c r="C532">
        <v>30.582000000000001</v>
      </c>
      <c r="D532">
        <v>0</v>
      </c>
      <c r="E532">
        <v>0</v>
      </c>
      <c r="F532">
        <v>0</v>
      </c>
      <c r="G532">
        <v>102.57939</v>
      </c>
      <c r="H532">
        <v>-708.51688200000081</v>
      </c>
      <c r="I532">
        <v>0</v>
      </c>
      <c r="J532">
        <v>0</v>
      </c>
      <c r="K532">
        <v>0.93003376999999998</v>
      </c>
      <c r="L532">
        <v>0</v>
      </c>
      <c r="M532">
        <v>0</v>
      </c>
      <c r="N532">
        <v>0</v>
      </c>
      <c r="O532">
        <v>-17.644132720005281</v>
      </c>
      <c r="P532">
        <v>49618.932656999998</v>
      </c>
    </row>
    <row r="533" spans="1:16" x14ac:dyDescent="0.25">
      <c r="A533" s="10">
        <v>38397</v>
      </c>
      <c r="B533">
        <v>-290.32998100000259</v>
      </c>
      <c r="C533">
        <v>39.263193999999999</v>
      </c>
      <c r="D533">
        <v>0</v>
      </c>
      <c r="E533">
        <v>0</v>
      </c>
      <c r="F533">
        <v>0</v>
      </c>
      <c r="G533">
        <v>-6.3813719999999989</v>
      </c>
      <c r="H533">
        <v>-329.39999999999958</v>
      </c>
      <c r="I533">
        <v>0</v>
      </c>
      <c r="J533">
        <v>0</v>
      </c>
      <c r="K533">
        <v>0.68027548999999998</v>
      </c>
      <c r="L533">
        <v>0</v>
      </c>
      <c r="M533">
        <v>0</v>
      </c>
      <c r="N533">
        <v>0</v>
      </c>
      <c r="O533">
        <v>5.5079215099970824</v>
      </c>
      <c r="P533">
        <v>49328.602675999988</v>
      </c>
    </row>
    <row r="534" spans="1:16" x14ac:dyDescent="0.25">
      <c r="A534" s="10">
        <v>38398</v>
      </c>
      <c r="B534">
        <v>-699.63640099999554</v>
      </c>
      <c r="C534">
        <v>45.027999999999999</v>
      </c>
      <c r="D534">
        <v>0</v>
      </c>
      <c r="E534">
        <v>-700</v>
      </c>
      <c r="F534">
        <v>0</v>
      </c>
      <c r="G534">
        <v>3.5094189999999799</v>
      </c>
      <c r="H534">
        <v>-46.409999999998938</v>
      </c>
      <c r="I534">
        <v>0</v>
      </c>
      <c r="J534">
        <v>0</v>
      </c>
      <c r="K534">
        <v>0.40732007999999997</v>
      </c>
      <c r="L534">
        <v>0</v>
      </c>
      <c r="M534">
        <v>0</v>
      </c>
      <c r="N534">
        <v>0</v>
      </c>
      <c r="O534">
        <v>-2.1711400799965759</v>
      </c>
      <c r="P534">
        <v>48628.966274999999</v>
      </c>
    </row>
    <row r="535" spans="1:16" x14ac:dyDescent="0.25">
      <c r="A535" s="10">
        <v>38399</v>
      </c>
      <c r="B535">
        <v>-654.95521200000098</v>
      </c>
      <c r="C535">
        <v>108.70350000000001</v>
      </c>
      <c r="D535">
        <v>0</v>
      </c>
      <c r="E535">
        <v>-1291</v>
      </c>
      <c r="F535">
        <v>0</v>
      </c>
      <c r="G535">
        <v>-17.606437</v>
      </c>
      <c r="H535">
        <v>336.67199999999963</v>
      </c>
      <c r="I535">
        <v>0</v>
      </c>
      <c r="J535">
        <v>0</v>
      </c>
      <c r="K535">
        <v>0.76884028000000004</v>
      </c>
      <c r="L535">
        <v>235.4622231328608</v>
      </c>
      <c r="M535">
        <v>0</v>
      </c>
      <c r="N535">
        <v>0</v>
      </c>
      <c r="O535">
        <v>-27.955338412861469</v>
      </c>
      <c r="P535">
        <v>47974.011062999998</v>
      </c>
    </row>
    <row r="536" spans="1:16" x14ac:dyDescent="0.25">
      <c r="A536" s="10">
        <v>38400</v>
      </c>
      <c r="B536">
        <v>765.90058500000259</v>
      </c>
      <c r="C536">
        <v>117.151</v>
      </c>
      <c r="D536">
        <v>0</v>
      </c>
      <c r="E536">
        <v>0</v>
      </c>
      <c r="F536">
        <v>0</v>
      </c>
      <c r="G536">
        <v>-8.0374109999999988</v>
      </c>
      <c r="H536">
        <v>654.95581000000038</v>
      </c>
      <c r="I536">
        <v>0</v>
      </c>
      <c r="J536">
        <v>0</v>
      </c>
      <c r="K536">
        <v>0.91034868000000002</v>
      </c>
      <c r="L536">
        <v>0</v>
      </c>
      <c r="M536">
        <v>0</v>
      </c>
      <c r="N536">
        <v>0</v>
      </c>
      <c r="O536">
        <v>0.92083732000219243</v>
      </c>
      <c r="P536">
        <v>48739.911648000001</v>
      </c>
    </row>
    <row r="537" spans="1:16" x14ac:dyDescent="0.25">
      <c r="A537" s="10">
        <v>38401</v>
      </c>
      <c r="B537">
        <v>717.54723899999942</v>
      </c>
      <c r="C537">
        <v>87.307000000000002</v>
      </c>
      <c r="D537">
        <v>0</v>
      </c>
      <c r="E537">
        <v>0</v>
      </c>
      <c r="F537">
        <v>0</v>
      </c>
      <c r="G537">
        <v>10.472655</v>
      </c>
      <c r="H537">
        <v>618.17729299999974</v>
      </c>
      <c r="I537">
        <v>0</v>
      </c>
      <c r="J537">
        <v>0</v>
      </c>
      <c r="K537">
        <v>1.30556367</v>
      </c>
      <c r="L537">
        <v>0</v>
      </c>
      <c r="M537">
        <v>0</v>
      </c>
      <c r="N537">
        <v>0</v>
      </c>
      <c r="O537">
        <v>0.28472732999971412</v>
      </c>
      <c r="P537">
        <v>49457.458887000001</v>
      </c>
    </row>
    <row r="538" spans="1:16" x14ac:dyDescent="0.25">
      <c r="A538" s="10">
        <v>38404</v>
      </c>
      <c r="B538">
        <v>243.55686799999941</v>
      </c>
      <c r="C538">
        <v>0</v>
      </c>
      <c r="D538">
        <v>0</v>
      </c>
      <c r="E538">
        <v>0</v>
      </c>
      <c r="F538">
        <v>0</v>
      </c>
      <c r="G538">
        <v>73.132428000000004</v>
      </c>
      <c r="H538">
        <v>169.27770699999931</v>
      </c>
      <c r="I538">
        <v>0</v>
      </c>
      <c r="J538">
        <v>0</v>
      </c>
      <c r="K538">
        <v>0.85399630000000004</v>
      </c>
      <c r="L538">
        <v>0</v>
      </c>
      <c r="M538">
        <v>0</v>
      </c>
      <c r="N538">
        <v>0</v>
      </c>
      <c r="O538">
        <v>0.29273670000008911</v>
      </c>
      <c r="P538">
        <v>49701.015755</v>
      </c>
    </row>
    <row r="539" spans="1:16" x14ac:dyDescent="0.25">
      <c r="A539" s="10">
        <v>38405</v>
      </c>
      <c r="B539">
        <v>-83.590599999995575</v>
      </c>
      <c r="C539">
        <v>39.607999999999997</v>
      </c>
      <c r="D539">
        <v>0</v>
      </c>
      <c r="E539">
        <v>0</v>
      </c>
      <c r="F539">
        <v>0</v>
      </c>
      <c r="G539">
        <v>-9.6819980000000214</v>
      </c>
      <c r="H539">
        <v>-114.019569</v>
      </c>
      <c r="I539">
        <v>0</v>
      </c>
      <c r="J539">
        <v>0</v>
      </c>
      <c r="K539">
        <v>0.42949926999999999</v>
      </c>
      <c r="L539">
        <v>0</v>
      </c>
      <c r="M539">
        <v>0</v>
      </c>
      <c r="N539">
        <v>0</v>
      </c>
      <c r="O539">
        <v>7.34677300044973E-2</v>
      </c>
      <c r="P539">
        <v>49617.425154999997</v>
      </c>
    </row>
    <row r="540" spans="1:16" x14ac:dyDescent="0.25">
      <c r="A540" s="10">
        <v>38406</v>
      </c>
      <c r="B540">
        <v>-797.83087400000647</v>
      </c>
      <c r="C540">
        <v>29.334</v>
      </c>
      <c r="D540">
        <v>0</v>
      </c>
      <c r="E540">
        <v>0</v>
      </c>
      <c r="F540">
        <v>0</v>
      </c>
      <c r="G540">
        <v>-6.6036740000000016</v>
      </c>
      <c r="H540">
        <v>-412.82700000000108</v>
      </c>
      <c r="I540">
        <v>0</v>
      </c>
      <c r="J540">
        <v>0</v>
      </c>
      <c r="K540">
        <v>0.59035607000000001</v>
      </c>
      <c r="L540">
        <v>-408.99888552513721</v>
      </c>
      <c r="M540">
        <v>0</v>
      </c>
      <c r="N540">
        <v>0</v>
      </c>
      <c r="O540">
        <v>0.67432945513189679</v>
      </c>
      <c r="P540">
        <v>48819.594280999998</v>
      </c>
    </row>
    <row r="541" spans="1:16" x14ac:dyDescent="0.25">
      <c r="A541" s="10">
        <v>38407</v>
      </c>
      <c r="B541">
        <v>1045.3588589999999</v>
      </c>
      <c r="C541">
        <v>28.498994</v>
      </c>
      <c r="D541">
        <v>0</v>
      </c>
      <c r="E541">
        <v>1200</v>
      </c>
      <c r="F541">
        <v>0</v>
      </c>
      <c r="G541">
        <v>-79.324000000000012</v>
      </c>
      <c r="H541">
        <v>-110.26299999999991</v>
      </c>
      <c r="I541">
        <v>0</v>
      </c>
      <c r="J541">
        <v>0</v>
      </c>
      <c r="K541">
        <v>0.56491437</v>
      </c>
      <c r="L541">
        <v>0</v>
      </c>
      <c r="M541">
        <v>0</v>
      </c>
      <c r="N541">
        <v>0</v>
      </c>
      <c r="O541">
        <v>5.8819506299996647</v>
      </c>
      <c r="P541">
        <v>49864.953139999998</v>
      </c>
    </row>
    <row r="542" spans="1:16" x14ac:dyDescent="0.25">
      <c r="A542" s="10">
        <v>38408</v>
      </c>
      <c r="B542">
        <v>175.13463400000191</v>
      </c>
      <c r="C542">
        <v>29.434850000000001</v>
      </c>
      <c r="D542">
        <v>0</v>
      </c>
      <c r="E542">
        <v>0</v>
      </c>
      <c r="F542">
        <v>0</v>
      </c>
      <c r="G542">
        <v>-10.502592</v>
      </c>
      <c r="H542">
        <v>206.7237350000014</v>
      </c>
      <c r="I542">
        <v>0</v>
      </c>
      <c r="J542">
        <v>0</v>
      </c>
      <c r="K542">
        <v>0.97675798999999996</v>
      </c>
      <c r="L542">
        <v>-51.84</v>
      </c>
      <c r="M542">
        <v>0</v>
      </c>
      <c r="N542">
        <v>0</v>
      </c>
      <c r="O542">
        <v>0.34188301000054372</v>
      </c>
      <c r="P542">
        <v>50040.087774</v>
      </c>
    </row>
    <row r="543" spans="1:16" x14ac:dyDescent="0.25">
      <c r="A543" s="10">
        <v>38411</v>
      </c>
      <c r="B543">
        <v>-376.1232910000042</v>
      </c>
      <c r="C543">
        <v>34.020352000000003</v>
      </c>
      <c r="D543">
        <v>0</v>
      </c>
      <c r="E543">
        <v>0</v>
      </c>
      <c r="F543">
        <v>0</v>
      </c>
      <c r="G543">
        <v>-8.955408000000002</v>
      </c>
      <c r="H543">
        <v>-338.24000000000069</v>
      </c>
      <c r="I543">
        <v>0</v>
      </c>
      <c r="J543">
        <v>0</v>
      </c>
      <c r="K543">
        <v>0.76</v>
      </c>
      <c r="L543">
        <v>-5.7927960000000001</v>
      </c>
      <c r="M543">
        <v>0</v>
      </c>
      <c r="N543">
        <v>0</v>
      </c>
      <c r="O543">
        <v>-57.91543900000346</v>
      </c>
      <c r="P543">
        <v>49663.964483000003</v>
      </c>
    </row>
    <row r="544" spans="1:16" x14ac:dyDescent="0.25">
      <c r="A544" s="10">
        <v>38412</v>
      </c>
      <c r="B544">
        <v>111.84928400000361</v>
      </c>
      <c r="C544">
        <v>13.436615</v>
      </c>
      <c r="D544">
        <v>0</v>
      </c>
      <c r="E544">
        <v>0</v>
      </c>
      <c r="F544">
        <v>0</v>
      </c>
      <c r="G544">
        <v>34.310000000000016</v>
      </c>
      <c r="H544">
        <v>155.13699999999969</v>
      </c>
      <c r="I544">
        <v>0</v>
      </c>
      <c r="J544">
        <v>-99.479999999999563</v>
      </c>
      <c r="K544">
        <v>1.958225010000255</v>
      </c>
      <c r="L544">
        <v>0</v>
      </c>
      <c r="M544">
        <v>0</v>
      </c>
      <c r="N544">
        <v>0</v>
      </c>
      <c r="O544">
        <v>6.4874439900031584</v>
      </c>
      <c r="P544">
        <v>49775.813767</v>
      </c>
    </row>
    <row r="545" spans="1:16" x14ac:dyDescent="0.25">
      <c r="A545" s="10">
        <v>38413</v>
      </c>
      <c r="B545">
        <v>-881.63735700000029</v>
      </c>
      <c r="C545">
        <v>29.703278000000001</v>
      </c>
      <c r="D545">
        <v>0</v>
      </c>
      <c r="E545">
        <v>0</v>
      </c>
      <c r="F545">
        <v>0</v>
      </c>
      <c r="G545">
        <v>-6.9650000000000007</v>
      </c>
      <c r="H545">
        <v>326.30958699999968</v>
      </c>
      <c r="I545">
        <v>0</v>
      </c>
      <c r="J545">
        <v>-1069.7900000000011</v>
      </c>
      <c r="K545">
        <v>-52.40470505000004</v>
      </c>
      <c r="L545">
        <v>-111.03593938343531</v>
      </c>
      <c r="M545">
        <v>0</v>
      </c>
      <c r="N545">
        <v>0</v>
      </c>
      <c r="O545">
        <v>2.5454224334362152</v>
      </c>
      <c r="P545">
        <v>48894.17641</v>
      </c>
    </row>
    <row r="546" spans="1:16" x14ac:dyDescent="0.25">
      <c r="A546" s="10">
        <v>38414</v>
      </c>
      <c r="B546">
        <v>191.6192709999965</v>
      </c>
      <c r="C546">
        <v>15.532999999999999</v>
      </c>
      <c r="D546">
        <v>0</v>
      </c>
      <c r="E546">
        <v>0</v>
      </c>
      <c r="F546">
        <v>0</v>
      </c>
      <c r="G546">
        <v>-30.062000000000001</v>
      </c>
      <c r="H546">
        <v>292.85272799999979</v>
      </c>
      <c r="I546">
        <v>0</v>
      </c>
      <c r="J546">
        <v>0</v>
      </c>
      <c r="K546">
        <v>0.62167061000000001</v>
      </c>
      <c r="L546">
        <v>-88.242275500000005</v>
      </c>
      <c r="M546">
        <v>0</v>
      </c>
      <c r="N546">
        <v>0</v>
      </c>
      <c r="O546">
        <v>0.91614788999661645</v>
      </c>
      <c r="P546">
        <v>49085.795681000003</v>
      </c>
    </row>
    <row r="547" spans="1:16" x14ac:dyDescent="0.25">
      <c r="A547" s="10">
        <v>38415</v>
      </c>
      <c r="B547">
        <v>196.78432500000019</v>
      </c>
      <c r="C547">
        <v>12.843</v>
      </c>
      <c r="D547">
        <v>0</v>
      </c>
      <c r="E547">
        <v>0</v>
      </c>
      <c r="F547">
        <v>0</v>
      </c>
      <c r="G547">
        <v>-5.5837370000000011</v>
      </c>
      <c r="H547">
        <v>264.54268899999988</v>
      </c>
      <c r="I547">
        <v>0</v>
      </c>
      <c r="J547">
        <v>0.5</v>
      </c>
      <c r="K547">
        <v>0.86680502000000004</v>
      </c>
      <c r="L547">
        <v>-18.136539500000001</v>
      </c>
      <c r="M547">
        <v>0</v>
      </c>
      <c r="N547">
        <v>0</v>
      </c>
      <c r="O547">
        <v>-58.247892519999681</v>
      </c>
      <c r="P547">
        <v>49282.580005999997</v>
      </c>
    </row>
    <row r="548" spans="1:16" x14ac:dyDescent="0.25">
      <c r="A548" s="10">
        <v>38418</v>
      </c>
      <c r="B548">
        <v>513.91777900000284</v>
      </c>
      <c r="C548">
        <v>24.484933999999999</v>
      </c>
      <c r="D548">
        <v>0</v>
      </c>
      <c r="E548">
        <v>0</v>
      </c>
      <c r="F548">
        <v>0</v>
      </c>
      <c r="G548">
        <v>-3.4792630000000031</v>
      </c>
      <c r="H548">
        <v>472.41600000000022</v>
      </c>
      <c r="I548">
        <v>0</v>
      </c>
      <c r="J548">
        <v>0</v>
      </c>
      <c r="K548">
        <v>20.733103719999999</v>
      </c>
      <c r="L548">
        <v>0</v>
      </c>
      <c r="M548">
        <v>0</v>
      </c>
      <c r="N548">
        <v>0</v>
      </c>
      <c r="O548">
        <v>-0.23699571999731689</v>
      </c>
      <c r="P548">
        <v>49796.497785</v>
      </c>
    </row>
    <row r="549" spans="1:16" x14ac:dyDescent="0.25">
      <c r="A549" s="10">
        <v>38419</v>
      </c>
      <c r="B549">
        <v>-49.355698999999362</v>
      </c>
      <c r="C549">
        <v>5.9569999999999999</v>
      </c>
      <c r="D549">
        <v>0</v>
      </c>
      <c r="E549">
        <v>0</v>
      </c>
      <c r="F549">
        <v>0</v>
      </c>
      <c r="G549">
        <v>-6.3306450000000041</v>
      </c>
      <c r="H549">
        <v>-47.042239000000343</v>
      </c>
      <c r="I549">
        <v>0</v>
      </c>
      <c r="J549">
        <v>0</v>
      </c>
      <c r="K549">
        <v>0.40640604000000002</v>
      </c>
      <c r="L549">
        <v>0</v>
      </c>
      <c r="M549">
        <v>0</v>
      </c>
      <c r="N549">
        <v>0</v>
      </c>
      <c r="O549">
        <v>-2.3462210399990249</v>
      </c>
      <c r="P549">
        <v>49747.142086</v>
      </c>
    </row>
    <row r="550" spans="1:16" x14ac:dyDescent="0.25">
      <c r="A550" s="10">
        <v>38420</v>
      </c>
      <c r="B550">
        <v>-58.976835999994648</v>
      </c>
      <c r="C550">
        <v>7.3810000000000002</v>
      </c>
      <c r="D550">
        <v>0</v>
      </c>
      <c r="E550">
        <v>0</v>
      </c>
      <c r="F550">
        <v>0</v>
      </c>
      <c r="G550">
        <v>-4.5863550000000259</v>
      </c>
      <c r="H550">
        <v>223.03200000000021</v>
      </c>
      <c r="I550">
        <v>0</v>
      </c>
      <c r="J550">
        <v>0</v>
      </c>
      <c r="K550">
        <v>0.63320299999999996</v>
      </c>
      <c r="L550">
        <v>-290.14326129373279</v>
      </c>
      <c r="M550">
        <v>0</v>
      </c>
      <c r="N550">
        <v>0</v>
      </c>
      <c r="O550">
        <v>4.7065772937380066</v>
      </c>
      <c r="P550">
        <v>49688.165250000013</v>
      </c>
    </row>
    <row r="551" spans="1:16" x14ac:dyDescent="0.25">
      <c r="A551" s="10">
        <v>38421</v>
      </c>
      <c r="B551">
        <v>-191.49381300000789</v>
      </c>
      <c r="C551">
        <v>4.1000000000000002E-2</v>
      </c>
      <c r="D551">
        <v>0</v>
      </c>
      <c r="E551">
        <v>0</v>
      </c>
      <c r="F551">
        <v>0</v>
      </c>
      <c r="G551">
        <v>-5.4411639999999997</v>
      </c>
      <c r="H551">
        <v>-208.50834300000039</v>
      </c>
      <c r="I551">
        <v>0</v>
      </c>
      <c r="J551">
        <v>0</v>
      </c>
      <c r="K551">
        <v>0.4676862</v>
      </c>
      <c r="L551">
        <v>-32.814469000000003</v>
      </c>
      <c r="M551">
        <v>0</v>
      </c>
      <c r="N551">
        <v>0</v>
      </c>
      <c r="O551">
        <v>54.761476799992522</v>
      </c>
      <c r="P551">
        <v>49496.671436999997</v>
      </c>
    </row>
    <row r="552" spans="1:16" x14ac:dyDescent="0.25">
      <c r="A552" s="10">
        <v>38422</v>
      </c>
      <c r="B552">
        <v>240.3532550000011</v>
      </c>
      <c r="C552">
        <v>14.777340000000001</v>
      </c>
      <c r="D552">
        <v>0</v>
      </c>
      <c r="E552">
        <v>0</v>
      </c>
      <c r="F552">
        <v>0</v>
      </c>
      <c r="G552">
        <v>-6.3381606999999986</v>
      </c>
      <c r="H552">
        <v>247.44686299999921</v>
      </c>
      <c r="I552">
        <v>0</v>
      </c>
      <c r="J552">
        <v>0</v>
      </c>
      <c r="K552">
        <v>0.72960952999999995</v>
      </c>
      <c r="L552">
        <v>0</v>
      </c>
      <c r="M552">
        <v>0</v>
      </c>
      <c r="N552">
        <v>0</v>
      </c>
      <c r="O552">
        <v>-16.262396829998121</v>
      </c>
      <c r="P552">
        <v>49737.024691999999</v>
      </c>
    </row>
    <row r="553" spans="1:16" x14ac:dyDescent="0.25">
      <c r="A553" s="10">
        <v>38425</v>
      </c>
      <c r="B553">
        <v>302.9422320000009</v>
      </c>
      <c r="C553">
        <v>28.416</v>
      </c>
      <c r="D553">
        <v>0</v>
      </c>
      <c r="E553">
        <v>0</v>
      </c>
      <c r="F553">
        <v>0</v>
      </c>
      <c r="G553">
        <v>-17.655925299999979</v>
      </c>
      <c r="H553">
        <v>281.4380000000001</v>
      </c>
      <c r="I553">
        <v>0</v>
      </c>
      <c r="J553">
        <v>0</v>
      </c>
      <c r="K553">
        <v>0.69767517000000001</v>
      </c>
      <c r="L553">
        <v>0</v>
      </c>
      <c r="M553">
        <v>0</v>
      </c>
      <c r="N553">
        <v>0</v>
      </c>
      <c r="O553">
        <v>10.046482130000779</v>
      </c>
      <c r="P553">
        <v>50039.966924</v>
      </c>
    </row>
    <row r="554" spans="1:16" x14ac:dyDescent="0.25">
      <c r="A554" s="10">
        <v>38426</v>
      </c>
      <c r="B554">
        <v>160.1208449999973</v>
      </c>
      <c r="C554">
        <v>30.663592000000001</v>
      </c>
      <c r="D554">
        <v>0</v>
      </c>
      <c r="E554">
        <v>0</v>
      </c>
      <c r="F554">
        <v>0</v>
      </c>
      <c r="G554">
        <v>4.1035029999999892</v>
      </c>
      <c r="H554">
        <v>104.33040199999959</v>
      </c>
      <c r="I554">
        <v>0</v>
      </c>
      <c r="J554">
        <v>0</v>
      </c>
      <c r="K554">
        <v>19.023075389999999</v>
      </c>
      <c r="L554">
        <v>0</v>
      </c>
      <c r="M554">
        <v>0</v>
      </c>
      <c r="N554">
        <v>0</v>
      </c>
      <c r="O554">
        <v>2.0002726099977219</v>
      </c>
      <c r="P554">
        <v>50200.087768999998</v>
      </c>
    </row>
    <row r="555" spans="1:16" x14ac:dyDescent="0.25">
      <c r="A555" s="10">
        <v>38427</v>
      </c>
      <c r="B555">
        <v>-329.93129299999362</v>
      </c>
      <c r="C555">
        <v>23.538685999999998</v>
      </c>
      <c r="D555">
        <v>0</v>
      </c>
      <c r="E555">
        <v>0</v>
      </c>
      <c r="F555">
        <v>0</v>
      </c>
      <c r="G555">
        <v>-6.4193759999999997</v>
      </c>
      <c r="H555">
        <v>-3.670233999999255</v>
      </c>
      <c r="I555">
        <v>0</v>
      </c>
      <c r="J555">
        <v>0</v>
      </c>
      <c r="K555">
        <v>2.48840014</v>
      </c>
      <c r="L555">
        <v>-345.52</v>
      </c>
      <c r="M555">
        <v>0</v>
      </c>
      <c r="N555">
        <v>0</v>
      </c>
      <c r="O555">
        <v>-0.34876913999431741</v>
      </c>
      <c r="P555">
        <v>49870.156475999996</v>
      </c>
    </row>
    <row r="556" spans="1:16" x14ac:dyDescent="0.25">
      <c r="A556" s="10">
        <v>38428</v>
      </c>
      <c r="B556">
        <v>0.85224099999372971</v>
      </c>
      <c r="C556">
        <v>0.18099999999999999</v>
      </c>
      <c r="D556">
        <v>0</v>
      </c>
      <c r="E556">
        <v>0</v>
      </c>
      <c r="F556">
        <v>0</v>
      </c>
      <c r="G556">
        <v>-23.847884000000018</v>
      </c>
      <c r="H556">
        <v>22.17126100000041</v>
      </c>
      <c r="I556">
        <v>0</v>
      </c>
      <c r="J556">
        <v>0.18000000000029101</v>
      </c>
      <c r="K556">
        <v>0.57997648000000002</v>
      </c>
      <c r="L556">
        <v>0</v>
      </c>
      <c r="M556">
        <v>0</v>
      </c>
      <c r="N556">
        <v>0</v>
      </c>
      <c r="O556">
        <v>1.587887519993046</v>
      </c>
      <c r="P556">
        <v>49871.008716999997</v>
      </c>
    </row>
    <row r="557" spans="1:16" x14ac:dyDescent="0.25">
      <c r="A557" s="10">
        <v>38429</v>
      </c>
      <c r="B557">
        <v>-35.831225999994793</v>
      </c>
      <c r="C557">
        <v>44.153441999999998</v>
      </c>
      <c r="D557">
        <v>0</v>
      </c>
      <c r="E557">
        <v>0</v>
      </c>
      <c r="F557">
        <v>0</v>
      </c>
      <c r="G557">
        <v>21.875350000000029</v>
      </c>
      <c r="H557">
        <v>-103.3900000000003</v>
      </c>
      <c r="I557">
        <v>0</v>
      </c>
      <c r="J557">
        <v>0.18000000000029101</v>
      </c>
      <c r="K557">
        <v>0.60003976999999997</v>
      </c>
      <c r="L557">
        <v>0</v>
      </c>
      <c r="M557">
        <v>0</v>
      </c>
      <c r="N557">
        <v>0</v>
      </c>
      <c r="O557">
        <v>0.74994223000521743</v>
      </c>
      <c r="P557">
        <v>49835.177491000002</v>
      </c>
    </row>
    <row r="558" spans="1:16" x14ac:dyDescent="0.25">
      <c r="A558" s="10">
        <v>38432</v>
      </c>
      <c r="B558">
        <v>177.950621999996</v>
      </c>
      <c r="C558">
        <v>1.725044</v>
      </c>
      <c r="D558">
        <v>0</v>
      </c>
      <c r="E558">
        <v>0</v>
      </c>
      <c r="F558">
        <v>0</v>
      </c>
      <c r="G558">
        <v>72.015505000000005</v>
      </c>
      <c r="H558">
        <v>101.9399999999996</v>
      </c>
      <c r="I558">
        <v>0</v>
      </c>
      <c r="J558">
        <v>0.18000000000029101</v>
      </c>
      <c r="K558">
        <v>0.55063472999999996</v>
      </c>
      <c r="L558">
        <v>0</v>
      </c>
      <c r="M558">
        <v>0</v>
      </c>
      <c r="N558">
        <v>0</v>
      </c>
      <c r="O558">
        <v>1.53943826999614</v>
      </c>
      <c r="P558">
        <v>50013.128112999999</v>
      </c>
    </row>
    <row r="559" spans="1:16" x14ac:dyDescent="0.25">
      <c r="A559" s="10">
        <v>38433</v>
      </c>
      <c r="B559">
        <v>100.3061764000016</v>
      </c>
      <c r="C559">
        <v>39.427</v>
      </c>
      <c r="D559">
        <v>0</v>
      </c>
      <c r="E559">
        <v>0</v>
      </c>
      <c r="F559">
        <v>0</v>
      </c>
      <c r="G559">
        <v>-6.6077179999999984</v>
      </c>
      <c r="H559">
        <v>60.17655300000024</v>
      </c>
      <c r="I559">
        <v>0</v>
      </c>
      <c r="J559">
        <v>0.17999999999847199</v>
      </c>
      <c r="K559">
        <v>0.37619699000000001</v>
      </c>
      <c r="L559">
        <v>0</v>
      </c>
      <c r="M559">
        <v>0</v>
      </c>
      <c r="N559">
        <v>0</v>
      </c>
      <c r="O559">
        <v>6.75414441000287</v>
      </c>
      <c r="P559">
        <v>50113.4342894</v>
      </c>
    </row>
    <row r="560" spans="1:16" x14ac:dyDescent="0.25">
      <c r="A560" s="10">
        <v>38434</v>
      </c>
      <c r="B560">
        <v>-357.32690340000369</v>
      </c>
      <c r="C560">
        <v>45.260351</v>
      </c>
      <c r="D560">
        <v>0</v>
      </c>
      <c r="E560">
        <v>0</v>
      </c>
      <c r="F560">
        <v>0</v>
      </c>
      <c r="G560">
        <v>-8.666476000000003</v>
      </c>
      <c r="H560">
        <v>187.23648000000051</v>
      </c>
      <c r="I560">
        <v>0</v>
      </c>
      <c r="J560">
        <v>0.18000000000029101</v>
      </c>
      <c r="K560">
        <v>0.51751128999999996</v>
      </c>
      <c r="L560">
        <v>-580.84</v>
      </c>
      <c r="M560">
        <v>0</v>
      </c>
      <c r="N560">
        <v>0</v>
      </c>
      <c r="O560">
        <v>-1.014769690004468</v>
      </c>
      <c r="P560">
        <v>49756.107386000003</v>
      </c>
    </row>
    <row r="561" spans="1:16" x14ac:dyDescent="0.25">
      <c r="A561" s="10">
        <v>38439</v>
      </c>
      <c r="B561">
        <v>6.8699950000081742</v>
      </c>
      <c r="C561">
        <v>36.696373000000001</v>
      </c>
      <c r="D561">
        <v>0</v>
      </c>
      <c r="E561">
        <v>0</v>
      </c>
      <c r="F561">
        <v>0</v>
      </c>
      <c r="G561">
        <v>9.7583630000000028</v>
      </c>
      <c r="H561">
        <v>21.932358000000931</v>
      </c>
      <c r="I561">
        <v>0</v>
      </c>
      <c r="J561">
        <v>0.18000000000029101</v>
      </c>
      <c r="K561">
        <v>1.8269515999999999</v>
      </c>
      <c r="L561">
        <v>0</v>
      </c>
      <c r="M561">
        <v>0</v>
      </c>
      <c r="N561">
        <v>0</v>
      </c>
      <c r="O561">
        <v>-63.524050599993053</v>
      </c>
      <c r="P561">
        <v>49762.977380999997</v>
      </c>
    </row>
    <row r="562" spans="1:16" x14ac:dyDescent="0.25">
      <c r="A562" s="10">
        <v>38440</v>
      </c>
      <c r="B562">
        <v>501.25889099999722</v>
      </c>
      <c r="C562">
        <v>9.375E-2</v>
      </c>
      <c r="D562">
        <v>0</v>
      </c>
      <c r="E562">
        <v>0</v>
      </c>
      <c r="F562">
        <v>0</v>
      </c>
      <c r="G562">
        <v>-13.114879999999999</v>
      </c>
      <c r="H562">
        <v>506.79717500000061</v>
      </c>
      <c r="I562">
        <v>0</v>
      </c>
      <c r="J562">
        <v>0.18000000000029101</v>
      </c>
      <c r="K562">
        <v>0.91470874999999996</v>
      </c>
      <c r="L562">
        <v>0</v>
      </c>
      <c r="M562">
        <v>0</v>
      </c>
      <c r="N562">
        <v>0</v>
      </c>
      <c r="O562">
        <v>6.3881372499962481</v>
      </c>
      <c r="P562">
        <v>50264.236272000002</v>
      </c>
    </row>
    <row r="563" spans="1:16" x14ac:dyDescent="0.25">
      <c r="A563" s="10">
        <v>38441</v>
      </c>
      <c r="B563">
        <v>703.68957999999861</v>
      </c>
      <c r="C563">
        <v>29.723811465212769</v>
      </c>
      <c r="D563">
        <v>0</v>
      </c>
      <c r="E563">
        <v>0</v>
      </c>
      <c r="F563">
        <v>0</v>
      </c>
      <c r="G563">
        <v>-85.385417092904163</v>
      </c>
      <c r="H563">
        <v>389.69308899999987</v>
      </c>
      <c r="I563">
        <v>0</v>
      </c>
      <c r="J563">
        <v>0.18000000000029101</v>
      </c>
      <c r="K563">
        <v>0.41876354999999998</v>
      </c>
      <c r="L563">
        <v>369.63</v>
      </c>
      <c r="M563">
        <v>0</v>
      </c>
      <c r="N563">
        <v>0</v>
      </c>
      <c r="O563">
        <v>-0.57066692231012439</v>
      </c>
      <c r="P563">
        <v>50967.925852</v>
      </c>
    </row>
    <row r="564" spans="1:16" x14ac:dyDescent="0.25">
      <c r="A564" s="10">
        <v>38442</v>
      </c>
      <c r="B564">
        <v>-765.39438700000028</v>
      </c>
      <c r="C564">
        <v>0.24399999999999999</v>
      </c>
      <c r="D564">
        <v>0</v>
      </c>
      <c r="E564">
        <v>0</v>
      </c>
      <c r="F564">
        <v>0</v>
      </c>
      <c r="G564">
        <v>-12.055705</v>
      </c>
      <c r="H564">
        <v>-961.07641299999977</v>
      </c>
      <c r="I564">
        <v>0</v>
      </c>
      <c r="J564">
        <v>0.18000000000029101</v>
      </c>
      <c r="K564">
        <v>0</v>
      </c>
      <c r="L564">
        <v>0</v>
      </c>
      <c r="M564">
        <v>0</v>
      </c>
      <c r="N564">
        <v>0</v>
      </c>
      <c r="O564">
        <v>207.31373099999911</v>
      </c>
      <c r="P564">
        <v>50202.531465</v>
      </c>
    </row>
    <row r="565" spans="1:16" x14ac:dyDescent="0.25">
      <c r="A565" s="10">
        <v>38443</v>
      </c>
      <c r="B565">
        <v>-540.482726000002</v>
      </c>
      <c r="C565">
        <v>71.714983000000004</v>
      </c>
      <c r="D565">
        <v>0</v>
      </c>
      <c r="E565">
        <v>0</v>
      </c>
      <c r="F565">
        <v>0</v>
      </c>
      <c r="G565">
        <v>28.546483000000009</v>
      </c>
      <c r="H565">
        <v>-654.20899999999983</v>
      </c>
      <c r="I565">
        <v>0</v>
      </c>
      <c r="J565">
        <v>0.17999999999847199</v>
      </c>
      <c r="K565">
        <v>0</v>
      </c>
      <c r="L565">
        <v>0</v>
      </c>
      <c r="M565">
        <v>0</v>
      </c>
      <c r="N565">
        <v>0</v>
      </c>
      <c r="O565">
        <v>13.28480799999935</v>
      </c>
      <c r="P565">
        <v>49662.048738999998</v>
      </c>
    </row>
    <row r="566" spans="1:16" x14ac:dyDescent="0.25">
      <c r="A566" s="10">
        <v>38446</v>
      </c>
      <c r="B566">
        <v>843.57926900000155</v>
      </c>
      <c r="C566">
        <v>29.187999999999999</v>
      </c>
      <c r="D566">
        <v>0</v>
      </c>
      <c r="E566">
        <v>0</v>
      </c>
      <c r="F566">
        <v>0</v>
      </c>
      <c r="G566">
        <v>-28.42428</v>
      </c>
      <c r="H566">
        <v>1096.2413529999999</v>
      </c>
      <c r="I566">
        <v>0</v>
      </c>
      <c r="J566">
        <v>-142.75</v>
      </c>
      <c r="K566">
        <v>-52.727915399999972</v>
      </c>
      <c r="L566">
        <v>0</v>
      </c>
      <c r="M566">
        <v>0</v>
      </c>
      <c r="N566">
        <v>0</v>
      </c>
      <c r="O566">
        <v>-57.947888599998826</v>
      </c>
      <c r="P566">
        <v>50505.628008</v>
      </c>
    </row>
    <row r="567" spans="1:16" x14ac:dyDescent="0.25">
      <c r="A567" s="10">
        <v>38447</v>
      </c>
      <c r="B567">
        <v>448.59299999999342</v>
      </c>
      <c r="C567">
        <v>61.1875</v>
      </c>
      <c r="D567">
        <v>0</v>
      </c>
      <c r="E567">
        <v>0</v>
      </c>
      <c r="F567">
        <v>0</v>
      </c>
      <c r="G567">
        <v>-6.5548450000000003</v>
      </c>
      <c r="H567">
        <v>408.279</v>
      </c>
      <c r="I567">
        <v>0</v>
      </c>
      <c r="J567">
        <v>-26.819999999999709</v>
      </c>
      <c r="K567">
        <v>0.57265949999999999</v>
      </c>
      <c r="L567">
        <v>0</v>
      </c>
      <c r="M567">
        <v>0</v>
      </c>
      <c r="N567">
        <v>0</v>
      </c>
      <c r="O567">
        <v>11.92868549999309</v>
      </c>
      <c r="P567">
        <v>50954.221007999993</v>
      </c>
    </row>
    <row r="568" spans="1:16" x14ac:dyDescent="0.25">
      <c r="A568" s="10">
        <v>38448</v>
      </c>
      <c r="B568">
        <v>-865.24413399999344</v>
      </c>
      <c r="C568">
        <v>29.05</v>
      </c>
      <c r="D568">
        <v>0</v>
      </c>
      <c r="E568">
        <v>0</v>
      </c>
      <c r="F568">
        <v>0</v>
      </c>
      <c r="G568">
        <v>-5.5986369999999974</v>
      </c>
      <c r="H568">
        <v>-594.5085239999994</v>
      </c>
      <c r="I568">
        <v>0</v>
      </c>
      <c r="J568">
        <v>5.0000000001091387E-2</v>
      </c>
      <c r="K568">
        <v>0.21323964000000001</v>
      </c>
      <c r="L568">
        <v>-248.6</v>
      </c>
      <c r="M568">
        <v>0</v>
      </c>
      <c r="N568">
        <v>0</v>
      </c>
      <c r="O568">
        <v>-45.850212639995107</v>
      </c>
      <c r="P568">
        <v>50088.976874</v>
      </c>
    </row>
    <row r="569" spans="1:16" x14ac:dyDescent="0.25">
      <c r="A569" s="10">
        <v>38449</v>
      </c>
      <c r="B569">
        <v>-274.76852700000768</v>
      </c>
      <c r="C569">
        <v>7.3793179999999996</v>
      </c>
      <c r="D569">
        <v>0</v>
      </c>
      <c r="E569">
        <v>0</v>
      </c>
      <c r="F569">
        <v>0</v>
      </c>
      <c r="G569">
        <v>-3.7544340000000029</v>
      </c>
      <c r="H569">
        <v>-385.26000000000022</v>
      </c>
      <c r="I569">
        <v>0</v>
      </c>
      <c r="J569">
        <v>4.9999999999272397E-2</v>
      </c>
      <c r="K569">
        <v>0.31520101</v>
      </c>
      <c r="L569">
        <v>0</v>
      </c>
      <c r="M569">
        <v>0</v>
      </c>
      <c r="N569">
        <v>0</v>
      </c>
      <c r="O569">
        <v>106.5013879899933</v>
      </c>
      <c r="P569">
        <v>49814.208346999993</v>
      </c>
    </row>
    <row r="570" spans="1:16" x14ac:dyDescent="0.25">
      <c r="A570" s="10">
        <v>38450</v>
      </c>
      <c r="B570">
        <v>-129.09547599999581</v>
      </c>
      <c r="C570">
        <v>75.256</v>
      </c>
      <c r="D570">
        <v>0</v>
      </c>
      <c r="E570">
        <v>0</v>
      </c>
      <c r="F570">
        <v>0</v>
      </c>
      <c r="G570">
        <v>-5.7529680000000099</v>
      </c>
      <c r="H570">
        <v>-202.18101800000019</v>
      </c>
      <c r="I570">
        <v>0</v>
      </c>
      <c r="J570">
        <v>4.9999999999272397E-2</v>
      </c>
      <c r="K570">
        <v>0.34782740000000001</v>
      </c>
      <c r="L570">
        <v>0</v>
      </c>
      <c r="M570">
        <v>0</v>
      </c>
      <c r="N570">
        <v>0</v>
      </c>
      <c r="O570">
        <v>3.1846826000051749</v>
      </c>
      <c r="P570">
        <v>49685.112870999998</v>
      </c>
    </row>
    <row r="571" spans="1:16" x14ac:dyDescent="0.25">
      <c r="A571" s="10">
        <v>38453</v>
      </c>
      <c r="B571">
        <v>585.45039900000097</v>
      </c>
      <c r="C571">
        <v>49.148499999999999</v>
      </c>
      <c r="D571">
        <v>0</v>
      </c>
      <c r="E571">
        <v>0</v>
      </c>
      <c r="F571">
        <v>0</v>
      </c>
      <c r="G571">
        <v>-1.2150749999999999</v>
      </c>
      <c r="H571">
        <v>557.49526399999922</v>
      </c>
      <c r="I571">
        <v>0</v>
      </c>
      <c r="J571">
        <v>5.0000000001091387E-2</v>
      </c>
      <c r="K571">
        <v>0.95568600000000004</v>
      </c>
      <c r="L571">
        <v>0</v>
      </c>
      <c r="M571">
        <v>0</v>
      </c>
      <c r="N571">
        <v>0</v>
      </c>
      <c r="O571">
        <v>-20.98397599999927</v>
      </c>
      <c r="P571">
        <v>50270.563269999999</v>
      </c>
    </row>
    <row r="572" spans="1:16" x14ac:dyDescent="0.25">
      <c r="A572" s="10">
        <v>38454</v>
      </c>
      <c r="B572">
        <v>-84.01492499999658</v>
      </c>
      <c r="C572">
        <v>30.3565</v>
      </c>
      <c r="D572">
        <v>0</v>
      </c>
      <c r="E572">
        <v>0</v>
      </c>
      <c r="F572">
        <v>0</v>
      </c>
      <c r="G572">
        <v>-6.1411559999999987</v>
      </c>
      <c r="H572">
        <v>-137.70655399999939</v>
      </c>
      <c r="I572">
        <v>0</v>
      </c>
      <c r="J572">
        <v>4.9999999999272397E-2</v>
      </c>
      <c r="K572">
        <v>19.52</v>
      </c>
      <c r="L572">
        <v>0</v>
      </c>
      <c r="M572">
        <v>0</v>
      </c>
      <c r="N572">
        <v>0</v>
      </c>
      <c r="O572">
        <v>9.9062850000035603</v>
      </c>
      <c r="P572">
        <v>50186.548345000003</v>
      </c>
    </row>
    <row r="573" spans="1:16" x14ac:dyDescent="0.25">
      <c r="A573" s="10">
        <v>38455</v>
      </c>
      <c r="B573">
        <v>432.2490889999973</v>
      </c>
      <c r="C573">
        <v>47.598432000000003</v>
      </c>
      <c r="D573">
        <v>0</v>
      </c>
      <c r="E573">
        <v>0</v>
      </c>
      <c r="F573">
        <v>0</v>
      </c>
      <c r="G573">
        <v>-6.1928660000000004</v>
      </c>
      <c r="H573">
        <v>268.87468499999977</v>
      </c>
      <c r="I573">
        <v>0</v>
      </c>
      <c r="J573">
        <v>5.0000000001091387E-2</v>
      </c>
      <c r="K573">
        <v>0.62</v>
      </c>
      <c r="L573">
        <v>123.6</v>
      </c>
      <c r="M573">
        <v>0</v>
      </c>
      <c r="N573">
        <v>0</v>
      </c>
      <c r="O573">
        <v>-2.301162000003615</v>
      </c>
      <c r="P573">
        <v>50618.797434</v>
      </c>
    </row>
    <row r="574" spans="1:16" x14ac:dyDescent="0.25">
      <c r="A574" s="10">
        <v>38456</v>
      </c>
      <c r="B574">
        <v>162.18308599999759</v>
      </c>
      <c r="C574">
        <v>158.75412499999999</v>
      </c>
      <c r="D574">
        <v>0</v>
      </c>
      <c r="E574">
        <v>0</v>
      </c>
      <c r="F574">
        <v>0</v>
      </c>
      <c r="G574">
        <v>-5.9459350000000004</v>
      </c>
      <c r="H574">
        <v>4.6935630000007222</v>
      </c>
      <c r="I574">
        <v>0</v>
      </c>
      <c r="J574">
        <v>4.9999999999272397E-2</v>
      </c>
      <c r="K574">
        <v>0.61</v>
      </c>
      <c r="L574">
        <v>0</v>
      </c>
      <c r="M574">
        <v>0</v>
      </c>
      <c r="N574">
        <v>0</v>
      </c>
      <c r="O574">
        <v>4.0213329999976386</v>
      </c>
      <c r="P574">
        <v>50780.980519999997</v>
      </c>
    </row>
    <row r="575" spans="1:16" x14ac:dyDescent="0.25">
      <c r="A575" s="10">
        <v>38457</v>
      </c>
      <c r="B575">
        <v>-23.658104000001849</v>
      </c>
      <c r="C575">
        <v>107.574263</v>
      </c>
      <c r="D575">
        <v>0</v>
      </c>
      <c r="E575">
        <v>0</v>
      </c>
      <c r="F575">
        <v>0</v>
      </c>
      <c r="G575">
        <v>6.8529809999999998</v>
      </c>
      <c r="H575">
        <v>-140.00763027000079</v>
      </c>
      <c r="I575">
        <v>0</v>
      </c>
      <c r="J575">
        <v>4.9999999999272397E-2</v>
      </c>
      <c r="K575">
        <v>0.54</v>
      </c>
      <c r="L575">
        <v>0</v>
      </c>
      <c r="M575">
        <v>0</v>
      </c>
      <c r="N575">
        <v>0</v>
      </c>
      <c r="O575">
        <v>1.332282269999723</v>
      </c>
      <c r="P575">
        <v>50757.322416000003</v>
      </c>
    </row>
    <row r="576" spans="1:16" x14ac:dyDescent="0.25">
      <c r="A576" s="10">
        <v>38460</v>
      </c>
      <c r="B576">
        <v>-252.3173179999944</v>
      </c>
      <c r="C576">
        <v>34.817500000000003</v>
      </c>
      <c r="D576">
        <v>0</v>
      </c>
      <c r="E576">
        <v>0</v>
      </c>
      <c r="F576">
        <v>0</v>
      </c>
      <c r="G576">
        <v>-5.8527979999999999</v>
      </c>
      <c r="H576">
        <v>-282.4399999999996</v>
      </c>
      <c r="I576">
        <v>0</v>
      </c>
      <c r="J576">
        <v>5.0000000001091387E-2</v>
      </c>
      <c r="K576">
        <v>0.61182314999999998</v>
      </c>
      <c r="L576">
        <v>0</v>
      </c>
      <c r="M576">
        <v>0</v>
      </c>
      <c r="N576">
        <v>0</v>
      </c>
      <c r="O576">
        <v>0.49615685000412668</v>
      </c>
      <c r="P576">
        <v>50505.005098000001</v>
      </c>
    </row>
    <row r="577" spans="1:16" x14ac:dyDescent="0.25">
      <c r="A577" s="10">
        <v>38461</v>
      </c>
      <c r="B577">
        <v>-46.416506000001561</v>
      </c>
      <c r="C577">
        <v>87.062493000000003</v>
      </c>
      <c r="D577">
        <v>0</v>
      </c>
      <c r="E577">
        <v>0</v>
      </c>
      <c r="F577">
        <v>0</v>
      </c>
      <c r="G577">
        <v>19.649975000000001</v>
      </c>
      <c r="H577">
        <v>-154.3130000000001</v>
      </c>
      <c r="I577">
        <v>0</v>
      </c>
      <c r="J577">
        <v>4.9999999999272397E-2</v>
      </c>
      <c r="K577">
        <v>0.53284083000000004</v>
      </c>
      <c r="L577">
        <v>0</v>
      </c>
      <c r="M577">
        <v>0</v>
      </c>
      <c r="N577">
        <v>0</v>
      </c>
      <c r="O577">
        <v>0.60118516999926896</v>
      </c>
      <c r="P577">
        <v>50458.588592</v>
      </c>
    </row>
    <row r="578" spans="1:16" x14ac:dyDescent="0.25">
      <c r="A578" s="10">
        <v>38462</v>
      </c>
      <c r="B578">
        <v>-1482.5262670000011</v>
      </c>
      <c r="C578">
        <v>87.247220999999996</v>
      </c>
      <c r="D578">
        <v>0</v>
      </c>
      <c r="E578">
        <v>-600</v>
      </c>
      <c r="F578">
        <v>0</v>
      </c>
      <c r="G578">
        <v>-23.74790800000001</v>
      </c>
      <c r="H578">
        <v>-417.94999999999982</v>
      </c>
      <c r="I578">
        <v>0</v>
      </c>
      <c r="J578">
        <v>5.0000000001091387E-2</v>
      </c>
      <c r="K578">
        <v>0.45497472</v>
      </c>
      <c r="L578">
        <v>-528.14</v>
      </c>
      <c r="M578">
        <v>0</v>
      </c>
      <c r="N578">
        <v>0</v>
      </c>
      <c r="O578">
        <v>-0.44055472000218288</v>
      </c>
      <c r="P578">
        <v>48976.062324999999</v>
      </c>
    </row>
    <row r="579" spans="1:16" x14ac:dyDescent="0.25">
      <c r="A579" s="10">
        <v>38463</v>
      </c>
      <c r="B579">
        <v>1065.8961489999999</v>
      </c>
      <c r="C579">
        <v>110.295374</v>
      </c>
      <c r="D579">
        <v>0</v>
      </c>
      <c r="E579">
        <v>1200</v>
      </c>
      <c r="F579">
        <v>0</v>
      </c>
      <c r="G579">
        <v>55.170022000000003</v>
      </c>
      <c r="H579">
        <v>-300.08852000000019</v>
      </c>
      <c r="I579">
        <v>0</v>
      </c>
      <c r="J579">
        <v>4.9999999999272397E-2</v>
      </c>
      <c r="K579">
        <v>0.60971639</v>
      </c>
      <c r="L579">
        <v>0</v>
      </c>
      <c r="M579">
        <v>0</v>
      </c>
      <c r="N579">
        <v>0</v>
      </c>
      <c r="O579">
        <v>-0.14044338999929101</v>
      </c>
      <c r="P579">
        <v>50041.958473999999</v>
      </c>
    </row>
    <row r="580" spans="1:16" x14ac:dyDescent="0.25">
      <c r="A580" s="10">
        <v>38464</v>
      </c>
      <c r="B580">
        <v>-390.86607499999838</v>
      </c>
      <c r="C580">
        <v>146.511</v>
      </c>
      <c r="D580">
        <v>0</v>
      </c>
      <c r="E580">
        <v>0</v>
      </c>
      <c r="F580">
        <v>0</v>
      </c>
      <c r="G580">
        <v>-18.201350999999988</v>
      </c>
      <c r="H580">
        <v>-519.61185699999987</v>
      </c>
      <c r="I580">
        <v>0</v>
      </c>
      <c r="J580">
        <v>4.9999999999272397E-2</v>
      </c>
      <c r="K580">
        <v>0.62104324</v>
      </c>
      <c r="L580">
        <v>0</v>
      </c>
      <c r="M580">
        <v>0</v>
      </c>
      <c r="N580">
        <v>0</v>
      </c>
      <c r="O580">
        <v>-0.23491023999781649</v>
      </c>
      <c r="P580">
        <v>49651.092399000001</v>
      </c>
    </row>
    <row r="581" spans="1:16" x14ac:dyDescent="0.25">
      <c r="A581" s="10">
        <v>38467</v>
      </c>
      <c r="B581">
        <v>-689.02897700000153</v>
      </c>
      <c r="C581">
        <v>10.24635</v>
      </c>
      <c r="D581">
        <v>0</v>
      </c>
      <c r="E581">
        <v>0</v>
      </c>
      <c r="F581">
        <v>0</v>
      </c>
      <c r="G581">
        <v>10.095421</v>
      </c>
      <c r="H581">
        <v>-709.26295900000059</v>
      </c>
      <c r="I581">
        <v>0</v>
      </c>
      <c r="J581">
        <v>5.0000000001091387E-2</v>
      </c>
      <c r="K581">
        <v>0.77820266000000005</v>
      </c>
      <c r="L581">
        <v>0</v>
      </c>
      <c r="M581">
        <v>0</v>
      </c>
      <c r="N581">
        <v>0</v>
      </c>
      <c r="O581">
        <v>-0.93599166000201417</v>
      </c>
      <c r="P581">
        <v>48962.063421999999</v>
      </c>
    </row>
    <row r="582" spans="1:16" x14ac:dyDescent="0.25">
      <c r="A582" s="10">
        <v>38468</v>
      </c>
      <c r="B582">
        <v>-673.68995300000063</v>
      </c>
      <c r="C582">
        <v>50.829787000000003</v>
      </c>
      <c r="D582">
        <v>0</v>
      </c>
      <c r="E582">
        <v>0</v>
      </c>
      <c r="F582">
        <v>0</v>
      </c>
      <c r="G582">
        <v>0.54065799999999953</v>
      </c>
      <c r="H582">
        <v>-727.29315700000006</v>
      </c>
      <c r="I582">
        <v>0</v>
      </c>
      <c r="J582">
        <v>4.9999999999272397E-2</v>
      </c>
      <c r="K582">
        <v>0.62772523000000002</v>
      </c>
      <c r="L582">
        <v>0</v>
      </c>
      <c r="M582">
        <v>0</v>
      </c>
      <c r="N582">
        <v>0</v>
      </c>
      <c r="O582">
        <v>1.555033770000136</v>
      </c>
      <c r="P582">
        <v>48288.373468999998</v>
      </c>
    </row>
    <row r="583" spans="1:16" x14ac:dyDescent="0.25">
      <c r="A583" s="10">
        <v>38469</v>
      </c>
      <c r="B583">
        <v>604.19819000000268</v>
      </c>
      <c r="C583">
        <v>59.412999999999997</v>
      </c>
      <c r="D583">
        <v>0</v>
      </c>
      <c r="E583">
        <v>0</v>
      </c>
      <c r="F583">
        <v>0</v>
      </c>
      <c r="G583">
        <v>-6.0933879999999991</v>
      </c>
      <c r="H583">
        <v>446.23598099999981</v>
      </c>
      <c r="I583">
        <v>0</v>
      </c>
      <c r="J583">
        <v>5.0000000001091387E-2</v>
      </c>
      <c r="K583">
        <v>0.71547817000000002</v>
      </c>
      <c r="L583">
        <v>98.748600000000351</v>
      </c>
      <c r="M583">
        <v>0</v>
      </c>
      <c r="N583">
        <v>0</v>
      </c>
      <c r="O583">
        <v>5.1285188300014397</v>
      </c>
      <c r="P583">
        <v>48892.571659000001</v>
      </c>
    </row>
    <row r="584" spans="1:16" x14ac:dyDescent="0.25">
      <c r="A584" s="10">
        <v>38470</v>
      </c>
      <c r="B584">
        <v>494.41866499999747</v>
      </c>
      <c r="C584">
        <v>40.748142999999999</v>
      </c>
      <c r="D584">
        <v>-599.99999999694603</v>
      </c>
      <c r="E584">
        <v>599.99999999694603</v>
      </c>
      <c r="F584">
        <v>0</v>
      </c>
      <c r="G584">
        <v>-3.6869649999999869</v>
      </c>
      <c r="H584">
        <v>455.88170999999971</v>
      </c>
      <c r="I584">
        <v>0</v>
      </c>
      <c r="J584">
        <v>4.9999999999272397E-2</v>
      </c>
      <c r="K584">
        <v>0.79675830999999997</v>
      </c>
      <c r="L584">
        <v>0</v>
      </c>
      <c r="M584">
        <v>0</v>
      </c>
      <c r="N584">
        <v>0</v>
      </c>
      <c r="O584">
        <v>0.62901868999861332</v>
      </c>
      <c r="P584">
        <v>49386.990323999999</v>
      </c>
    </row>
    <row r="585" spans="1:16" x14ac:dyDescent="0.25">
      <c r="A585" s="10">
        <v>38471</v>
      </c>
      <c r="B585">
        <v>458.14367599999952</v>
      </c>
      <c r="C585">
        <v>80.066758489999998</v>
      </c>
      <c r="D585">
        <v>0</v>
      </c>
      <c r="E585">
        <v>0</v>
      </c>
      <c r="F585">
        <v>0</v>
      </c>
      <c r="G585">
        <v>-6.1387115500000009</v>
      </c>
      <c r="H585">
        <v>389.7379719999999</v>
      </c>
      <c r="I585">
        <v>0</v>
      </c>
      <c r="J585">
        <v>0</v>
      </c>
      <c r="K585">
        <v>0.94491093999999998</v>
      </c>
      <c r="L585">
        <v>0</v>
      </c>
      <c r="M585">
        <v>0</v>
      </c>
      <c r="N585">
        <v>0</v>
      </c>
      <c r="O585">
        <v>-6.4672538800004418</v>
      </c>
      <c r="P585">
        <v>49845.133999999998</v>
      </c>
    </row>
    <row r="586" spans="1:16" x14ac:dyDescent="0.25">
      <c r="A586" s="10">
        <v>38474</v>
      </c>
      <c r="B586">
        <v>22.127000000000571</v>
      </c>
      <c r="C586">
        <v>119.383</v>
      </c>
      <c r="D586">
        <v>0</v>
      </c>
      <c r="E586">
        <v>-630</v>
      </c>
      <c r="F586">
        <v>0</v>
      </c>
      <c r="G586">
        <v>-545.92248905544511</v>
      </c>
      <c r="H586">
        <v>1068.504000000001</v>
      </c>
      <c r="I586">
        <v>0</v>
      </c>
      <c r="J586">
        <v>0</v>
      </c>
      <c r="K586">
        <v>1.21965868</v>
      </c>
      <c r="L586">
        <v>0</v>
      </c>
      <c r="M586">
        <v>0</v>
      </c>
      <c r="N586">
        <v>0</v>
      </c>
      <c r="O586">
        <v>8.942830375444828</v>
      </c>
      <c r="P586">
        <v>49867.260999999999</v>
      </c>
    </row>
    <row r="587" spans="1:16" x14ac:dyDescent="0.25">
      <c r="A587" s="10">
        <v>38475</v>
      </c>
      <c r="B587">
        <v>799.19600000000389</v>
      </c>
      <c r="C587">
        <v>146.447</v>
      </c>
      <c r="D587">
        <v>0</v>
      </c>
      <c r="E587">
        <v>0</v>
      </c>
      <c r="F587">
        <v>0</v>
      </c>
      <c r="G587">
        <v>156.24</v>
      </c>
      <c r="H587">
        <v>1258.569776</v>
      </c>
      <c r="I587">
        <v>0</v>
      </c>
      <c r="J587">
        <v>-719.01000000000022</v>
      </c>
      <c r="K587">
        <v>-49.255398430000383</v>
      </c>
      <c r="L587">
        <v>0</v>
      </c>
      <c r="M587">
        <v>0</v>
      </c>
      <c r="N587">
        <v>0</v>
      </c>
      <c r="O587">
        <v>6.204622430004747</v>
      </c>
      <c r="P587">
        <v>50666.457000000002</v>
      </c>
    </row>
    <row r="588" spans="1:16" x14ac:dyDescent="0.25">
      <c r="A588" s="10">
        <v>38476</v>
      </c>
      <c r="B588">
        <v>58.500999999996793</v>
      </c>
      <c r="C588">
        <v>147.7705</v>
      </c>
      <c r="D588">
        <v>0</v>
      </c>
      <c r="E588">
        <v>0</v>
      </c>
      <c r="F588">
        <v>0</v>
      </c>
      <c r="G588">
        <v>-6.1320000000000006</v>
      </c>
      <c r="H588">
        <v>273.70477700000038</v>
      </c>
      <c r="I588">
        <v>0</v>
      </c>
      <c r="J588">
        <v>0</v>
      </c>
      <c r="K588">
        <v>0.43734508999999999</v>
      </c>
      <c r="L588">
        <v>-297.5</v>
      </c>
      <c r="M588">
        <v>0</v>
      </c>
      <c r="N588">
        <v>0</v>
      </c>
      <c r="O588">
        <v>-59.779622090003613</v>
      </c>
      <c r="P588">
        <v>50724.957999999999</v>
      </c>
    </row>
    <row r="589" spans="1:16" x14ac:dyDescent="0.25">
      <c r="A589" s="10">
        <v>38477</v>
      </c>
      <c r="B589">
        <v>1027.6880000000019</v>
      </c>
      <c r="C589">
        <v>248.22226558</v>
      </c>
      <c r="D589">
        <v>0</v>
      </c>
      <c r="E589">
        <v>600</v>
      </c>
      <c r="F589">
        <v>0</v>
      </c>
      <c r="G589">
        <v>-6.3389999999999986</v>
      </c>
      <c r="H589">
        <v>225.97800000000049</v>
      </c>
      <c r="I589">
        <v>0</v>
      </c>
      <c r="J589">
        <v>0</v>
      </c>
      <c r="K589">
        <v>0.51261330000000005</v>
      </c>
      <c r="L589">
        <v>0</v>
      </c>
      <c r="M589">
        <v>0</v>
      </c>
      <c r="N589">
        <v>0</v>
      </c>
      <c r="O589">
        <v>-40.685878879998647</v>
      </c>
      <c r="P589">
        <v>51752.646000000001</v>
      </c>
    </row>
    <row r="590" spans="1:16" x14ac:dyDescent="0.25">
      <c r="A590" s="10">
        <v>38478</v>
      </c>
      <c r="B590">
        <v>759.61899999999866</v>
      </c>
      <c r="C590">
        <v>255.02430799999999</v>
      </c>
      <c r="D590">
        <v>0</v>
      </c>
      <c r="E590">
        <v>0</v>
      </c>
      <c r="F590">
        <v>0</v>
      </c>
      <c r="G590">
        <v>-5.7840000000000016</v>
      </c>
      <c r="H590">
        <v>406.72700000000032</v>
      </c>
      <c r="I590">
        <v>0</v>
      </c>
      <c r="J590">
        <v>0</v>
      </c>
      <c r="K590">
        <v>0.70199206000000003</v>
      </c>
      <c r="L590">
        <v>0</v>
      </c>
      <c r="M590">
        <v>0</v>
      </c>
      <c r="N590">
        <v>0</v>
      </c>
      <c r="O590">
        <v>102.9496999399984</v>
      </c>
      <c r="P590">
        <v>52512.264999999999</v>
      </c>
    </row>
    <row r="591" spans="1:16" x14ac:dyDescent="0.25">
      <c r="A591" s="10">
        <v>38481</v>
      </c>
      <c r="B591">
        <v>314.89100000000349</v>
      </c>
      <c r="C591">
        <v>259.68563799999998</v>
      </c>
      <c r="D591">
        <v>0</v>
      </c>
      <c r="E591">
        <v>0</v>
      </c>
      <c r="F591">
        <v>0</v>
      </c>
      <c r="G591">
        <v>-39.133000000000003</v>
      </c>
      <c r="H591">
        <v>80.917000000000371</v>
      </c>
      <c r="I591">
        <v>0</v>
      </c>
      <c r="J591">
        <v>0</v>
      </c>
      <c r="K591">
        <v>0.63885387999999999</v>
      </c>
      <c r="L591">
        <v>0</v>
      </c>
      <c r="M591">
        <v>0</v>
      </c>
      <c r="N591">
        <v>0</v>
      </c>
      <c r="O591">
        <v>12.782508120003151</v>
      </c>
      <c r="P591">
        <v>52827.156000000003</v>
      </c>
    </row>
    <row r="592" spans="1:16" x14ac:dyDescent="0.25">
      <c r="A592" s="10">
        <v>38482</v>
      </c>
      <c r="B592">
        <v>-406.58500000000657</v>
      </c>
      <c r="C592">
        <v>230.006282</v>
      </c>
      <c r="D592">
        <v>0</v>
      </c>
      <c r="E592">
        <v>0</v>
      </c>
      <c r="F592">
        <v>0</v>
      </c>
      <c r="G592">
        <v>-5.2460000000000013</v>
      </c>
      <c r="H592">
        <v>-628.75198499999988</v>
      </c>
      <c r="I592">
        <v>0</v>
      </c>
      <c r="J592">
        <v>0</v>
      </c>
      <c r="K592">
        <v>0.33587328</v>
      </c>
      <c r="L592">
        <v>0</v>
      </c>
      <c r="M592">
        <v>0</v>
      </c>
      <c r="N592">
        <v>0</v>
      </c>
      <c r="O592">
        <v>-2.929170280006701</v>
      </c>
      <c r="P592">
        <v>52420.571000000004</v>
      </c>
    </row>
    <row r="593" spans="1:16" x14ac:dyDescent="0.25">
      <c r="A593" s="10">
        <v>38483</v>
      </c>
      <c r="B593">
        <v>-773.13099999999338</v>
      </c>
      <c r="C593">
        <v>189.9058</v>
      </c>
      <c r="D593">
        <v>0</v>
      </c>
      <c r="E593">
        <v>0</v>
      </c>
      <c r="F593">
        <v>0</v>
      </c>
      <c r="G593">
        <v>-5.6430000000000291</v>
      </c>
      <c r="H593">
        <v>-569.18295599999874</v>
      </c>
      <c r="I593">
        <v>0</v>
      </c>
      <c r="J593">
        <v>0</v>
      </c>
      <c r="K593">
        <v>0.31135504000000003</v>
      </c>
      <c r="L593">
        <v>-394.05</v>
      </c>
      <c r="M593">
        <v>0</v>
      </c>
      <c r="N593">
        <v>0</v>
      </c>
      <c r="O593">
        <v>5.5278009600053792</v>
      </c>
      <c r="P593">
        <v>51647.44</v>
      </c>
    </row>
    <row r="594" spans="1:16" x14ac:dyDescent="0.25">
      <c r="A594" s="10">
        <v>38484</v>
      </c>
      <c r="B594">
        <v>-504.50899999999831</v>
      </c>
      <c r="C594">
        <v>190.232921</v>
      </c>
      <c r="D594">
        <v>0</v>
      </c>
      <c r="E594">
        <v>0</v>
      </c>
      <c r="F594">
        <v>0</v>
      </c>
      <c r="G594">
        <v>-12.55</v>
      </c>
      <c r="H594">
        <v>-547.70150100000046</v>
      </c>
      <c r="I594">
        <v>0</v>
      </c>
      <c r="J594">
        <v>0</v>
      </c>
      <c r="K594">
        <v>0.43469377999999997</v>
      </c>
      <c r="L594">
        <v>0</v>
      </c>
      <c r="M594">
        <v>0</v>
      </c>
      <c r="N594">
        <v>0</v>
      </c>
      <c r="O594">
        <v>-134.92511377999779</v>
      </c>
      <c r="P594">
        <v>51142.930999999997</v>
      </c>
    </row>
    <row r="595" spans="1:16" x14ac:dyDescent="0.25">
      <c r="A595" s="10">
        <v>38485</v>
      </c>
      <c r="B595">
        <v>-664.98000000000377</v>
      </c>
      <c r="C595">
        <v>192.15734900000001</v>
      </c>
      <c r="D595">
        <v>0</v>
      </c>
      <c r="E595">
        <v>0</v>
      </c>
      <c r="F595">
        <v>0</v>
      </c>
      <c r="G595">
        <v>-8.0769999999999982</v>
      </c>
      <c r="H595">
        <v>-851.74199999999928</v>
      </c>
      <c r="I595">
        <v>0</v>
      </c>
      <c r="J595">
        <v>0</v>
      </c>
      <c r="K595">
        <v>0.51674829</v>
      </c>
      <c r="L595">
        <v>0</v>
      </c>
      <c r="M595">
        <v>0</v>
      </c>
      <c r="N595">
        <v>0</v>
      </c>
      <c r="O595">
        <v>2.164902709995431</v>
      </c>
      <c r="P595">
        <v>50477.951000000001</v>
      </c>
    </row>
    <row r="596" spans="1:16" x14ac:dyDescent="0.25">
      <c r="A596" s="10">
        <v>38488</v>
      </c>
      <c r="B596">
        <v>-508.09100000000018</v>
      </c>
      <c r="C596">
        <v>292.96800000000002</v>
      </c>
      <c r="D596">
        <v>0</v>
      </c>
      <c r="E596">
        <v>0</v>
      </c>
      <c r="F596">
        <v>0</v>
      </c>
      <c r="G596">
        <v>3.365999999999985</v>
      </c>
      <c r="H596">
        <v>-805.76299999999992</v>
      </c>
      <c r="I596">
        <v>0</v>
      </c>
      <c r="J596">
        <v>0</v>
      </c>
      <c r="K596">
        <v>0.57980925999999999</v>
      </c>
      <c r="L596">
        <v>0</v>
      </c>
      <c r="M596">
        <v>0</v>
      </c>
      <c r="N596">
        <v>0</v>
      </c>
      <c r="O596">
        <v>0.75819073999972031</v>
      </c>
      <c r="P596">
        <v>49969.86</v>
      </c>
    </row>
    <row r="597" spans="1:16" x14ac:dyDescent="0.25">
      <c r="A597" s="10">
        <v>38489</v>
      </c>
      <c r="B597">
        <v>215.10199999999961</v>
      </c>
      <c r="C597">
        <v>199.08750000000001</v>
      </c>
      <c r="D597">
        <v>0</v>
      </c>
      <c r="E597">
        <v>0</v>
      </c>
      <c r="F597">
        <v>0</v>
      </c>
      <c r="G597">
        <v>-3.957999999999998</v>
      </c>
      <c r="H597">
        <v>-43.732973999998649</v>
      </c>
      <c r="I597">
        <v>0</v>
      </c>
      <c r="J597">
        <v>0</v>
      </c>
      <c r="K597">
        <v>23.24667449</v>
      </c>
      <c r="L597">
        <v>0</v>
      </c>
      <c r="M597">
        <v>0</v>
      </c>
      <c r="N597">
        <v>0</v>
      </c>
      <c r="O597">
        <v>40.458799509998272</v>
      </c>
      <c r="P597">
        <v>50184.962</v>
      </c>
    </row>
    <row r="598" spans="1:16" x14ac:dyDescent="0.25">
      <c r="A598" s="10">
        <v>38490</v>
      </c>
      <c r="B598">
        <v>-1122.9369999999981</v>
      </c>
      <c r="C598">
        <v>287.30009984999998</v>
      </c>
      <c r="D598">
        <v>0</v>
      </c>
      <c r="E598">
        <v>0</v>
      </c>
      <c r="F598">
        <v>0</v>
      </c>
      <c r="G598">
        <v>-928.50200000000007</v>
      </c>
      <c r="H598">
        <v>-0.36399999999957799</v>
      </c>
      <c r="I598">
        <v>0</v>
      </c>
      <c r="J598">
        <v>0</v>
      </c>
      <c r="K598">
        <v>6.4763645899999993</v>
      </c>
      <c r="L598">
        <v>-489.9</v>
      </c>
      <c r="M598">
        <v>0</v>
      </c>
      <c r="N598">
        <v>0</v>
      </c>
      <c r="O598">
        <v>2.052535560001616</v>
      </c>
      <c r="P598">
        <v>49062.025000000001</v>
      </c>
    </row>
    <row r="599" spans="1:16" x14ac:dyDescent="0.25">
      <c r="A599" s="10">
        <v>38491</v>
      </c>
      <c r="B599">
        <v>422.48500000000001</v>
      </c>
      <c r="C599">
        <v>122.65300000000001</v>
      </c>
      <c r="D599">
        <v>0</v>
      </c>
      <c r="E599">
        <v>0</v>
      </c>
      <c r="F599">
        <v>0</v>
      </c>
      <c r="G599">
        <v>155.251</v>
      </c>
      <c r="H599">
        <v>143.38100000000031</v>
      </c>
      <c r="I599">
        <v>0</v>
      </c>
      <c r="J599">
        <v>0</v>
      </c>
      <c r="K599">
        <v>0.82540575999999999</v>
      </c>
      <c r="L599">
        <v>0</v>
      </c>
      <c r="M599">
        <v>0</v>
      </c>
      <c r="N599">
        <v>0</v>
      </c>
      <c r="O599">
        <v>0.37459423999962838</v>
      </c>
      <c r="P599">
        <v>49484.51</v>
      </c>
    </row>
    <row r="600" spans="1:16" x14ac:dyDescent="0.25">
      <c r="A600" s="10">
        <v>38492</v>
      </c>
      <c r="B600">
        <v>50.851999999998839</v>
      </c>
      <c r="C600">
        <v>145.79400000000001</v>
      </c>
      <c r="D600">
        <v>0</v>
      </c>
      <c r="E600">
        <v>0</v>
      </c>
      <c r="F600">
        <v>0</v>
      </c>
      <c r="G600">
        <v>46.914999999999999</v>
      </c>
      <c r="H600">
        <v>-143.2747760000002</v>
      </c>
      <c r="I600">
        <v>0</v>
      </c>
      <c r="J600">
        <v>0</v>
      </c>
      <c r="K600">
        <v>1.13003268</v>
      </c>
      <c r="L600">
        <v>0</v>
      </c>
      <c r="M600">
        <v>0</v>
      </c>
      <c r="N600">
        <v>0</v>
      </c>
      <c r="O600">
        <v>0.28774331999903779</v>
      </c>
      <c r="P600">
        <v>49535.362000000001</v>
      </c>
    </row>
    <row r="601" spans="1:16" x14ac:dyDescent="0.25">
      <c r="A601" s="10">
        <v>38495</v>
      </c>
      <c r="B601">
        <v>351.79199999999321</v>
      </c>
      <c r="C601">
        <v>259.16432694999997</v>
      </c>
      <c r="D601">
        <v>0</v>
      </c>
      <c r="E601">
        <v>0</v>
      </c>
      <c r="F601">
        <v>0</v>
      </c>
      <c r="G601">
        <v>29.504999999999999</v>
      </c>
      <c r="H601">
        <v>60.23700000000008</v>
      </c>
      <c r="I601">
        <v>0</v>
      </c>
      <c r="J601">
        <v>0</v>
      </c>
      <c r="K601">
        <v>1.16014207</v>
      </c>
      <c r="L601">
        <v>0</v>
      </c>
      <c r="M601">
        <v>0</v>
      </c>
      <c r="N601">
        <v>0</v>
      </c>
      <c r="O601">
        <v>1.7255309799931251</v>
      </c>
      <c r="P601">
        <v>49887.153999999988</v>
      </c>
    </row>
    <row r="602" spans="1:16" x14ac:dyDescent="0.25">
      <c r="A602" s="10">
        <v>38496</v>
      </c>
      <c r="B602">
        <v>432.91700000000088</v>
      </c>
      <c r="C602">
        <v>346.10550000000001</v>
      </c>
      <c r="D602">
        <v>469</v>
      </c>
      <c r="E602">
        <v>0</v>
      </c>
      <c r="F602">
        <v>0</v>
      </c>
      <c r="G602">
        <v>-433.28930389999999</v>
      </c>
      <c r="H602">
        <v>52.391000000000531</v>
      </c>
      <c r="I602">
        <v>0</v>
      </c>
      <c r="J602">
        <v>0</v>
      </c>
      <c r="K602">
        <v>0.81519410999999997</v>
      </c>
      <c r="L602">
        <v>0</v>
      </c>
      <c r="M602">
        <v>0</v>
      </c>
      <c r="N602">
        <v>0</v>
      </c>
      <c r="O602">
        <v>-2.1053902099995412</v>
      </c>
      <c r="P602">
        <v>50320.071000000004</v>
      </c>
    </row>
    <row r="603" spans="1:16" x14ac:dyDescent="0.25">
      <c r="A603" s="10">
        <v>38498</v>
      </c>
      <c r="B603">
        <v>1287.9090000000069</v>
      </c>
      <c r="C603">
        <v>308.78121814999997</v>
      </c>
      <c r="D603">
        <v>0</v>
      </c>
      <c r="E603">
        <v>0</v>
      </c>
      <c r="F603">
        <v>0</v>
      </c>
      <c r="G603">
        <v>116.62162398</v>
      </c>
      <c r="H603">
        <v>859.81299999999919</v>
      </c>
      <c r="I603">
        <v>0</v>
      </c>
      <c r="J603">
        <v>0</v>
      </c>
      <c r="K603">
        <v>1.5466745799999999</v>
      </c>
      <c r="L603">
        <v>0</v>
      </c>
      <c r="M603">
        <v>0</v>
      </c>
      <c r="N603">
        <v>0</v>
      </c>
      <c r="O603">
        <v>1.1464832900082911</v>
      </c>
      <c r="P603">
        <v>51607.98</v>
      </c>
    </row>
    <row r="604" spans="1:16" x14ac:dyDescent="0.25">
      <c r="A604" s="10">
        <v>38499</v>
      </c>
      <c r="B604">
        <v>652.53099999999506</v>
      </c>
      <c r="C604">
        <v>248.154</v>
      </c>
      <c r="D604">
        <v>0</v>
      </c>
      <c r="E604">
        <v>0</v>
      </c>
      <c r="F604">
        <v>0</v>
      </c>
      <c r="G604">
        <v>100.992</v>
      </c>
      <c r="H604">
        <v>45.402000000000037</v>
      </c>
      <c r="I604">
        <v>0</v>
      </c>
      <c r="J604">
        <v>0</v>
      </c>
      <c r="K604">
        <v>1.2330727500000001</v>
      </c>
      <c r="L604">
        <v>252.99</v>
      </c>
      <c r="M604">
        <v>0</v>
      </c>
      <c r="N604">
        <v>0</v>
      </c>
      <c r="O604">
        <v>3.7599272499950711</v>
      </c>
      <c r="P604">
        <v>52260.510999999999</v>
      </c>
    </row>
    <row r="605" spans="1:16" x14ac:dyDescent="0.25">
      <c r="A605" s="10">
        <v>38502</v>
      </c>
      <c r="B605">
        <v>-70.11099999999648</v>
      </c>
      <c r="C605">
        <v>0</v>
      </c>
      <c r="D605">
        <v>0</v>
      </c>
      <c r="E605">
        <v>0</v>
      </c>
      <c r="F605">
        <v>0</v>
      </c>
      <c r="G605">
        <v>-112.617</v>
      </c>
      <c r="H605">
        <v>42.052999999999876</v>
      </c>
      <c r="I605">
        <v>0</v>
      </c>
      <c r="J605">
        <v>0</v>
      </c>
      <c r="K605">
        <v>1.11174482</v>
      </c>
      <c r="L605">
        <v>0</v>
      </c>
      <c r="M605">
        <v>0</v>
      </c>
      <c r="N605">
        <v>0</v>
      </c>
      <c r="O605">
        <v>-0.65874481999637458</v>
      </c>
      <c r="P605">
        <v>52190.399999999987</v>
      </c>
    </row>
    <row r="606" spans="1:16" x14ac:dyDescent="0.25">
      <c r="A606" s="10">
        <v>38503</v>
      </c>
      <c r="B606">
        <v>-48.303813999998717</v>
      </c>
      <c r="C606">
        <v>155.91617074999999</v>
      </c>
      <c r="D606">
        <v>0</v>
      </c>
      <c r="E606">
        <v>0</v>
      </c>
      <c r="F606">
        <v>0</v>
      </c>
      <c r="G606">
        <v>15.612</v>
      </c>
      <c r="H606">
        <v>-213.31782800000019</v>
      </c>
      <c r="I606">
        <v>0</v>
      </c>
      <c r="J606">
        <v>0</v>
      </c>
      <c r="K606">
        <v>0.83072853000000002</v>
      </c>
      <c r="L606">
        <v>0</v>
      </c>
      <c r="M606">
        <v>0</v>
      </c>
      <c r="N606">
        <v>0</v>
      </c>
      <c r="O606">
        <v>-7.3448852799985218</v>
      </c>
      <c r="P606">
        <v>52142.096186000002</v>
      </c>
    </row>
    <row r="607" spans="1:16" x14ac:dyDescent="0.25">
      <c r="A607" s="10">
        <v>38504</v>
      </c>
      <c r="B607">
        <v>-496.62434300000308</v>
      </c>
      <c r="C607">
        <v>259.76400000000001</v>
      </c>
      <c r="D607">
        <v>0</v>
      </c>
      <c r="E607">
        <v>0</v>
      </c>
      <c r="F607">
        <v>0</v>
      </c>
      <c r="G607">
        <v>507.34199999999998</v>
      </c>
      <c r="H607">
        <v>-518.85310988000037</v>
      </c>
      <c r="I607">
        <v>0</v>
      </c>
      <c r="J607">
        <v>0</v>
      </c>
      <c r="K607">
        <v>0</v>
      </c>
      <c r="L607">
        <v>-753.2</v>
      </c>
      <c r="M607">
        <v>0</v>
      </c>
      <c r="N607">
        <v>0</v>
      </c>
      <c r="O607">
        <v>8.3227668799972889</v>
      </c>
      <c r="P607">
        <v>51645.471842999999</v>
      </c>
    </row>
    <row r="608" spans="1:16" x14ac:dyDescent="0.25">
      <c r="A608" s="10">
        <v>38505</v>
      </c>
      <c r="B608">
        <v>316.00415699999519</v>
      </c>
      <c r="C608">
        <v>269.67</v>
      </c>
      <c r="D608">
        <v>0</v>
      </c>
      <c r="E608">
        <v>0</v>
      </c>
      <c r="F608">
        <v>0</v>
      </c>
      <c r="G608">
        <v>-8.0319999999999254</v>
      </c>
      <c r="H608">
        <v>211.45099999999999</v>
      </c>
      <c r="I608">
        <v>0</v>
      </c>
      <c r="J608">
        <v>-110.35999999999881</v>
      </c>
      <c r="K608">
        <v>-47.181239429999998</v>
      </c>
      <c r="L608">
        <v>0</v>
      </c>
      <c r="M608">
        <v>0</v>
      </c>
      <c r="N608">
        <v>0</v>
      </c>
      <c r="O608">
        <v>0.45639642999390162</v>
      </c>
      <c r="P608">
        <v>51961.476000000002</v>
      </c>
    </row>
    <row r="609" spans="1:16" x14ac:dyDescent="0.25">
      <c r="A609" s="10">
        <v>38506</v>
      </c>
      <c r="B609">
        <v>870.93099999999652</v>
      </c>
      <c r="C609">
        <v>441.88917700000002</v>
      </c>
      <c r="D609">
        <v>0</v>
      </c>
      <c r="E609">
        <v>0</v>
      </c>
      <c r="F609">
        <v>0</v>
      </c>
      <c r="G609">
        <v>-1.4149999999999989</v>
      </c>
      <c r="H609">
        <v>371.58200000000028</v>
      </c>
      <c r="I609">
        <v>0</v>
      </c>
      <c r="J609">
        <v>0</v>
      </c>
      <c r="K609">
        <v>1.2004210099999999</v>
      </c>
      <c r="L609">
        <v>56.7</v>
      </c>
      <c r="M609">
        <v>0</v>
      </c>
      <c r="N609">
        <v>0</v>
      </c>
      <c r="O609">
        <v>0.97440198999618133</v>
      </c>
      <c r="P609">
        <v>52832.406999999992</v>
      </c>
    </row>
    <row r="610" spans="1:16" x14ac:dyDescent="0.25">
      <c r="A610" s="10">
        <v>38509</v>
      </c>
      <c r="B610">
        <v>231.21700000000419</v>
      </c>
      <c r="C610">
        <v>94.105176999999998</v>
      </c>
      <c r="D610">
        <v>0</v>
      </c>
      <c r="E610">
        <v>0</v>
      </c>
      <c r="F610">
        <v>0</v>
      </c>
      <c r="G610">
        <v>-3.9849999999999852</v>
      </c>
      <c r="H610">
        <v>197.15899999999971</v>
      </c>
      <c r="I610">
        <v>0</v>
      </c>
      <c r="J610">
        <v>0</v>
      </c>
      <c r="K610">
        <v>1.08657881</v>
      </c>
      <c r="L610">
        <v>0</v>
      </c>
      <c r="M610">
        <v>0</v>
      </c>
      <c r="N610">
        <v>0</v>
      </c>
      <c r="O610">
        <v>-57.148755809995457</v>
      </c>
      <c r="P610">
        <v>53063.624000000003</v>
      </c>
    </row>
    <row r="611" spans="1:16" x14ac:dyDescent="0.25">
      <c r="A611" s="10">
        <v>38510</v>
      </c>
      <c r="B611">
        <v>398.64600000000053</v>
      </c>
      <c r="C611">
        <v>52.637</v>
      </c>
      <c r="D611">
        <v>0</v>
      </c>
      <c r="E611">
        <v>0</v>
      </c>
      <c r="F611">
        <v>0</v>
      </c>
      <c r="G611">
        <v>-3.786999999999999</v>
      </c>
      <c r="H611">
        <v>348.53099999999989</v>
      </c>
      <c r="I611">
        <v>0</v>
      </c>
      <c r="J611">
        <v>0</v>
      </c>
      <c r="K611">
        <v>0.93096555000000003</v>
      </c>
      <c r="L611">
        <v>0</v>
      </c>
      <c r="M611">
        <v>0</v>
      </c>
      <c r="N611">
        <v>0</v>
      </c>
      <c r="O611">
        <v>0.33403445000055848</v>
      </c>
      <c r="P611">
        <v>53462.27</v>
      </c>
    </row>
    <row r="612" spans="1:16" x14ac:dyDescent="0.25">
      <c r="A612" s="10">
        <v>38511</v>
      </c>
      <c r="B612">
        <v>-2096.1329999999939</v>
      </c>
      <c r="C612">
        <v>142.02500000000001</v>
      </c>
      <c r="D612">
        <v>0</v>
      </c>
      <c r="E612">
        <v>0</v>
      </c>
      <c r="F612">
        <v>0</v>
      </c>
      <c r="G612">
        <v>-7.1739999999999782</v>
      </c>
      <c r="H612">
        <v>8.2902070000000094</v>
      </c>
      <c r="I612">
        <v>0</v>
      </c>
      <c r="J612">
        <v>0</v>
      </c>
      <c r="K612">
        <v>0.37722307999999999</v>
      </c>
      <c r="L612">
        <v>-2244.1999999999998</v>
      </c>
      <c r="M612">
        <v>0</v>
      </c>
      <c r="N612">
        <v>0</v>
      </c>
      <c r="O612">
        <v>4.548569920005157</v>
      </c>
      <c r="P612">
        <v>51366.137000000002</v>
      </c>
    </row>
    <row r="613" spans="1:16" x14ac:dyDescent="0.25">
      <c r="A613" s="10">
        <v>38512</v>
      </c>
      <c r="B613">
        <v>-190.00700000000509</v>
      </c>
      <c r="C613">
        <v>82.61699999999999</v>
      </c>
      <c r="D613">
        <v>0</v>
      </c>
      <c r="E613">
        <v>-400</v>
      </c>
      <c r="F613">
        <v>0</v>
      </c>
      <c r="G613">
        <v>-85.781515847718026</v>
      </c>
      <c r="H613">
        <v>167.71804100000011</v>
      </c>
      <c r="I613">
        <v>0</v>
      </c>
      <c r="J613">
        <v>0</v>
      </c>
      <c r="K613">
        <v>0.67795939999999999</v>
      </c>
      <c r="L613">
        <v>0</v>
      </c>
      <c r="M613">
        <v>0</v>
      </c>
      <c r="N613">
        <v>0</v>
      </c>
      <c r="O613">
        <v>44.761515447712902</v>
      </c>
      <c r="P613">
        <v>51176.13</v>
      </c>
    </row>
    <row r="614" spans="1:16" x14ac:dyDescent="0.25">
      <c r="A614" s="10">
        <v>38513</v>
      </c>
      <c r="B614">
        <v>287.79600000000181</v>
      </c>
      <c r="C614">
        <v>136.68349900000001</v>
      </c>
      <c r="D614">
        <v>0</v>
      </c>
      <c r="E614">
        <v>0</v>
      </c>
      <c r="F614">
        <v>0</v>
      </c>
      <c r="G614">
        <v>31.276</v>
      </c>
      <c r="H614">
        <v>119.75099999999929</v>
      </c>
      <c r="I614">
        <v>0</v>
      </c>
      <c r="J614">
        <v>0</v>
      </c>
      <c r="K614">
        <v>0.94409012999999997</v>
      </c>
      <c r="L614">
        <v>0</v>
      </c>
      <c r="M614">
        <v>0</v>
      </c>
      <c r="N614">
        <v>0</v>
      </c>
      <c r="O614">
        <v>-0.85858912999759696</v>
      </c>
      <c r="P614">
        <v>51463.925999999999</v>
      </c>
    </row>
    <row r="615" spans="1:16" x14ac:dyDescent="0.25">
      <c r="A615" s="10">
        <v>38516</v>
      </c>
      <c r="B615">
        <v>103.8740000000037</v>
      </c>
      <c r="C615">
        <v>163.357</v>
      </c>
      <c r="D615">
        <v>0</v>
      </c>
      <c r="E615">
        <v>0</v>
      </c>
      <c r="F615">
        <v>0</v>
      </c>
      <c r="G615">
        <v>-2.0950000000000002</v>
      </c>
      <c r="H615">
        <v>-49.434999999999491</v>
      </c>
      <c r="I615">
        <v>0</v>
      </c>
      <c r="J615">
        <v>0</v>
      </c>
      <c r="K615">
        <v>0.95815461999999996</v>
      </c>
      <c r="L615">
        <v>0</v>
      </c>
      <c r="M615">
        <v>0</v>
      </c>
      <c r="N615">
        <v>0</v>
      </c>
      <c r="O615">
        <v>-8.9111546199968075</v>
      </c>
      <c r="P615">
        <v>51567.8</v>
      </c>
    </row>
    <row r="616" spans="1:16" x14ac:dyDescent="0.25">
      <c r="A616" s="10">
        <v>38517</v>
      </c>
      <c r="B616">
        <v>175.23099999999971</v>
      </c>
      <c r="C616">
        <v>169.49255585</v>
      </c>
      <c r="D616">
        <v>0</v>
      </c>
      <c r="E616">
        <v>0</v>
      </c>
      <c r="F616">
        <v>0</v>
      </c>
      <c r="G616">
        <v>-6.9549999999999947</v>
      </c>
      <c r="H616">
        <v>13.789648580000179</v>
      </c>
      <c r="I616">
        <v>0</v>
      </c>
      <c r="J616">
        <v>0</v>
      </c>
      <c r="K616">
        <v>0.73309409000000003</v>
      </c>
      <c r="L616">
        <v>0</v>
      </c>
      <c r="M616">
        <v>0</v>
      </c>
      <c r="N616">
        <v>0</v>
      </c>
      <c r="O616">
        <v>-1.8292985200005489</v>
      </c>
      <c r="P616">
        <v>51743.031000000003</v>
      </c>
    </row>
    <row r="617" spans="1:16" x14ac:dyDescent="0.25">
      <c r="A617" s="10">
        <v>38518</v>
      </c>
      <c r="B617">
        <v>-221.13900000000271</v>
      </c>
      <c r="C617">
        <v>330.01619025000002</v>
      </c>
      <c r="D617">
        <v>0</v>
      </c>
      <c r="E617">
        <v>0</v>
      </c>
      <c r="F617">
        <v>0</v>
      </c>
      <c r="G617">
        <v>3.3990000000000151</v>
      </c>
      <c r="H617">
        <v>484.63579392999958</v>
      </c>
      <c r="I617">
        <v>0</v>
      </c>
      <c r="J617">
        <v>0</v>
      </c>
      <c r="K617">
        <v>0.33</v>
      </c>
      <c r="L617">
        <v>-1049.77</v>
      </c>
      <c r="M617">
        <v>0</v>
      </c>
      <c r="N617">
        <v>0</v>
      </c>
      <c r="O617">
        <v>10.250015819997589</v>
      </c>
      <c r="P617">
        <v>51521.892</v>
      </c>
    </row>
    <row r="618" spans="1:16" x14ac:dyDescent="0.25">
      <c r="A618" s="10">
        <v>38519</v>
      </c>
      <c r="B618">
        <v>-10.133000000001751</v>
      </c>
      <c r="C618">
        <v>299.07716699999997</v>
      </c>
      <c r="D618">
        <v>0</v>
      </c>
      <c r="E618">
        <v>0</v>
      </c>
      <c r="F618">
        <v>0</v>
      </c>
      <c r="G618">
        <v>-6.8529999999999518</v>
      </c>
      <c r="H618">
        <v>-296.43014639000012</v>
      </c>
      <c r="I618">
        <v>0</v>
      </c>
      <c r="J618">
        <v>0</v>
      </c>
      <c r="K618">
        <v>0.59946363999999996</v>
      </c>
      <c r="L618">
        <v>0</v>
      </c>
      <c r="M618">
        <v>0</v>
      </c>
      <c r="N618">
        <v>0</v>
      </c>
      <c r="O618">
        <v>-6.5264842500016584</v>
      </c>
      <c r="P618">
        <v>51511.758999999998</v>
      </c>
    </row>
    <row r="619" spans="1:16" x14ac:dyDescent="0.25">
      <c r="A619" s="10">
        <v>38520</v>
      </c>
      <c r="B619">
        <v>-865.08299999999872</v>
      </c>
      <c r="C619">
        <v>354.65499999999997</v>
      </c>
      <c r="D619">
        <v>0</v>
      </c>
      <c r="E619">
        <v>0</v>
      </c>
      <c r="F619">
        <v>0</v>
      </c>
      <c r="G619">
        <v>-6.3570000000000846</v>
      </c>
      <c r="H619">
        <v>-1202.4059999999999</v>
      </c>
      <c r="I619">
        <v>0</v>
      </c>
      <c r="J619">
        <v>0</v>
      </c>
      <c r="K619">
        <v>0.96695310000000001</v>
      </c>
      <c r="L619">
        <v>0</v>
      </c>
      <c r="M619">
        <v>0</v>
      </c>
      <c r="N619">
        <v>0</v>
      </c>
      <c r="O619">
        <v>-11.94195309999861</v>
      </c>
      <c r="P619">
        <v>50646.675999999999</v>
      </c>
    </row>
    <row r="620" spans="1:16" x14ac:dyDescent="0.25">
      <c r="A620" s="10">
        <v>38524</v>
      </c>
      <c r="B620">
        <v>442.73000000000269</v>
      </c>
      <c r="C620">
        <v>232.102</v>
      </c>
      <c r="D620">
        <v>0</v>
      </c>
      <c r="E620">
        <v>0</v>
      </c>
      <c r="F620">
        <v>0</v>
      </c>
      <c r="G620">
        <v>109.041</v>
      </c>
      <c r="H620">
        <v>101.51599999999959</v>
      </c>
      <c r="I620">
        <v>0</v>
      </c>
      <c r="J620">
        <v>0</v>
      </c>
      <c r="K620">
        <v>1.82398547</v>
      </c>
      <c r="L620">
        <v>0</v>
      </c>
      <c r="M620">
        <v>0</v>
      </c>
      <c r="N620">
        <v>0</v>
      </c>
      <c r="O620">
        <v>-1.752985469996913</v>
      </c>
      <c r="P620">
        <v>51089.406000000003</v>
      </c>
    </row>
    <row r="621" spans="1:16" x14ac:dyDescent="0.25">
      <c r="A621" s="10">
        <v>38525</v>
      </c>
      <c r="B621">
        <v>-2086.734000000004</v>
      </c>
      <c r="C621">
        <v>437.06400000000002</v>
      </c>
      <c r="D621">
        <v>0</v>
      </c>
      <c r="E621">
        <v>0</v>
      </c>
      <c r="F621">
        <v>0</v>
      </c>
      <c r="G621">
        <v>-5.7129999999999992</v>
      </c>
      <c r="H621">
        <v>-2502.398999999999</v>
      </c>
      <c r="I621">
        <v>0</v>
      </c>
      <c r="J621">
        <v>0</v>
      </c>
      <c r="K621">
        <v>1.82398547</v>
      </c>
      <c r="L621">
        <v>42.5</v>
      </c>
      <c r="M621">
        <v>0</v>
      </c>
      <c r="N621">
        <v>0</v>
      </c>
      <c r="O621">
        <v>-60.009985470005176</v>
      </c>
      <c r="P621">
        <v>49002.671999999999</v>
      </c>
    </row>
    <row r="622" spans="1:16" x14ac:dyDescent="0.25">
      <c r="A622" s="10">
        <v>38526</v>
      </c>
      <c r="B622">
        <v>80.506000000000185</v>
      </c>
      <c r="C622">
        <v>248.68899999999999</v>
      </c>
      <c r="D622">
        <v>0</v>
      </c>
      <c r="E622">
        <v>0</v>
      </c>
      <c r="F622">
        <v>0</v>
      </c>
      <c r="G622">
        <v>-7.2799999999999727</v>
      </c>
      <c r="H622">
        <v>-162.12485361000111</v>
      </c>
      <c r="I622">
        <v>0</v>
      </c>
      <c r="J622">
        <v>0</v>
      </c>
      <c r="K622">
        <v>0.80301769000000001</v>
      </c>
      <c r="L622">
        <v>0</v>
      </c>
      <c r="M622">
        <v>0</v>
      </c>
      <c r="N622">
        <v>0</v>
      </c>
      <c r="O622">
        <v>0.41883592000124281</v>
      </c>
      <c r="P622">
        <v>49083.178</v>
      </c>
    </row>
    <row r="623" spans="1:16" x14ac:dyDescent="0.25">
      <c r="A623" s="10">
        <v>38527</v>
      </c>
      <c r="B623">
        <v>1878.336000000003</v>
      </c>
      <c r="C623">
        <v>213.59549999999999</v>
      </c>
      <c r="D623">
        <v>0</v>
      </c>
      <c r="E623">
        <v>0</v>
      </c>
      <c r="F623">
        <v>0</v>
      </c>
      <c r="G623">
        <v>-3.875</v>
      </c>
      <c r="H623">
        <v>1666.222</v>
      </c>
      <c r="I623">
        <v>0</v>
      </c>
      <c r="J623">
        <v>0</v>
      </c>
      <c r="K623">
        <v>2.03718267</v>
      </c>
      <c r="L623">
        <v>0</v>
      </c>
      <c r="M623">
        <v>0</v>
      </c>
      <c r="N623">
        <v>0</v>
      </c>
      <c r="O623">
        <v>0.35631733000309401</v>
      </c>
      <c r="P623">
        <v>50961.514000000003</v>
      </c>
    </row>
    <row r="624" spans="1:16" x14ac:dyDescent="0.25">
      <c r="A624" s="10">
        <v>38530</v>
      </c>
      <c r="B624">
        <v>786.19799999999634</v>
      </c>
      <c r="C624">
        <v>262.28100000000001</v>
      </c>
      <c r="D624">
        <v>0</v>
      </c>
      <c r="E624">
        <v>0</v>
      </c>
      <c r="F624">
        <v>0</v>
      </c>
      <c r="G624">
        <v>-171.9520000158096</v>
      </c>
      <c r="H624">
        <v>735.7740189999995</v>
      </c>
      <c r="I624">
        <v>0</v>
      </c>
      <c r="J624">
        <v>0</v>
      </c>
      <c r="K624">
        <v>0.63498158000000005</v>
      </c>
      <c r="L624">
        <v>0</v>
      </c>
      <c r="M624">
        <v>0</v>
      </c>
      <c r="N624">
        <v>0</v>
      </c>
      <c r="O624">
        <v>-40.540000564193583</v>
      </c>
      <c r="P624">
        <v>51747.712</v>
      </c>
    </row>
    <row r="625" spans="1:16" x14ac:dyDescent="0.25">
      <c r="A625" s="10">
        <v>38531</v>
      </c>
      <c r="B625">
        <v>686.65800000000331</v>
      </c>
      <c r="C625">
        <v>216.18899999999999</v>
      </c>
      <c r="D625">
        <v>0</v>
      </c>
      <c r="E625">
        <v>0</v>
      </c>
      <c r="F625">
        <v>0</v>
      </c>
      <c r="G625">
        <v>5.4229999999999992</v>
      </c>
      <c r="H625">
        <v>457.88900000000012</v>
      </c>
      <c r="I625">
        <v>0</v>
      </c>
      <c r="J625">
        <v>0</v>
      </c>
      <c r="K625">
        <v>1.2513737199999999</v>
      </c>
      <c r="L625">
        <v>0</v>
      </c>
      <c r="M625">
        <v>0</v>
      </c>
      <c r="N625">
        <v>0</v>
      </c>
      <c r="O625">
        <v>5.9056262800031663</v>
      </c>
      <c r="P625">
        <v>52434.37</v>
      </c>
    </row>
    <row r="626" spans="1:16" x14ac:dyDescent="0.25">
      <c r="A626" s="10">
        <v>38532</v>
      </c>
      <c r="B626">
        <v>1066.271</v>
      </c>
      <c r="C626">
        <v>140.793633</v>
      </c>
      <c r="D626">
        <v>0</v>
      </c>
      <c r="E626">
        <v>0</v>
      </c>
      <c r="F626">
        <v>0</v>
      </c>
      <c r="G626">
        <v>-4.4839999999999796</v>
      </c>
      <c r="H626">
        <v>951.52800000000025</v>
      </c>
      <c r="I626">
        <v>0</v>
      </c>
      <c r="J626">
        <v>0</v>
      </c>
      <c r="K626">
        <v>1.44487404</v>
      </c>
      <c r="L626">
        <v>0.5</v>
      </c>
      <c r="M626">
        <v>0</v>
      </c>
      <c r="N626">
        <v>0</v>
      </c>
      <c r="O626">
        <v>-23.511507039999969</v>
      </c>
      <c r="P626">
        <v>53500.641000000003</v>
      </c>
    </row>
    <row r="627" spans="1:16" x14ac:dyDescent="0.25">
      <c r="A627" s="10">
        <v>38533</v>
      </c>
      <c r="B627">
        <v>-2076.810473000005</v>
      </c>
      <c r="C627">
        <v>216.71251899999999</v>
      </c>
      <c r="D627">
        <v>0</v>
      </c>
      <c r="E627">
        <v>0</v>
      </c>
      <c r="F627">
        <v>0</v>
      </c>
      <c r="G627">
        <v>-124.91082299999999</v>
      </c>
      <c r="H627">
        <v>-2170.4769329999999</v>
      </c>
      <c r="I627">
        <v>0</v>
      </c>
      <c r="J627">
        <v>0</v>
      </c>
      <c r="K627">
        <v>0.96237627000000003</v>
      </c>
      <c r="L627">
        <v>0</v>
      </c>
      <c r="M627">
        <v>0</v>
      </c>
      <c r="N627">
        <v>0</v>
      </c>
      <c r="O627">
        <v>0.90238772999464345</v>
      </c>
      <c r="P627">
        <v>51423.830526999998</v>
      </c>
    </row>
    <row r="628" spans="1:16" x14ac:dyDescent="0.25">
      <c r="A628" s="10">
        <v>38534</v>
      </c>
      <c r="B628">
        <v>1651.1059440000031</v>
      </c>
      <c r="C628">
        <v>244.39</v>
      </c>
      <c r="D628">
        <v>0</v>
      </c>
      <c r="E628">
        <v>400</v>
      </c>
      <c r="F628">
        <v>0</v>
      </c>
      <c r="G628">
        <v>27.784822999999999</v>
      </c>
      <c r="H628">
        <v>1013.8458536099999</v>
      </c>
      <c r="I628">
        <v>0</v>
      </c>
      <c r="J628">
        <v>0</v>
      </c>
      <c r="K628">
        <v>1.02353341</v>
      </c>
      <c r="L628">
        <v>0</v>
      </c>
      <c r="M628">
        <v>0</v>
      </c>
      <c r="N628">
        <v>0</v>
      </c>
      <c r="O628">
        <v>-35.938266019996952</v>
      </c>
      <c r="P628">
        <v>53074.936471000001</v>
      </c>
    </row>
    <row r="629" spans="1:16" x14ac:dyDescent="0.25">
      <c r="A629" s="10">
        <v>38537</v>
      </c>
      <c r="B629">
        <v>321.57300099999679</v>
      </c>
      <c r="C629">
        <v>34.601999999999997</v>
      </c>
      <c r="D629">
        <v>0</v>
      </c>
      <c r="E629">
        <v>0</v>
      </c>
      <c r="F629">
        <v>0</v>
      </c>
      <c r="G629">
        <v>3.387</v>
      </c>
      <c r="H629">
        <v>513.88200000000052</v>
      </c>
      <c r="I629">
        <v>0</v>
      </c>
      <c r="J629">
        <v>-125.3600000000006</v>
      </c>
      <c r="K629">
        <v>-51.669824429999643</v>
      </c>
      <c r="L629">
        <v>0</v>
      </c>
      <c r="M629">
        <v>0</v>
      </c>
      <c r="N629">
        <v>0</v>
      </c>
      <c r="O629">
        <v>-53.268174570003552</v>
      </c>
      <c r="P629">
        <v>53396.509471999998</v>
      </c>
    </row>
    <row r="630" spans="1:16" x14ac:dyDescent="0.25">
      <c r="A630" s="10">
        <v>38538</v>
      </c>
      <c r="B630">
        <v>733.97099999999807</v>
      </c>
      <c r="C630">
        <v>47.685000000000002</v>
      </c>
      <c r="D630">
        <v>0</v>
      </c>
      <c r="E630">
        <v>0</v>
      </c>
      <c r="F630">
        <v>0</v>
      </c>
      <c r="G630">
        <v>-6.27</v>
      </c>
      <c r="H630">
        <v>708.53300000000036</v>
      </c>
      <c r="I630">
        <v>0</v>
      </c>
      <c r="J630">
        <v>0</v>
      </c>
      <c r="K630">
        <v>0.63765938</v>
      </c>
      <c r="L630">
        <v>0</v>
      </c>
      <c r="M630">
        <v>0</v>
      </c>
      <c r="N630">
        <v>0</v>
      </c>
      <c r="O630">
        <v>-16.614659380002191</v>
      </c>
      <c r="P630">
        <v>54130.480472000003</v>
      </c>
    </row>
    <row r="631" spans="1:16" x14ac:dyDescent="0.25">
      <c r="A631" s="10">
        <v>38539</v>
      </c>
      <c r="B631">
        <v>731.62352800000349</v>
      </c>
      <c r="C631">
        <v>219.098219</v>
      </c>
      <c r="D631">
        <v>0</v>
      </c>
      <c r="E631">
        <v>0</v>
      </c>
      <c r="F631">
        <v>0</v>
      </c>
      <c r="G631">
        <v>-5.9420000000000002</v>
      </c>
      <c r="H631">
        <v>123.37299999999961</v>
      </c>
      <c r="I631">
        <v>0</v>
      </c>
      <c r="J631">
        <v>0</v>
      </c>
      <c r="K631">
        <v>0.46844838</v>
      </c>
      <c r="L631">
        <v>391.44</v>
      </c>
      <c r="M631">
        <v>0</v>
      </c>
      <c r="N631">
        <v>0</v>
      </c>
      <c r="O631">
        <v>3.1858606200039499</v>
      </c>
      <c r="P631">
        <v>54862.103999999999</v>
      </c>
    </row>
    <row r="632" spans="1:16" x14ac:dyDescent="0.25">
      <c r="A632" s="10">
        <v>38540</v>
      </c>
      <c r="B632">
        <v>-8.2420799999957026</v>
      </c>
      <c r="C632">
        <v>272.02208000000002</v>
      </c>
      <c r="D632">
        <v>0</v>
      </c>
      <c r="E632">
        <v>0</v>
      </c>
      <c r="F632">
        <v>0</v>
      </c>
      <c r="G632">
        <v>-168.93946524</v>
      </c>
      <c r="H632">
        <v>-111.7579999999998</v>
      </c>
      <c r="I632">
        <v>0</v>
      </c>
      <c r="J632">
        <v>0</v>
      </c>
      <c r="K632">
        <v>0.43</v>
      </c>
      <c r="L632">
        <v>0</v>
      </c>
      <c r="M632">
        <v>0</v>
      </c>
      <c r="N632">
        <v>0</v>
      </c>
      <c r="O632">
        <v>3.305240004096488E-3</v>
      </c>
      <c r="P632">
        <v>54853.861920000003</v>
      </c>
    </row>
    <row r="633" spans="1:16" x14ac:dyDescent="0.25">
      <c r="A633" s="10">
        <v>38541</v>
      </c>
      <c r="B633">
        <v>543.22774999999808</v>
      </c>
      <c r="C633">
        <v>245.6</v>
      </c>
      <c r="D633">
        <v>0</v>
      </c>
      <c r="E633">
        <v>0</v>
      </c>
      <c r="F633">
        <v>0</v>
      </c>
      <c r="G633">
        <v>-208.70422206000001</v>
      </c>
      <c r="H633">
        <v>493.61788099999973</v>
      </c>
      <c r="I633">
        <v>0</v>
      </c>
      <c r="J633">
        <v>0</v>
      </c>
      <c r="K633">
        <v>0.74644252</v>
      </c>
      <c r="L633">
        <v>0</v>
      </c>
      <c r="M633">
        <v>0</v>
      </c>
      <c r="N633">
        <v>0</v>
      </c>
      <c r="O633">
        <v>11.967648539998439</v>
      </c>
      <c r="P633">
        <v>55397.089670000001</v>
      </c>
    </row>
    <row r="634" spans="1:16" x14ac:dyDescent="0.25">
      <c r="A634" s="10">
        <v>38544</v>
      </c>
      <c r="B634">
        <v>-71.21699900000327</v>
      </c>
      <c r="C634">
        <v>0</v>
      </c>
      <c r="D634">
        <v>0</v>
      </c>
      <c r="E634">
        <v>0</v>
      </c>
      <c r="F634">
        <v>0</v>
      </c>
      <c r="G634">
        <v>97.257650000000012</v>
      </c>
      <c r="H634">
        <v>-162.41399999999979</v>
      </c>
      <c r="I634">
        <v>0</v>
      </c>
      <c r="J634">
        <v>0</v>
      </c>
      <c r="K634">
        <v>0.69438168</v>
      </c>
      <c r="L634">
        <v>0</v>
      </c>
      <c r="M634">
        <v>0</v>
      </c>
      <c r="N634">
        <v>0</v>
      </c>
      <c r="O634">
        <v>-6.7550306800035278</v>
      </c>
      <c r="P634">
        <v>55325.872670999997</v>
      </c>
    </row>
    <row r="635" spans="1:16" x14ac:dyDescent="0.25">
      <c r="A635" s="10">
        <v>38545</v>
      </c>
      <c r="B635">
        <v>15.47200000000165</v>
      </c>
      <c r="C635">
        <v>727.3</v>
      </c>
      <c r="D635">
        <v>0</v>
      </c>
      <c r="E635">
        <v>0</v>
      </c>
      <c r="F635">
        <v>0</v>
      </c>
      <c r="G635">
        <v>-860.55200000000002</v>
      </c>
      <c r="H635">
        <v>158.9579999999996</v>
      </c>
      <c r="I635">
        <v>0</v>
      </c>
      <c r="J635">
        <v>0</v>
      </c>
      <c r="K635">
        <v>0.56442415000000001</v>
      </c>
      <c r="L635">
        <v>0</v>
      </c>
      <c r="M635">
        <v>0</v>
      </c>
      <c r="N635">
        <v>0</v>
      </c>
      <c r="O635">
        <v>-10.79842414999791</v>
      </c>
      <c r="P635">
        <v>55341.344670999999</v>
      </c>
    </row>
    <row r="636" spans="1:16" x14ac:dyDescent="0.25">
      <c r="A636" s="10">
        <v>38546</v>
      </c>
      <c r="B636">
        <v>-446.01699999999983</v>
      </c>
      <c r="C636">
        <v>123.4</v>
      </c>
      <c r="D636">
        <v>0</v>
      </c>
      <c r="E636">
        <v>0</v>
      </c>
      <c r="F636">
        <v>0</v>
      </c>
      <c r="G636">
        <v>10.28</v>
      </c>
      <c r="H636">
        <v>206.29800000000071</v>
      </c>
      <c r="I636">
        <v>0</v>
      </c>
      <c r="J636">
        <v>0</v>
      </c>
      <c r="K636">
        <v>0.58699999999999997</v>
      </c>
      <c r="L636">
        <v>-702.05272966069685</v>
      </c>
      <c r="M636">
        <v>0</v>
      </c>
      <c r="N636">
        <v>0</v>
      </c>
      <c r="O636">
        <v>-84.529270339303679</v>
      </c>
      <c r="P636">
        <v>54895.327670999999</v>
      </c>
    </row>
    <row r="637" spans="1:16" x14ac:dyDescent="0.25">
      <c r="A637" s="10">
        <v>38547</v>
      </c>
      <c r="B637">
        <v>-347.10600000000028</v>
      </c>
      <c r="C637">
        <v>863</v>
      </c>
      <c r="D637">
        <v>0</v>
      </c>
      <c r="E637">
        <v>0</v>
      </c>
      <c r="F637">
        <v>0</v>
      </c>
      <c r="G637">
        <v>-878.62300000000005</v>
      </c>
      <c r="H637">
        <v>-351.4065270000001</v>
      </c>
      <c r="I637">
        <v>0</v>
      </c>
      <c r="J637">
        <v>0</v>
      </c>
      <c r="K637">
        <v>0.65</v>
      </c>
      <c r="L637">
        <v>0</v>
      </c>
      <c r="M637">
        <v>0</v>
      </c>
      <c r="N637">
        <v>0</v>
      </c>
      <c r="O637">
        <v>19.273526999999831</v>
      </c>
      <c r="P637">
        <v>54548.221670999999</v>
      </c>
    </row>
    <row r="638" spans="1:16" x14ac:dyDescent="0.25">
      <c r="A638" s="10">
        <v>38548</v>
      </c>
      <c r="B638">
        <v>-137.40799999999541</v>
      </c>
      <c r="C638">
        <v>296.2</v>
      </c>
      <c r="D638">
        <v>0</v>
      </c>
      <c r="E638">
        <v>0</v>
      </c>
      <c r="F638">
        <v>0</v>
      </c>
      <c r="G638">
        <v>-19.646999999999991</v>
      </c>
      <c r="H638">
        <v>-422.44700000000012</v>
      </c>
      <c r="I638">
        <v>0</v>
      </c>
      <c r="J638">
        <v>0</v>
      </c>
      <c r="K638">
        <v>0.58701943000000001</v>
      </c>
      <c r="L638">
        <v>0</v>
      </c>
      <c r="M638">
        <v>0</v>
      </c>
      <c r="N638">
        <v>0</v>
      </c>
      <c r="O638">
        <v>7.89898057000471</v>
      </c>
      <c r="P638">
        <v>54410.813671000004</v>
      </c>
    </row>
    <row r="639" spans="1:16" x14ac:dyDescent="0.25">
      <c r="A639" s="10">
        <v>38551</v>
      </c>
      <c r="B639">
        <v>-14.825001000005029</v>
      </c>
      <c r="C639">
        <v>121.895</v>
      </c>
      <c r="D639">
        <v>0</v>
      </c>
      <c r="E639">
        <v>0</v>
      </c>
      <c r="F639">
        <v>0</v>
      </c>
      <c r="G639">
        <v>-7.4219999999999926</v>
      </c>
      <c r="H639">
        <v>-129.07058200000029</v>
      </c>
      <c r="I639">
        <v>0</v>
      </c>
      <c r="J639">
        <v>0</v>
      </c>
      <c r="K639">
        <v>0.62564445999999996</v>
      </c>
      <c r="L639">
        <v>0</v>
      </c>
      <c r="M639">
        <v>0</v>
      </c>
      <c r="N639">
        <v>0</v>
      </c>
      <c r="O639">
        <v>-0.85306346000474742</v>
      </c>
      <c r="P639">
        <v>54395.988669999999</v>
      </c>
    </row>
    <row r="640" spans="1:16" x14ac:dyDescent="0.25">
      <c r="A640" s="10">
        <v>38552</v>
      </c>
      <c r="B640">
        <v>152.36395099999919</v>
      </c>
      <c r="C640">
        <v>238.97</v>
      </c>
      <c r="D640">
        <v>0</v>
      </c>
      <c r="E640">
        <v>0</v>
      </c>
      <c r="F640">
        <v>0</v>
      </c>
      <c r="G640">
        <v>52.195999999999998</v>
      </c>
      <c r="H640">
        <v>-200.30500000000029</v>
      </c>
      <c r="I640">
        <v>0</v>
      </c>
      <c r="J640">
        <v>0</v>
      </c>
      <c r="K640">
        <v>0.65435770999999998</v>
      </c>
      <c r="L640">
        <v>60.2</v>
      </c>
      <c r="M640">
        <v>0</v>
      </c>
      <c r="N640">
        <v>0</v>
      </c>
      <c r="O640">
        <v>0.64859328999955324</v>
      </c>
      <c r="P640">
        <v>54548.352620999998</v>
      </c>
    </row>
    <row r="641" spans="1:16" x14ac:dyDescent="0.25">
      <c r="A641" s="10">
        <v>38553</v>
      </c>
      <c r="B641">
        <v>-329.3879999999985</v>
      </c>
      <c r="C641">
        <v>249.45699999999999</v>
      </c>
      <c r="D641">
        <v>0</v>
      </c>
      <c r="E641">
        <v>0</v>
      </c>
      <c r="F641">
        <v>0</v>
      </c>
      <c r="G641">
        <v>26.96</v>
      </c>
      <c r="H641">
        <v>-344.4406570000001</v>
      </c>
      <c r="I641">
        <v>0</v>
      </c>
      <c r="J641">
        <v>0</v>
      </c>
      <c r="K641">
        <v>0.77465737999999995</v>
      </c>
      <c r="L641">
        <v>-262.5</v>
      </c>
      <c r="M641">
        <v>0</v>
      </c>
      <c r="N641">
        <v>0</v>
      </c>
      <c r="O641">
        <v>0.36099962000159852</v>
      </c>
      <c r="P641">
        <v>54218.964620999999</v>
      </c>
    </row>
    <row r="642" spans="1:16" x14ac:dyDescent="0.25">
      <c r="A642" s="10">
        <v>38554</v>
      </c>
      <c r="B642">
        <v>-168.99900000000329</v>
      </c>
      <c r="C642">
        <v>377.02199999999999</v>
      </c>
      <c r="D642">
        <v>0</v>
      </c>
      <c r="E642">
        <v>-350</v>
      </c>
      <c r="F642">
        <v>0</v>
      </c>
      <c r="G642">
        <v>6.3880000000001473</v>
      </c>
      <c r="H642">
        <v>-237.16709399999951</v>
      </c>
      <c r="I642">
        <v>0</v>
      </c>
      <c r="J642">
        <v>0</v>
      </c>
      <c r="K642">
        <v>1.0638116099999999</v>
      </c>
      <c r="L642">
        <v>33.5</v>
      </c>
      <c r="M642">
        <v>0</v>
      </c>
      <c r="N642">
        <v>0</v>
      </c>
      <c r="O642">
        <v>0.19428238999603309</v>
      </c>
      <c r="P642">
        <v>54049.965621000003</v>
      </c>
    </row>
    <row r="643" spans="1:16" x14ac:dyDescent="0.25">
      <c r="A643" s="10">
        <v>38555</v>
      </c>
      <c r="B643">
        <v>-215.00499999998951</v>
      </c>
      <c r="C643">
        <v>113.128</v>
      </c>
      <c r="D643">
        <v>0</v>
      </c>
      <c r="E643">
        <v>0</v>
      </c>
      <c r="F643">
        <v>0</v>
      </c>
      <c r="G643">
        <v>-9.1089999999999982</v>
      </c>
      <c r="H643">
        <v>-323.65400000000051</v>
      </c>
      <c r="I643">
        <v>0</v>
      </c>
      <c r="J643">
        <v>0</v>
      </c>
      <c r="K643">
        <v>0.9913168</v>
      </c>
      <c r="L643">
        <v>0</v>
      </c>
      <c r="M643">
        <v>0</v>
      </c>
      <c r="N643">
        <v>0</v>
      </c>
      <c r="O643">
        <v>3.638683200010973</v>
      </c>
      <c r="P643">
        <v>53834.960621000013</v>
      </c>
    </row>
    <row r="644" spans="1:16" x14ac:dyDescent="0.25">
      <c r="A644" s="10">
        <v>38558</v>
      </c>
      <c r="B644">
        <v>533.65698499999405</v>
      </c>
      <c r="C644">
        <v>25.779</v>
      </c>
      <c r="D644">
        <v>0</v>
      </c>
      <c r="E644">
        <v>0</v>
      </c>
      <c r="F644">
        <v>0</v>
      </c>
      <c r="G644">
        <v>-3.4559999999999982</v>
      </c>
      <c r="H644">
        <v>509.05500000000029</v>
      </c>
      <c r="I644">
        <v>0</v>
      </c>
      <c r="J644">
        <v>0</v>
      </c>
      <c r="K644">
        <v>1.3373311400000001</v>
      </c>
      <c r="L644">
        <v>0</v>
      </c>
      <c r="M644">
        <v>0</v>
      </c>
      <c r="N644">
        <v>0</v>
      </c>
      <c r="O644">
        <v>0.94165385999378937</v>
      </c>
      <c r="P644">
        <v>54368.617606</v>
      </c>
    </row>
    <row r="645" spans="1:16" x14ac:dyDescent="0.25">
      <c r="A645" s="10">
        <v>38559</v>
      </c>
      <c r="B645">
        <v>143.36899999999861</v>
      </c>
      <c r="C645">
        <v>218.21799999999999</v>
      </c>
      <c r="D645">
        <v>0</v>
      </c>
      <c r="E645">
        <v>0</v>
      </c>
      <c r="F645">
        <v>0</v>
      </c>
      <c r="G645">
        <v>1.852999999999998</v>
      </c>
      <c r="H645">
        <v>-77.698986999999761</v>
      </c>
      <c r="I645">
        <v>0</v>
      </c>
      <c r="J645">
        <v>0</v>
      </c>
      <c r="K645">
        <v>0.47298751</v>
      </c>
      <c r="L645">
        <v>0</v>
      </c>
      <c r="M645">
        <v>0</v>
      </c>
      <c r="N645">
        <v>0</v>
      </c>
      <c r="O645">
        <v>0.52399948999834123</v>
      </c>
      <c r="P645">
        <v>54511.986605999999</v>
      </c>
    </row>
    <row r="646" spans="1:16" x14ac:dyDescent="0.25">
      <c r="A646" s="10">
        <v>38560</v>
      </c>
      <c r="B646">
        <v>-240.38749999999709</v>
      </c>
      <c r="C646">
        <v>0</v>
      </c>
      <c r="D646">
        <v>0</v>
      </c>
      <c r="E646">
        <v>0</v>
      </c>
      <c r="F646">
        <v>0</v>
      </c>
      <c r="G646">
        <v>-11.026999999999999</v>
      </c>
      <c r="H646">
        <v>-65.162999999999556</v>
      </c>
      <c r="I646">
        <v>0</v>
      </c>
      <c r="J646">
        <v>0</v>
      </c>
      <c r="K646">
        <v>25.394486730000001</v>
      </c>
      <c r="L646">
        <v>-364</v>
      </c>
      <c r="M646">
        <v>0</v>
      </c>
      <c r="N646">
        <v>0</v>
      </c>
      <c r="O646">
        <v>174.4080132700025</v>
      </c>
      <c r="P646">
        <v>54271.599106000001</v>
      </c>
    </row>
    <row r="647" spans="1:16" x14ac:dyDescent="0.25">
      <c r="A647" s="10">
        <v>38561</v>
      </c>
      <c r="B647">
        <v>65.776095999994169</v>
      </c>
      <c r="C647">
        <v>0</v>
      </c>
      <c r="D647">
        <v>-1000.000000001895</v>
      </c>
      <c r="E647">
        <v>1000</v>
      </c>
      <c r="F647">
        <v>0</v>
      </c>
      <c r="G647">
        <v>3.4172750000000178</v>
      </c>
      <c r="H647">
        <v>26.057460999999421</v>
      </c>
      <c r="I647">
        <v>0</v>
      </c>
      <c r="J647">
        <v>0</v>
      </c>
      <c r="K647">
        <v>3.4207065000000001</v>
      </c>
      <c r="L647">
        <v>0</v>
      </c>
      <c r="M647">
        <v>0</v>
      </c>
      <c r="N647">
        <v>0</v>
      </c>
      <c r="O647">
        <v>32.880653501889768</v>
      </c>
      <c r="P647">
        <v>54337.375202000003</v>
      </c>
    </row>
    <row r="648" spans="1:16" x14ac:dyDescent="0.25">
      <c r="A648" s="10">
        <v>38562</v>
      </c>
      <c r="B648">
        <v>55.10591900000108</v>
      </c>
      <c r="C648">
        <v>0</v>
      </c>
      <c r="D648">
        <v>-611.43368000000009</v>
      </c>
      <c r="E648">
        <v>0</v>
      </c>
      <c r="F648">
        <v>0</v>
      </c>
      <c r="G648">
        <v>572.75940500000013</v>
      </c>
      <c r="H648">
        <v>-38.43038499999966</v>
      </c>
      <c r="I648">
        <v>0</v>
      </c>
      <c r="J648">
        <v>0</v>
      </c>
      <c r="K648">
        <v>1.0963085800000001</v>
      </c>
      <c r="L648">
        <v>0</v>
      </c>
      <c r="M648">
        <v>0</v>
      </c>
      <c r="N648">
        <v>0</v>
      </c>
      <c r="O648">
        <v>131.11427042000071</v>
      </c>
      <c r="P648">
        <v>54392.481120999997</v>
      </c>
    </row>
    <row r="649" spans="1:16" x14ac:dyDescent="0.25">
      <c r="A649" s="10">
        <v>38565</v>
      </c>
      <c r="B649">
        <v>386.97843455999828</v>
      </c>
      <c r="C649">
        <v>4.1458399999999997</v>
      </c>
      <c r="D649">
        <v>0</v>
      </c>
      <c r="E649">
        <v>0</v>
      </c>
      <c r="F649">
        <v>0</v>
      </c>
      <c r="G649">
        <v>195.13558313999999</v>
      </c>
      <c r="H649">
        <v>180.1013161749988</v>
      </c>
      <c r="I649">
        <v>0</v>
      </c>
      <c r="J649">
        <v>0</v>
      </c>
      <c r="K649">
        <v>1.1584515099999999</v>
      </c>
      <c r="L649">
        <v>0</v>
      </c>
      <c r="M649">
        <v>0</v>
      </c>
      <c r="N649">
        <v>0</v>
      </c>
      <c r="O649">
        <v>6.4372437349994671</v>
      </c>
      <c r="P649">
        <v>54779.459555560003</v>
      </c>
    </row>
    <row r="650" spans="1:16" x14ac:dyDescent="0.25">
      <c r="A650" s="10">
        <v>38566</v>
      </c>
      <c r="B650">
        <v>-360.20635156000219</v>
      </c>
      <c r="C650">
        <v>322.35500000000002</v>
      </c>
      <c r="D650">
        <v>0</v>
      </c>
      <c r="E650">
        <v>0</v>
      </c>
      <c r="F650">
        <v>0</v>
      </c>
      <c r="G650">
        <v>-159.42414314000001</v>
      </c>
      <c r="H650">
        <v>-107.9249999999993</v>
      </c>
      <c r="I650">
        <v>0</v>
      </c>
      <c r="J650">
        <v>-369.88999999999942</v>
      </c>
      <c r="K650">
        <v>-45.70064784999996</v>
      </c>
      <c r="L650">
        <v>0</v>
      </c>
      <c r="M650">
        <v>0</v>
      </c>
      <c r="N650">
        <v>0</v>
      </c>
      <c r="O650">
        <v>0.37843942999643332</v>
      </c>
      <c r="P650">
        <v>54419.253203999993</v>
      </c>
    </row>
    <row r="651" spans="1:16" x14ac:dyDescent="0.25">
      <c r="A651" s="10">
        <v>38567</v>
      </c>
      <c r="B651">
        <v>631.50314712000522</v>
      </c>
      <c r="C651">
        <v>505.83724999999998</v>
      </c>
      <c r="D651">
        <v>0</v>
      </c>
      <c r="E651">
        <v>0</v>
      </c>
      <c r="F651">
        <v>0</v>
      </c>
      <c r="G651">
        <v>155.74976400000011</v>
      </c>
      <c r="H651">
        <v>-8.1520609599992895</v>
      </c>
      <c r="I651">
        <v>0</v>
      </c>
      <c r="J651">
        <v>-115.5</v>
      </c>
      <c r="K651">
        <v>-8.4198071100003453</v>
      </c>
      <c r="L651">
        <v>136.5</v>
      </c>
      <c r="M651">
        <v>0</v>
      </c>
      <c r="N651">
        <v>0</v>
      </c>
      <c r="O651">
        <v>-34.511998809995362</v>
      </c>
      <c r="P651">
        <v>55050.756351119999</v>
      </c>
    </row>
    <row r="652" spans="1:16" x14ac:dyDescent="0.25">
      <c r="A652" s="10">
        <v>38568</v>
      </c>
      <c r="B652">
        <v>-102.91144972999599</v>
      </c>
      <c r="C652">
        <v>267.613</v>
      </c>
      <c r="D652">
        <v>0</v>
      </c>
      <c r="E652">
        <v>0</v>
      </c>
      <c r="F652">
        <v>0</v>
      </c>
      <c r="G652">
        <v>-76.202517960000023</v>
      </c>
      <c r="H652">
        <v>-97.866273999999976</v>
      </c>
      <c r="I652">
        <v>0</v>
      </c>
      <c r="J652">
        <v>-205.30000000000109</v>
      </c>
      <c r="K652">
        <v>0.64384470999999999</v>
      </c>
      <c r="L652">
        <v>0</v>
      </c>
      <c r="M652">
        <v>0</v>
      </c>
      <c r="N652">
        <v>0</v>
      </c>
      <c r="O652">
        <v>8.2004975200050545</v>
      </c>
      <c r="P652">
        <v>54947.844901390003</v>
      </c>
    </row>
    <row r="653" spans="1:16" x14ac:dyDescent="0.25">
      <c r="A653" s="10">
        <v>38569</v>
      </c>
      <c r="B653">
        <v>-411.69966042000351</v>
      </c>
      <c r="C653">
        <v>364.90601153000011</v>
      </c>
      <c r="D653">
        <v>0</v>
      </c>
      <c r="E653">
        <v>0</v>
      </c>
      <c r="F653">
        <v>0</v>
      </c>
      <c r="G653">
        <v>-362.33999939</v>
      </c>
      <c r="H653">
        <v>-420.66340900000068</v>
      </c>
      <c r="I653">
        <v>0</v>
      </c>
      <c r="J653">
        <v>0</v>
      </c>
      <c r="K653">
        <v>0.62746044999999995</v>
      </c>
      <c r="L653">
        <v>0</v>
      </c>
      <c r="M653">
        <v>0</v>
      </c>
      <c r="N653">
        <v>0</v>
      </c>
      <c r="O653">
        <v>5.7702759899971738</v>
      </c>
      <c r="P653">
        <v>54536.14524097</v>
      </c>
    </row>
    <row r="654" spans="1:16" x14ac:dyDescent="0.25">
      <c r="A654" s="10">
        <v>38572</v>
      </c>
      <c r="B654">
        <v>377.36304746999627</v>
      </c>
      <c r="C654">
        <v>202.16650000000001</v>
      </c>
      <c r="D654">
        <v>0</v>
      </c>
      <c r="E654">
        <v>0</v>
      </c>
      <c r="F654">
        <v>0</v>
      </c>
      <c r="G654">
        <v>353.452068</v>
      </c>
      <c r="H654">
        <v>-55.956570009999268</v>
      </c>
      <c r="I654">
        <v>0</v>
      </c>
      <c r="J654">
        <v>0</v>
      </c>
      <c r="K654">
        <v>0.86067693999999995</v>
      </c>
      <c r="L654">
        <v>0</v>
      </c>
      <c r="M654">
        <v>0</v>
      </c>
      <c r="N654">
        <v>0</v>
      </c>
      <c r="O654">
        <v>-123.1596274600044</v>
      </c>
      <c r="P654">
        <v>54913.508288440004</v>
      </c>
    </row>
    <row r="655" spans="1:16" x14ac:dyDescent="0.25">
      <c r="A655" s="10">
        <v>38573</v>
      </c>
      <c r="B655">
        <v>110.2926162299987</v>
      </c>
      <c r="C655">
        <v>194.58160000000001</v>
      </c>
      <c r="D655">
        <v>0</v>
      </c>
      <c r="E655">
        <v>0</v>
      </c>
      <c r="F655">
        <v>0</v>
      </c>
      <c r="G655">
        <v>-7.4250718600000001</v>
      </c>
      <c r="H655">
        <v>-174.78322415999989</v>
      </c>
      <c r="I655">
        <v>0</v>
      </c>
      <c r="J655">
        <v>0</v>
      </c>
      <c r="K655">
        <v>0.92709668000000001</v>
      </c>
      <c r="L655">
        <v>0</v>
      </c>
      <c r="M655">
        <v>0</v>
      </c>
      <c r="N655">
        <v>0</v>
      </c>
      <c r="O655">
        <v>96.992215569998592</v>
      </c>
      <c r="P655">
        <v>55023.800904670003</v>
      </c>
    </row>
    <row r="656" spans="1:16" x14ac:dyDescent="0.25">
      <c r="A656" s="10">
        <v>38574</v>
      </c>
      <c r="B656">
        <v>-138.6409825199957</v>
      </c>
      <c r="C656">
        <v>312.43045067999998</v>
      </c>
      <c r="D656">
        <v>0</v>
      </c>
      <c r="E656">
        <v>0</v>
      </c>
      <c r="F656">
        <v>0</v>
      </c>
      <c r="G656">
        <v>-5.8560761400000008</v>
      </c>
      <c r="H656">
        <v>-242.69987800000041</v>
      </c>
      <c r="I656">
        <v>0</v>
      </c>
      <c r="J656">
        <v>0</v>
      </c>
      <c r="K656">
        <v>0.77319236000000002</v>
      </c>
      <c r="L656">
        <v>-204.1</v>
      </c>
      <c r="M656">
        <v>0</v>
      </c>
      <c r="N656">
        <v>0</v>
      </c>
      <c r="O656">
        <v>0.81132858000465591</v>
      </c>
      <c r="P656">
        <v>54885.15992215</v>
      </c>
    </row>
    <row r="657" spans="1:16" x14ac:dyDescent="0.25">
      <c r="A657" s="10">
        <v>38575</v>
      </c>
      <c r="B657">
        <v>19.983216119996008</v>
      </c>
      <c r="C657">
        <v>260.38650000000001</v>
      </c>
      <c r="D657">
        <v>0</v>
      </c>
      <c r="E657">
        <v>0</v>
      </c>
      <c r="F657">
        <v>0</v>
      </c>
      <c r="G657">
        <v>-181.820201</v>
      </c>
      <c r="H657">
        <v>-59.972991999999067</v>
      </c>
      <c r="I657">
        <v>0</v>
      </c>
      <c r="J657">
        <v>0</v>
      </c>
      <c r="K657">
        <v>0.87494817999999996</v>
      </c>
      <c r="L657">
        <v>0</v>
      </c>
      <c r="M657">
        <v>0</v>
      </c>
      <c r="N657">
        <v>0</v>
      </c>
      <c r="O657">
        <v>0.51496093999509185</v>
      </c>
      <c r="P657">
        <v>54905.143138270003</v>
      </c>
    </row>
    <row r="658" spans="1:16" x14ac:dyDescent="0.25">
      <c r="A658" s="10">
        <v>38576</v>
      </c>
      <c r="B658">
        <v>226.7234849700036</v>
      </c>
      <c r="C658">
        <v>118.42449999999999</v>
      </c>
      <c r="D658">
        <v>0</v>
      </c>
      <c r="E658">
        <v>0</v>
      </c>
      <c r="F658">
        <v>0</v>
      </c>
      <c r="G658">
        <v>149.51398837000011</v>
      </c>
      <c r="H658">
        <v>-23.457206999999471</v>
      </c>
      <c r="I658">
        <v>0</v>
      </c>
      <c r="J658">
        <v>0</v>
      </c>
      <c r="K658">
        <v>1.04531091</v>
      </c>
      <c r="L658">
        <v>0</v>
      </c>
      <c r="M658">
        <v>0</v>
      </c>
      <c r="N658">
        <v>0</v>
      </c>
      <c r="O658">
        <v>-18.80310730999701</v>
      </c>
      <c r="P658">
        <v>55131.866623239999</v>
      </c>
    </row>
    <row r="659" spans="1:16" x14ac:dyDescent="0.25">
      <c r="A659" s="10">
        <v>38580</v>
      </c>
      <c r="B659">
        <v>327.99971889999892</v>
      </c>
      <c r="C659">
        <v>157.75768633000001</v>
      </c>
      <c r="D659">
        <v>0</v>
      </c>
      <c r="E659">
        <v>0</v>
      </c>
      <c r="F659">
        <v>0</v>
      </c>
      <c r="G659">
        <v>3.6730036300000002</v>
      </c>
      <c r="H659">
        <v>164.94017432999951</v>
      </c>
      <c r="I659">
        <v>0</v>
      </c>
      <c r="J659">
        <v>0</v>
      </c>
      <c r="K659">
        <v>2.1001286299999999</v>
      </c>
      <c r="L659">
        <v>0</v>
      </c>
      <c r="M659">
        <v>0</v>
      </c>
      <c r="N659">
        <v>0</v>
      </c>
      <c r="O659">
        <v>-0.47127402000057828</v>
      </c>
      <c r="P659">
        <v>55459.866342139998</v>
      </c>
    </row>
    <row r="660" spans="1:16" x14ac:dyDescent="0.25">
      <c r="A660" s="10">
        <v>38581</v>
      </c>
      <c r="B660">
        <v>-2014.194332719999</v>
      </c>
      <c r="C660">
        <v>220.92078072999999</v>
      </c>
      <c r="D660">
        <v>0</v>
      </c>
      <c r="E660">
        <v>0</v>
      </c>
      <c r="F660">
        <v>0</v>
      </c>
      <c r="G660">
        <v>-23.27251678</v>
      </c>
      <c r="H660">
        <v>-1661.390408</v>
      </c>
      <c r="I660">
        <v>0</v>
      </c>
      <c r="J660">
        <v>0</v>
      </c>
      <c r="K660">
        <v>1.10600429</v>
      </c>
      <c r="L660">
        <v>-565.6</v>
      </c>
      <c r="M660">
        <v>0</v>
      </c>
      <c r="N660">
        <v>0</v>
      </c>
      <c r="O660">
        <v>14.04180704000159</v>
      </c>
      <c r="P660">
        <v>53445.672009419999</v>
      </c>
    </row>
    <row r="661" spans="1:16" x14ac:dyDescent="0.25">
      <c r="A661" s="10">
        <v>38582</v>
      </c>
      <c r="B661">
        <v>-153.01084904999939</v>
      </c>
      <c r="C661">
        <v>158.78253427999999</v>
      </c>
      <c r="D661">
        <v>0</v>
      </c>
      <c r="E661">
        <v>0</v>
      </c>
      <c r="F661">
        <v>0</v>
      </c>
      <c r="G661">
        <v>-6.1854030000000026</v>
      </c>
      <c r="H661">
        <v>-306.49688099999997</v>
      </c>
      <c r="I661">
        <v>0</v>
      </c>
      <c r="J661">
        <v>0</v>
      </c>
      <c r="K661">
        <v>0.96223725999999998</v>
      </c>
      <c r="L661">
        <v>0</v>
      </c>
      <c r="M661">
        <v>0</v>
      </c>
      <c r="N661">
        <v>0</v>
      </c>
      <c r="O661">
        <v>-7.3336589999371427E-2</v>
      </c>
      <c r="P661">
        <v>53292.66116037</v>
      </c>
    </row>
    <row r="662" spans="1:16" x14ac:dyDescent="0.25">
      <c r="A662" s="10">
        <v>38583</v>
      </c>
      <c r="B662">
        <v>-196.523432510004</v>
      </c>
      <c r="C662">
        <v>0.3042089999999999</v>
      </c>
      <c r="D662">
        <v>0</v>
      </c>
      <c r="E662">
        <v>0</v>
      </c>
      <c r="F662">
        <v>0</v>
      </c>
      <c r="G662">
        <v>14.599823000000001</v>
      </c>
      <c r="H662">
        <v>-214.90184800000131</v>
      </c>
      <c r="I662">
        <v>0</v>
      </c>
      <c r="J662">
        <v>0</v>
      </c>
      <c r="K662">
        <v>1.2757935499999999</v>
      </c>
      <c r="L662">
        <v>0</v>
      </c>
      <c r="M662">
        <v>0</v>
      </c>
      <c r="N662">
        <v>0</v>
      </c>
      <c r="O662">
        <v>2.198589939997333</v>
      </c>
      <c r="P662">
        <v>53096.137727859998</v>
      </c>
    </row>
    <row r="663" spans="1:16" x14ac:dyDescent="0.25">
      <c r="A663" s="10">
        <v>38586</v>
      </c>
      <c r="B663">
        <v>-21.66769170000055</v>
      </c>
      <c r="C663">
        <v>167.18529699999999</v>
      </c>
      <c r="D663">
        <v>0</v>
      </c>
      <c r="E663">
        <v>0</v>
      </c>
      <c r="F663">
        <v>0</v>
      </c>
      <c r="G663">
        <v>33.088898000000029</v>
      </c>
      <c r="H663">
        <v>-223.35219700000019</v>
      </c>
      <c r="I663">
        <v>0</v>
      </c>
      <c r="J663">
        <v>0</v>
      </c>
      <c r="K663">
        <v>0.52725533000000002</v>
      </c>
      <c r="L663">
        <v>0</v>
      </c>
      <c r="M663">
        <v>0</v>
      </c>
      <c r="N663">
        <v>0</v>
      </c>
      <c r="O663">
        <v>0.88305496999959132</v>
      </c>
      <c r="P663">
        <v>53074.470036159997</v>
      </c>
    </row>
    <row r="664" spans="1:16" x14ac:dyDescent="0.25">
      <c r="A664" s="10">
        <v>38587</v>
      </c>
      <c r="B664">
        <v>-369.04325756999521</v>
      </c>
      <c r="C664">
        <v>10.427111999999999</v>
      </c>
      <c r="D664">
        <v>0</v>
      </c>
      <c r="E664">
        <v>-400</v>
      </c>
      <c r="F664">
        <v>0</v>
      </c>
      <c r="G664">
        <v>24.840332</v>
      </c>
      <c r="H664">
        <v>-3.372037679999266</v>
      </c>
      <c r="I664">
        <v>0</v>
      </c>
      <c r="J664">
        <v>-0.12999999999919959</v>
      </c>
      <c r="K664">
        <v>1.4400556600002909</v>
      </c>
      <c r="L664">
        <v>0</v>
      </c>
      <c r="M664">
        <v>0</v>
      </c>
      <c r="N664">
        <v>0</v>
      </c>
      <c r="O664">
        <v>-2.2487195499970198</v>
      </c>
      <c r="P664">
        <v>52705.426778590001</v>
      </c>
    </row>
    <row r="665" spans="1:16" x14ac:dyDescent="0.25">
      <c r="A665" s="10">
        <v>38588</v>
      </c>
      <c r="B665">
        <v>64.594982000002886</v>
      </c>
      <c r="C665">
        <v>15.993831</v>
      </c>
      <c r="D665">
        <v>0</v>
      </c>
      <c r="E665">
        <v>0</v>
      </c>
      <c r="F665">
        <v>0</v>
      </c>
      <c r="G665">
        <v>-93.991563459999995</v>
      </c>
      <c r="H665">
        <v>-77.515885289996731</v>
      </c>
      <c r="I665">
        <v>0</v>
      </c>
      <c r="J665">
        <v>-0.13000000000101861</v>
      </c>
      <c r="K665">
        <v>1.087999999999836</v>
      </c>
      <c r="L665">
        <v>218</v>
      </c>
      <c r="M665">
        <v>0</v>
      </c>
      <c r="N665">
        <v>0</v>
      </c>
      <c r="O665">
        <v>1.150599750000822</v>
      </c>
      <c r="P665">
        <v>52770.021760590003</v>
      </c>
    </row>
    <row r="666" spans="1:16" x14ac:dyDescent="0.25">
      <c r="A666" s="10">
        <v>38589</v>
      </c>
      <c r="B666">
        <v>411.89445790999832</v>
      </c>
      <c r="C666">
        <v>154.56256300000001</v>
      </c>
      <c r="D666">
        <v>0</v>
      </c>
      <c r="E666">
        <v>0</v>
      </c>
      <c r="F666">
        <v>0</v>
      </c>
      <c r="G666">
        <v>-0.79953499999999877</v>
      </c>
      <c r="H666">
        <v>255.34817563999789</v>
      </c>
      <c r="I666">
        <v>0</v>
      </c>
      <c r="J666">
        <v>-0.12999999999919959</v>
      </c>
      <c r="K666">
        <v>0.9509999999998362</v>
      </c>
      <c r="L666">
        <v>0</v>
      </c>
      <c r="M666">
        <v>0</v>
      </c>
      <c r="N666">
        <v>0</v>
      </c>
      <c r="O666">
        <v>1.9622542699997301</v>
      </c>
      <c r="P666">
        <v>53181.916218500002</v>
      </c>
    </row>
    <row r="667" spans="1:16" x14ac:dyDescent="0.25">
      <c r="A667" s="10">
        <v>38590</v>
      </c>
      <c r="B667">
        <v>15.70709573999841</v>
      </c>
      <c r="C667">
        <v>96.026073940000003</v>
      </c>
      <c r="D667">
        <v>0</v>
      </c>
      <c r="E667">
        <v>750</v>
      </c>
      <c r="F667">
        <v>0</v>
      </c>
      <c r="G667">
        <v>-762.84096250000005</v>
      </c>
      <c r="H667">
        <v>-69.943262000000686</v>
      </c>
      <c r="I667">
        <v>0</v>
      </c>
      <c r="J667">
        <v>-0.13000000000101861</v>
      </c>
      <c r="K667">
        <v>0.94152929000029095</v>
      </c>
      <c r="L667">
        <v>0</v>
      </c>
      <c r="M667">
        <v>0</v>
      </c>
      <c r="N667">
        <v>0</v>
      </c>
      <c r="O667">
        <v>1.6537170099998091</v>
      </c>
      <c r="P667">
        <v>53197.623314240001</v>
      </c>
    </row>
    <row r="668" spans="1:16" x14ac:dyDescent="0.25">
      <c r="A668" s="10">
        <v>38593</v>
      </c>
      <c r="B668">
        <v>-210.35386064999921</v>
      </c>
      <c r="C668">
        <v>108.39449399999999</v>
      </c>
      <c r="D668">
        <v>0</v>
      </c>
      <c r="E668">
        <v>0</v>
      </c>
      <c r="F668">
        <v>0</v>
      </c>
      <c r="G668">
        <v>3.729154500000003</v>
      </c>
      <c r="H668">
        <v>-349.17701842000321</v>
      </c>
      <c r="I668">
        <v>0</v>
      </c>
      <c r="J668">
        <v>-0.12999999999919959</v>
      </c>
      <c r="K668">
        <v>1.4499999999998361</v>
      </c>
      <c r="L668">
        <v>0</v>
      </c>
      <c r="M668">
        <v>0</v>
      </c>
      <c r="N668">
        <v>0</v>
      </c>
      <c r="O668">
        <v>25.379509270003329</v>
      </c>
      <c r="P668">
        <v>52987.269453590001</v>
      </c>
    </row>
    <row r="669" spans="1:16" x14ac:dyDescent="0.25">
      <c r="A669" s="10">
        <v>38594</v>
      </c>
      <c r="B669">
        <v>1747.791138000001</v>
      </c>
      <c r="C669">
        <v>320.41519599999998</v>
      </c>
      <c r="D669">
        <v>0</v>
      </c>
      <c r="E669">
        <v>0</v>
      </c>
      <c r="F669">
        <v>0</v>
      </c>
      <c r="G669">
        <v>-94.829177000000001</v>
      </c>
      <c r="H669">
        <v>1423.3588169999989</v>
      </c>
      <c r="I669">
        <v>0</v>
      </c>
      <c r="J669">
        <v>-36.569999999999709</v>
      </c>
      <c r="K669">
        <v>2.2100000000001461</v>
      </c>
      <c r="L669">
        <v>0</v>
      </c>
      <c r="M669">
        <v>0</v>
      </c>
      <c r="N669">
        <v>0</v>
      </c>
      <c r="O669">
        <v>133.2063020000009</v>
      </c>
      <c r="P669">
        <v>54735.060591590001</v>
      </c>
    </row>
    <row r="670" spans="1:16" x14ac:dyDescent="0.25">
      <c r="A670" s="10">
        <v>38595</v>
      </c>
      <c r="B670">
        <v>793.58152599999437</v>
      </c>
      <c r="C670">
        <v>226.257589</v>
      </c>
      <c r="D670">
        <v>-524.01599999999996</v>
      </c>
      <c r="E670">
        <v>-350</v>
      </c>
      <c r="F670">
        <v>0</v>
      </c>
      <c r="G670">
        <v>833.75383799999997</v>
      </c>
      <c r="H670">
        <v>604.41351199999917</v>
      </c>
      <c r="I670">
        <v>0</v>
      </c>
      <c r="J670">
        <v>0</v>
      </c>
      <c r="K670">
        <v>1.46</v>
      </c>
      <c r="L670">
        <v>3.1</v>
      </c>
      <c r="M670">
        <v>0</v>
      </c>
      <c r="N670">
        <v>0</v>
      </c>
      <c r="O670">
        <v>-1.387413000004813</v>
      </c>
      <c r="P670">
        <v>55528.642117590003</v>
      </c>
    </row>
    <row r="671" spans="1:16" x14ac:dyDescent="0.25">
      <c r="A671" s="10">
        <v>38596</v>
      </c>
      <c r="B671">
        <v>-1767.3145939999949</v>
      </c>
      <c r="C671">
        <v>159.12898970000001</v>
      </c>
      <c r="D671">
        <v>0</v>
      </c>
      <c r="E671">
        <v>0</v>
      </c>
      <c r="F671">
        <v>0</v>
      </c>
      <c r="G671">
        <v>30.609034000000008</v>
      </c>
      <c r="H671">
        <v>-1977.533848</v>
      </c>
      <c r="I671">
        <v>0</v>
      </c>
      <c r="J671">
        <v>0</v>
      </c>
      <c r="K671">
        <v>0.81</v>
      </c>
      <c r="L671">
        <v>12.2</v>
      </c>
      <c r="M671">
        <v>0</v>
      </c>
      <c r="N671">
        <v>0</v>
      </c>
      <c r="O671">
        <v>7.4712303000046631</v>
      </c>
      <c r="P671">
        <v>53761.32752359</v>
      </c>
    </row>
    <row r="672" spans="1:16" x14ac:dyDescent="0.25">
      <c r="A672" s="10">
        <v>38597</v>
      </c>
      <c r="B672">
        <v>-512.29311399999915</v>
      </c>
      <c r="C672">
        <v>232.42371399999999</v>
      </c>
      <c r="D672">
        <v>0</v>
      </c>
      <c r="E672">
        <v>0</v>
      </c>
      <c r="F672">
        <v>0</v>
      </c>
      <c r="G672">
        <v>-5.6950000000000012</v>
      </c>
      <c r="H672">
        <v>1643.7739350000011</v>
      </c>
      <c r="I672">
        <v>0</v>
      </c>
      <c r="J672">
        <v>-2341.2200000000071</v>
      </c>
      <c r="K672">
        <v>-47.079999999999977</v>
      </c>
      <c r="L672">
        <v>0</v>
      </c>
      <c r="M672">
        <v>0</v>
      </c>
      <c r="N672">
        <v>0</v>
      </c>
      <c r="O672">
        <v>5.5042370000062419</v>
      </c>
      <c r="P672">
        <v>53249.03440959</v>
      </c>
    </row>
    <row r="673" spans="1:16" x14ac:dyDescent="0.25">
      <c r="A673" s="10">
        <v>38600</v>
      </c>
      <c r="B673">
        <v>338.60472100000322</v>
      </c>
      <c r="C673">
        <v>0</v>
      </c>
      <c r="D673">
        <v>0</v>
      </c>
      <c r="E673">
        <v>0</v>
      </c>
      <c r="F673">
        <v>0</v>
      </c>
      <c r="G673">
        <v>-7.5396489999999998</v>
      </c>
      <c r="H673">
        <v>156.36981700000069</v>
      </c>
      <c r="I673">
        <v>0</v>
      </c>
      <c r="J673">
        <v>0</v>
      </c>
      <c r="K673">
        <v>1.3</v>
      </c>
      <c r="L673">
        <v>0</v>
      </c>
      <c r="M673">
        <v>0</v>
      </c>
      <c r="N673">
        <v>0</v>
      </c>
      <c r="O673">
        <v>188.47455300000249</v>
      </c>
      <c r="P673">
        <v>53587.639130590003</v>
      </c>
    </row>
    <row r="674" spans="1:16" x14ac:dyDescent="0.25">
      <c r="A674" s="10">
        <v>38601</v>
      </c>
      <c r="B674">
        <v>-208.62273400000359</v>
      </c>
      <c r="C674">
        <v>286.72128400000003</v>
      </c>
      <c r="D674">
        <v>0</v>
      </c>
      <c r="E674">
        <v>0</v>
      </c>
      <c r="F674">
        <v>0</v>
      </c>
      <c r="G674">
        <v>-5.9641379999999984</v>
      </c>
      <c r="H674">
        <v>-450.2720560000007</v>
      </c>
      <c r="I674">
        <v>0</v>
      </c>
      <c r="J674">
        <v>0</v>
      </c>
      <c r="K674">
        <v>0.35</v>
      </c>
      <c r="L674">
        <v>0</v>
      </c>
      <c r="M674">
        <v>0</v>
      </c>
      <c r="N674">
        <v>0</v>
      </c>
      <c r="O674">
        <v>-39.457824000002901</v>
      </c>
      <c r="P674">
        <v>53379.016396589999</v>
      </c>
    </row>
    <row r="675" spans="1:16" x14ac:dyDescent="0.25">
      <c r="A675" s="10">
        <v>38602</v>
      </c>
      <c r="B675">
        <v>-46.350649999993102</v>
      </c>
      <c r="C675">
        <v>554.55245000000002</v>
      </c>
      <c r="D675">
        <v>0</v>
      </c>
      <c r="E675">
        <v>0</v>
      </c>
      <c r="F675">
        <v>0</v>
      </c>
      <c r="G675">
        <v>-4.0291709999999998</v>
      </c>
      <c r="H675">
        <v>-267.38756900000038</v>
      </c>
      <c r="I675">
        <v>0</v>
      </c>
      <c r="J675">
        <v>0</v>
      </c>
      <c r="K675">
        <v>0.21</v>
      </c>
      <c r="L675">
        <v>-419.2</v>
      </c>
      <c r="M675">
        <v>0</v>
      </c>
      <c r="N675">
        <v>0</v>
      </c>
      <c r="O675">
        <v>89.503640000007351</v>
      </c>
      <c r="P675">
        <v>53332.665746590013</v>
      </c>
    </row>
    <row r="676" spans="1:16" x14ac:dyDescent="0.25">
      <c r="A676" s="10">
        <v>38603</v>
      </c>
      <c r="B676">
        <v>27.269596999991411</v>
      </c>
      <c r="C676">
        <v>165.89312000000001</v>
      </c>
      <c r="D676">
        <v>-350.000000009595</v>
      </c>
      <c r="E676">
        <v>350</v>
      </c>
      <c r="F676">
        <v>0</v>
      </c>
      <c r="G676">
        <v>-6.0383449999999934</v>
      </c>
      <c r="H676">
        <v>-134.25719944000051</v>
      </c>
      <c r="I676">
        <v>0</v>
      </c>
      <c r="J676">
        <v>0</v>
      </c>
      <c r="K676">
        <v>0.83</v>
      </c>
      <c r="L676">
        <v>0</v>
      </c>
      <c r="M676">
        <v>0</v>
      </c>
      <c r="N676">
        <v>0</v>
      </c>
      <c r="O676">
        <v>0.84202144958689473</v>
      </c>
      <c r="P676">
        <v>53359.935343589998</v>
      </c>
    </row>
    <row r="677" spans="1:16" x14ac:dyDescent="0.25">
      <c r="A677" s="10">
        <v>38604</v>
      </c>
      <c r="B677">
        <v>-60.053153000001231</v>
      </c>
      <c r="C677">
        <v>64.020544999999998</v>
      </c>
      <c r="D677">
        <v>0</v>
      </c>
      <c r="E677">
        <v>0</v>
      </c>
      <c r="F677">
        <v>0</v>
      </c>
      <c r="G677">
        <v>-6.0158749999999941</v>
      </c>
      <c r="H677">
        <v>-124.1236473500003</v>
      </c>
      <c r="I677">
        <v>0</v>
      </c>
      <c r="J677">
        <v>0</v>
      </c>
      <c r="K677">
        <v>1.19</v>
      </c>
      <c r="L677">
        <v>0</v>
      </c>
      <c r="M677">
        <v>0</v>
      </c>
      <c r="N677">
        <v>0</v>
      </c>
      <c r="O677">
        <v>4.8758243499990499</v>
      </c>
      <c r="P677">
        <v>53299.882190589997</v>
      </c>
    </row>
    <row r="678" spans="1:16" x14ac:dyDescent="0.25">
      <c r="A678" s="10">
        <v>38607</v>
      </c>
      <c r="B678">
        <v>182.29336999999919</v>
      </c>
      <c r="C678">
        <v>58.338963999999997</v>
      </c>
      <c r="D678">
        <v>0</v>
      </c>
      <c r="E678">
        <v>0</v>
      </c>
      <c r="F678">
        <v>0</v>
      </c>
      <c r="G678">
        <v>-5.2538470000000004</v>
      </c>
      <c r="H678">
        <v>136.03983799999969</v>
      </c>
      <c r="I678">
        <v>0</v>
      </c>
      <c r="J678">
        <v>0</v>
      </c>
      <c r="K678">
        <v>1.05</v>
      </c>
      <c r="L678">
        <v>0</v>
      </c>
      <c r="M678">
        <v>0</v>
      </c>
      <c r="N678">
        <v>0</v>
      </c>
      <c r="O678">
        <v>-7.8815850000004737</v>
      </c>
      <c r="P678">
        <v>53482.175560590003</v>
      </c>
    </row>
    <row r="679" spans="1:16" x14ac:dyDescent="0.25">
      <c r="A679" s="10">
        <v>38608</v>
      </c>
      <c r="B679">
        <v>-121.89637199999579</v>
      </c>
      <c r="C679">
        <v>84.944395</v>
      </c>
      <c r="D679">
        <v>0</v>
      </c>
      <c r="E679">
        <v>0</v>
      </c>
      <c r="F679">
        <v>0</v>
      </c>
      <c r="G679">
        <v>-6.6643069999999991</v>
      </c>
      <c r="H679">
        <v>-200.6124349999991</v>
      </c>
      <c r="I679">
        <v>0</v>
      </c>
      <c r="J679">
        <v>0</v>
      </c>
      <c r="K679">
        <v>0.8</v>
      </c>
      <c r="L679">
        <v>0</v>
      </c>
      <c r="M679">
        <v>0</v>
      </c>
      <c r="N679">
        <v>0</v>
      </c>
      <c r="O679">
        <v>-0.36402499999670113</v>
      </c>
      <c r="P679">
        <v>53360.279188590001</v>
      </c>
    </row>
    <row r="680" spans="1:16" x14ac:dyDescent="0.25">
      <c r="A680" s="10">
        <v>38609</v>
      </c>
      <c r="B680">
        <v>-602.32519199999695</v>
      </c>
      <c r="C680">
        <v>54.759600000000013</v>
      </c>
      <c r="D680">
        <v>0</v>
      </c>
      <c r="E680">
        <v>0</v>
      </c>
      <c r="F680">
        <v>0</v>
      </c>
      <c r="G680">
        <v>-55.464073999999997</v>
      </c>
      <c r="H680">
        <v>249.29468396000081</v>
      </c>
      <c r="I680">
        <v>0</v>
      </c>
      <c r="J680">
        <v>0</v>
      </c>
      <c r="K680">
        <v>1.1000000000000001</v>
      </c>
      <c r="L680">
        <v>-851.7</v>
      </c>
      <c r="M680">
        <v>0</v>
      </c>
      <c r="N680">
        <v>0</v>
      </c>
      <c r="O680">
        <v>-0.31540195999775728</v>
      </c>
      <c r="P680">
        <v>52757.953996589997</v>
      </c>
    </row>
    <row r="681" spans="1:16" x14ac:dyDescent="0.25">
      <c r="A681" s="10">
        <v>38610</v>
      </c>
      <c r="B681">
        <v>529.10851599999251</v>
      </c>
      <c r="C681">
        <v>92.032077999999998</v>
      </c>
      <c r="D681">
        <v>0</v>
      </c>
      <c r="E681">
        <v>0</v>
      </c>
      <c r="F681">
        <v>0</v>
      </c>
      <c r="G681">
        <v>28.571417999999991</v>
      </c>
      <c r="H681">
        <v>404.76730099999799</v>
      </c>
      <c r="I681">
        <v>0</v>
      </c>
      <c r="J681">
        <v>0</v>
      </c>
      <c r="K681">
        <v>0.94</v>
      </c>
      <c r="L681">
        <v>0</v>
      </c>
      <c r="M681">
        <v>0</v>
      </c>
      <c r="N681">
        <v>0</v>
      </c>
      <c r="O681">
        <v>2.7977189999944581</v>
      </c>
      <c r="P681">
        <v>53287.062512589997</v>
      </c>
    </row>
    <row r="682" spans="1:16" x14ac:dyDescent="0.25">
      <c r="A682" s="10">
        <v>38611</v>
      </c>
      <c r="B682">
        <v>-99.463208999993554</v>
      </c>
      <c r="C682">
        <v>181.341634</v>
      </c>
      <c r="D682">
        <v>-849.86809999999991</v>
      </c>
      <c r="E682">
        <v>0</v>
      </c>
      <c r="F682">
        <v>0</v>
      </c>
      <c r="G682">
        <v>-6.028385995760118</v>
      </c>
      <c r="H682">
        <v>573.04146539000249</v>
      </c>
      <c r="I682">
        <v>0</v>
      </c>
      <c r="J682">
        <v>0</v>
      </c>
      <c r="K682">
        <v>1.1000000000000001</v>
      </c>
      <c r="L682">
        <v>0</v>
      </c>
      <c r="M682">
        <v>0</v>
      </c>
      <c r="N682">
        <v>0</v>
      </c>
      <c r="O682">
        <v>0.95017760576399724</v>
      </c>
      <c r="P682">
        <v>53187.599303590003</v>
      </c>
    </row>
    <row r="683" spans="1:16" x14ac:dyDescent="0.25">
      <c r="A683" s="10">
        <v>38614</v>
      </c>
      <c r="B683">
        <v>-122.1454590000068</v>
      </c>
      <c r="C683">
        <v>57.424153999999987</v>
      </c>
      <c r="D683">
        <v>0</v>
      </c>
      <c r="E683">
        <v>0</v>
      </c>
      <c r="F683">
        <v>0</v>
      </c>
      <c r="G683">
        <v>56.310687000000001</v>
      </c>
      <c r="H683">
        <v>-236.68616899999779</v>
      </c>
      <c r="I683">
        <v>0</v>
      </c>
      <c r="J683">
        <v>0</v>
      </c>
      <c r="K683">
        <v>1.0900000000000001</v>
      </c>
      <c r="L683">
        <v>0</v>
      </c>
      <c r="M683">
        <v>0</v>
      </c>
      <c r="N683">
        <v>0</v>
      </c>
      <c r="O683">
        <v>-0.28413100000901181</v>
      </c>
      <c r="P683">
        <v>53065.453844590003</v>
      </c>
    </row>
    <row r="684" spans="1:16" x14ac:dyDescent="0.25">
      <c r="A684" s="10">
        <v>38615</v>
      </c>
      <c r="B684">
        <v>-12.562309999993371</v>
      </c>
      <c r="C684">
        <v>87.639877999999996</v>
      </c>
      <c r="D684">
        <v>0</v>
      </c>
      <c r="E684">
        <v>0</v>
      </c>
      <c r="F684">
        <v>0</v>
      </c>
      <c r="G684">
        <v>-6.2014589999999998</v>
      </c>
      <c r="H684">
        <v>-95.340253899998061</v>
      </c>
      <c r="I684">
        <v>0</v>
      </c>
      <c r="J684">
        <v>0</v>
      </c>
      <c r="K684">
        <v>1.02</v>
      </c>
      <c r="L684">
        <v>0</v>
      </c>
      <c r="M684">
        <v>0</v>
      </c>
      <c r="N684">
        <v>0</v>
      </c>
      <c r="O684">
        <v>0.31952490000469419</v>
      </c>
      <c r="P684">
        <v>53052.891534590002</v>
      </c>
    </row>
    <row r="685" spans="1:16" x14ac:dyDescent="0.25">
      <c r="A685" s="10">
        <v>38616</v>
      </c>
      <c r="B685">
        <v>-491.0412050000084</v>
      </c>
      <c r="C685">
        <v>97.917056000000002</v>
      </c>
      <c r="D685">
        <v>-129.96440000000001</v>
      </c>
      <c r="E685">
        <v>0</v>
      </c>
      <c r="F685">
        <v>0</v>
      </c>
      <c r="G685">
        <v>27.596966011679999</v>
      </c>
      <c r="H685">
        <v>49.410807999999633</v>
      </c>
      <c r="I685">
        <v>0</v>
      </c>
      <c r="J685">
        <v>0</v>
      </c>
      <c r="K685">
        <v>1.03</v>
      </c>
      <c r="L685">
        <v>-529.79999999999995</v>
      </c>
      <c r="M685">
        <v>0</v>
      </c>
      <c r="N685">
        <v>0</v>
      </c>
      <c r="O685">
        <v>-7.2316350116880432</v>
      </c>
      <c r="P685">
        <v>52561.850329589994</v>
      </c>
    </row>
    <row r="686" spans="1:16" x14ac:dyDescent="0.25">
      <c r="A686" s="10">
        <v>38617</v>
      </c>
      <c r="B686">
        <v>360.20344900000123</v>
      </c>
      <c r="C686">
        <v>103.506623</v>
      </c>
      <c r="D686">
        <v>0</v>
      </c>
      <c r="E686">
        <v>0</v>
      </c>
      <c r="F686">
        <v>0</v>
      </c>
      <c r="G686">
        <v>-14.29148099999998</v>
      </c>
      <c r="H686">
        <v>269.92589853000118</v>
      </c>
      <c r="I686">
        <v>0</v>
      </c>
      <c r="J686">
        <v>0</v>
      </c>
      <c r="K686">
        <v>1.1000000000000001</v>
      </c>
      <c r="L686">
        <v>0</v>
      </c>
      <c r="M686">
        <v>0</v>
      </c>
      <c r="N686">
        <v>0</v>
      </c>
      <c r="O686">
        <v>-3.7591530000042887E-2</v>
      </c>
      <c r="P686">
        <v>52922.053778589987</v>
      </c>
    </row>
    <row r="687" spans="1:16" x14ac:dyDescent="0.25">
      <c r="A687" s="10">
        <v>38618</v>
      </c>
      <c r="B687">
        <v>291.05272609000491</v>
      </c>
      <c r="C687">
        <v>113.011708</v>
      </c>
      <c r="D687">
        <v>-170.000000003672</v>
      </c>
      <c r="E687">
        <v>170</v>
      </c>
      <c r="F687">
        <v>0</v>
      </c>
      <c r="G687">
        <v>-4.6259919999999974</v>
      </c>
      <c r="H687">
        <v>181.9388068099997</v>
      </c>
      <c r="I687">
        <v>0</v>
      </c>
      <c r="J687">
        <v>0</v>
      </c>
      <c r="K687">
        <v>0.56000000000000005</v>
      </c>
      <c r="L687">
        <v>0</v>
      </c>
      <c r="M687">
        <v>0</v>
      </c>
      <c r="N687">
        <v>0</v>
      </c>
      <c r="O687">
        <v>0.1682032836771441</v>
      </c>
      <c r="P687">
        <v>53213.106504679999</v>
      </c>
    </row>
    <row r="688" spans="1:16" x14ac:dyDescent="0.25">
      <c r="A688" s="10">
        <v>38621</v>
      </c>
      <c r="B688">
        <v>-510.17267808999878</v>
      </c>
      <c r="C688">
        <v>119.91223100000001</v>
      </c>
      <c r="D688">
        <v>0</v>
      </c>
      <c r="E688">
        <v>0</v>
      </c>
      <c r="F688">
        <v>0</v>
      </c>
      <c r="G688">
        <v>-1.5227750000000031</v>
      </c>
      <c r="H688">
        <v>-630.81692999999996</v>
      </c>
      <c r="I688">
        <v>0</v>
      </c>
      <c r="J688">
        <v>0</v>
      </c>
      <c r="K688">
        <v>0.91</v>
      </c>
      <c r="L688">
        <v>0</v>
      </c>
      <c r="M688">
        <v>0</v>
      </c>
      <c r="N688">
        <v>0</v>
      </c>
      <c r="O688">
        <v>1.3447959100011531</v>
      </c>
      <c r="P688">
        <v>52702.933826590001</v>
      </c>
    </row>
    <row r="689" spans="1:16" x14ac:dyDescent="0.25">
      <c r="A689" s="10">
        <v>38622</v>
      </c>
      <c r="B689">
        <v>25.312826999987291</v>
      </c>
      <c r="C689">
        <v>131.57217399999999</v>
      </c>
      <c r="D689">
        <v>0</v>
      </c>
      <c r="E689">
        <v>0</v>
      </c>
      <c r="F689">
        <v>0</v>
      </c>
      <c r="G689">
        <v>-5.0696359999999974</v>
      </c>
      <c r="H689">
        <v>-106.3893032600008</v>
      </c>
      <c r="I689">
        <v>0</v>
      </c>
      <c r="J689">
        <v>0</v>
      </c>
      <c r="K689">
        <v>1.07</v>
      </c>
      <c r="L689">
        <v>0</v>
      </c>
      <c r="M689">
        <v>0</v>
      </c>
      <c r="N689">
        <v>0</v>
      </c>
      <c r="O689">
        <v>4.1295922599880868</v>
      </c>
      <c r="P689">
        <v>52728.246653589988</v>
      </c>
    </row>
    <row r="690" spans="1:16" x14ac:dyDescent="0.25">
      <c r="A690" s="10">
        <v>38623</v>
      </c>
      <c r="B690">
        <v>-243.13280099999201</v>
      </c>
      <c r="C690">
        <v>99.140323000000009</v>
      </c>
      <c r="D690">
        <v>0</v>
      </c>
      <c r="E690">
        <v>0</v>
      </c>
      <c r="F690">
        <v>0</v>
      </c>
      <c r="G690">
        <v>-19.64087508999998</v>
      </c>
      <c r="H690">
        <v>-227.65067986999841</v>
      </c>
      <c r="I690">
        <v>0</v>
      </c>
      <c r="J690">
        <v>0</v>
      </c>
      <c r="K690">
        <v>1.02</v>
      </c>
      <c r="L690">
        <v>-111.2</v>
      </c>
      <c r="M690">
        <v>0</v>
      </c>
      <c r="N690">
        <v>0</v>
      </c>
      <c r="O690">
        <v>15.198430960006389</v>
      </c>
      <c r="P690">
        <v>52485.113852590002</v>
      </c>
    </row>
    <row r="691" spans="1:16" x14ac:dyDescent="0.25">
      <c r="A691" s="10">
        <v>38624</v>
      </c>
      <c r="B691">
        <v>-258.28885258999759</v>
      </c>
      <c r="C691">
        <v>48.918097000000003</v>
      </c>
      <c r="D691">
        <v>0</v>
      </c>
      <c r="E691">
        <v>0</v>
      </c>
      <c r="F691">
        <v>0</v>
      </c>
      <c r="G691">
        <v>-186.24326300000001</v>
      </c>
      <c r="H691">
        <v>-123.8648715500003</v>
      </c>
      <c r="I691">
        <v>0</v>
      </c>
      <c r="J691">
        <v>0</v>
      </c>
      <c r="K691">
        <v>0.9</v>
      </c>
      <c r="L691">
        <v>0</v>
      </c>
      <c r="M691">
        <v>0</v>
      </c>
      <c r="N691">
        <v>0</v>
      </c>
      <c r="O691">
        <v>2.0011849600026612</v>
      </c>
      <c r="P691">
        <v>52226.824999999997</v>
      </c>
    </row>
    <row r="692" spans="1:16" x14ac:dyDescent="0.25">
      <c r="A692" s="10">
        <v>38625</v>
      </c>
      <c r="B692">
        <v>416.00478332999751</v>
      </c>
      <c r="C692">
        <v>193.34134499999999</v>
      </c>
      <c r="D692">
        <v>0</v>
      </c>
      <c r="E692">
        <v>0</v>
      </c>
      <c r="F692">
        <v>0</v>
      </c>
      <c r="G692">
        <v>-374.18701252000011</v>
      </c>
      <c r="H692">
        <v>601.82387501999983</v>
      </c>
      <c r="I692">
        <v>0</v>
      </c>
      <c r="J692">
        <v>0</v>
      </c>
      <c r="K692">
        <v>0.72</v>
      </c>
      <c r="L692">
        <v>0</v>
      </c>
      <c r="M692">
        <v>0</v>
      </c>
      <c r="N692">
        <v>0</v>
      </c>
      <c r="O692">
        <v>-5.6934241700023449</v>
      </c>
      <c r="P692">
        <v>52642.829783329988</v>
      </c>
    </row>
    <row r="693" spans="1:16" x14ac:dyDescent="0.25">
      <c r="A693" s="10">
        <v>38628</v>
      </c>
      <c r="B693">
        <v>1289.08225567</v>
      </c>
      <c r="C693">
        <v>287.52012869999999</v>
      </c>
      <c r="D693">
        <v>395.09999999849998</v>
      </c>
      <c r="E693">
        <v>-395.09999999849998</v>
      </c>
      <c r="F693">
        <v>0</v>
      </c>
      <c r="G693">
        <v>216.25905</v>
      </c>
      <c r="H693">
        <v>781.10336217999975</v>
      </c>
      <c r="I693">
        <v>0</v>
      </c>
      <c r="J693">
        <v>0</v>
      </c>
      <c r="K693">
        <v>1.35</v>
      </c>
      <c r="L693">
        <v>0</v>
      </c>
      <c r="M693">
        <v>0</v>
      </c>
      <c r="N693">
        <v>0</v>
      </c>
      <c r="O693">
        <v>2.8497147900002981</v>
      </c>
      <c r="P693">
        <v>53931.912039000003</v>
      </c>
    </row>
    <row r="694" spans="1:16" x14ac:dyDescent="0.25">
      <c r="A694" s="10">
        <v>38629</v>
      </c>
      <c r="B694">
        <v>-195.98941400000291</v>
      </c>
      <c r="C694">
        <v>281.90069999999997</v>
      </c>
      <c r="D694">
        <v>0</v>
      </c>
      <c r="E694">
        <v>0</v>
      </c>
      <c r="F694">
        <v>0</v>
      </c>
      <c r="G694">
        <v>-3.2517999999999998</v>
      </c>
      <c r="H694">
        <v>1217.794832</v>
      </c>
      <c r="I694">
        <v>0</v>
      </c>
      <c r="J694">
        <v>-1578.799999999999</v>
      </c>
      <c r="K694">
        <v>-43.63000000000018</v>
      </c>
      <c r="L694">
        <v>0</v>
      </c>
      <c r="M694">
        <v>0</v>
      </c>
      <c r="N694">
        <v>0</v>
      </c>
      <c r="O694">
        <v>-70.003146000003198</v>
      </c>
      <c r="P694">
        <v>53735.922624999992</v>
      </c>
    </row>
    <row r="695" spans="1:16" x14ac:dyDescent="0.25">
      <c r="A695" s="10">
        <v>38630</v>
      </c>
      <c r="B695">
        <v>562.54435999999998</v>
      </c>
      <c r="C695">
        <v>194.73997</v>
      </c>
      <c r="D695">
        <v>0</v>
      </c>
      <c r="E695">
        <v>0</v>
      </c>
      <c r="F695">
        <v>0</v>
      </c>
      <c r="G695">
        <v>-6.2304529999999971</v>
      </c>
      <c r="H695">
        <v>183.14959637000081</v>
      </c>
      <c r="I695">
        <v>0</v>
      </c>
      <c r="J695">
        <v>0</v>
      </c>
      <c r="K695">
        <v>1.1200000000000001</v>
      </c>
      <c r="L695">
        <v>230.3</v>
      </c>
      <c r="M695">
        <v>0</v>
      </c>
      <c r="N695">
        <v>0</v>
      </c>
      <c r="O695">
        <v>-40.534753370000892</v>
      </c>
      <c r="P695">
        <v>54298.466984999992</v>
      </c>
    </row>
    <row r="696" spans="1:16" x14ac:dyDescent="0.25">
      <c r="A696" s="10">
        <v>38631</v>
      </c>
      <c r="B696">
        <v>269.52136779999933</v>
      </c>
      <c r="C696">
        <v>193.08084500000001</v>
      </c>
      <c r="D696">
        <v>-395.10000000063889</v>
      </c>
      <c r="E696">
        <v>395.10000000063889</v>
      </c>
      <c r="F696">
        <v>0</v>
      </c>
      <c r="G696">
        <v>-195.87702438000011</v>
      </c>
      <c r="H696">
        <v>156.84743399999931</v>
      </c>
      <c r="I696">
        <v>0</v>
      </c>
      <c r="J696">
        <v>0</v>
      </c>
      <c r="K696">
        <v>26.27</v>
      </c>
      <c r="L696">
        <v>0</v>
      </c>
      <c r="M696">
        <v>0</v>
      </c>
      <c r="N696">
        <v>0</v>
      </c>
      <c r="O696">
        <v>89.200113180000045</v>
      </c>
      <c r="P696">
        <v>54567.988352799992</v>
      </c>
    </row>
    <row r="697" spans="1:16" x14ac:dyDescent="0.25">
      <c r="A697" s="10">
        <v>38632</v>
      </c>
      <c r="B697">
        <v>458.16243919001153</v>
      </c>
      <c r="C697">
        <v>233.68070399999999</v>
      </c>
      <c r="D697">
        <v>0</v>
      </c>
      <c r="E697">
        <v>0</v>
      </c>
      <c r="F697">
        <v>0</v>
      </c>
      <c r="G697">
        <v>-5.0314539999999823</v>
      </c>
      <c r="H697">
        <v>201.18616423000091</v>
      </c>
      <c r="I697">
        <v>0</v>
      </c>
      <c r="J697">
        <v>0</v>
      </c>
      <c r="K697">
        <v>25.95</v>
      </c>
      <c r="L697">
        <v>0</v>
      </c>
      <c r="M697">
        <v>0</v>
      </c>
      <c r="N697">
        <v>0</v>
      </c>
      <c r="O697">
        <v>2.377024960010488</v>
      </c>
      <c r="P697">
        <v>55026.150791990003</v>
      </c>
    </row>
    <row r="698" spans="1:16" x14ac:dyDescent="0.25">
      <c r="A698" s="10">
        <v>38636</v>
      </c>
      <c r="B698">
        <v>225.2333350099947</v>
      </c>
      <c r="C698">
        <v>106.03585954</v>
      </c>
      <c r="D698">
        <v>0</v>
      </c>
      <c r="E698">
        <v>0</v>
      </c>
      <c r="F698">
        <v>0</v>
      </c>
      <c r="G698">
        <v>-4.79818678</v>
      </c>
      <c r="H698">
        <v>97.96875590000036</v>
      </c>
      <c r="I698">
        <v>0</v>
      </c>
      <c r="J698">
        <v>0</v>
      </c>
      <c r="K698">
        <v>23.97</v>
      </c>
      <c r="L698">
        <v>0</v>
      </c>
      <c r="M698">
        <v>0</v>
      </c>
      <c r="N698">
        <v>0</v>
      </c>
      <c r="O698">
        <v>2.0569063499943319</v>
      </c>
      <c r="P698">
        <v>55251.384126999998</v>
      </c>
    </row>
    <row r="699" spans="1:16" x14ac:dyDescent="0.25">
      <c r="A699" s="10">
        <v>38637</v>
      </c>
      <c r="B699">
        <v>-105.9807130000047</v>
      </c>
      <c r="C699">
        <v>197.24299999999999</v>
      </c>
      <c r="D699">
        <v>0</v>
      </c>
      <c r="E699">
        <v>-516</v>
      </c>
      <c r="F699">
        <v>0</v>
      </c>
      <c r="G699">
        <v>-6.5327532200000036</v>
      </c>
      <c r="H699">
        <v>261.15499999999969</v>
      </c>
      <c r="I699">
        <v>0</v>
      </c>
      <c r="J699">
        <v>0</v>
      </c>
      <c r="K699">
        <v>6.01</v>
      </c>
      <c r="L699">
        <v>-23.35</v>
      </c>
      <c r="M699">
        <v>0</v>
      </c>
      <c r="N699">
        <v>0</v>
      </c>
      <c r="O699">
        <v>-24.505959780004432</v>
      </c>
      <c r="P699">
        <v>55145.403413999993</v>
      </c>
    </row>
    <row r="700" spans="1:16" x14ac:dyDescent="0.25">
      <c r="A700" s="10">
        <v>38638</v>
      </c>
      <c r="B700">
        <v>239.9709619300049</v>
      </c>
      <c r="C700">
        <v>0.14408783999999999</v>
      </c>
      <c r="D700">
        <v>0</v>
      </c>
      <c r="E700">
        <v>516</v>
      </c>
      <c r="F700">
        <v>0</v>
      </c>
      <c r="G700">
        <v>-6.123365999999999</v>
      </c>
      <c r="H700">
        <v>-275.99415436000072</v>
      </c>
      <c r="I700">
        <v>0</v>
      </c>
      <c r="J700">
        <v>0</v>
      </c>
      <c r="K700">
        <v>0.7</v>
      </c>
      <c r="L700">
        <v>0</v>
      </c>
      <c r="M700">
        <v>0</v>
      </c>
      <c r="N700">
        <v>0</v>
      </c>
      <c r="O700">
        <v>5.2443944500055864</v>
      </c>
      <c r="P700">
        <v>55385.374375929998</v>
      </c>
    </row>
    <row r="701" spans="1:16" x14ac:dyDescent="0.25">
      <c r="A701" s="10">
        <v>38639</v>
      </c>
      <c r="B701">
        <v>60.946324160002263</v>
      </c>
      <c r="C701">
        <v>92.654562999999996</v>
      </c>
      <c r="D701">
        <v>0</v>
      </c>
      <c r="E701">
        <v>0</v>
      </c>
      <c r="F701">
        <v>0</v>
      </c>
      <c r="G701">
        <v>-27.702311999999999</v>
      </c>
      <c r="H701">
        <v>-55.802687170000347</v>
      </c>
      <c r="I701">
        <v>0</v>
      </c>
      <c r="J701">
        <v>0</v>
      </c>
      <c r="K701">
        <v>0.59</v>
      </c>
      <c r="L701">
        <v>0</v>
      </c>
      <c r="M701">
        <v>0</v>
      </c>
      <c r="N701">
        <v>0</v>
      </c>
      <c r="O701">
        <v>51.206760330002624</v>
      </c>
      <c r="P701">
        <v>55446.32070009</v>
      </c>
    </row>
    <row r="702" spans="1:16" x14ac:dyDescent="0.25">
      <c r="A702" s="10">
        <v>38642</v>
      </c>
      <c r="B702">
        <v>70.738511219998969</v>
      </c>
      <c r="C702">
        <v>183.45917589000001</v>
      </c>
      <c r="D702">
        <v>0</v>
      </c>
      <c r="E702">
        <v>0</v>
      </c>
      <c r="F702">
        <v>0</v>
      </c>
      <c r="G702">
        <v>1.142466040000045</v>
      </c>
      <c r="H702">
        <v>-121.6412878000001</v>
      </c>
      <c r="I702">
        <v>0</v>
      </c>
      <c r="J702">
        <v>0</v>
      </c>
      <c r="K702">
        <v>0.38</v>
      </c>
      <c r="L702">
        <v>0</v>
      </c>
      <c r="M702">
        <v>0</v>
      </c>
      <c r="N702">
        <v>0</v>
      </c>
      <c r="O702">
        <v>7.3981570899990174</v>
      </c>
      <c r="P702">
        <v>55517.059211309999</v>
      </c>
    </row>
    <row r="703" spans="1:16" x14ac:dyDescent="0.25">
      <c r="A703" s="10">
        <v>38643</v>
      </c>
      <c r="B703">
        <v>207.93710868999949</v>
      </c>
      <c r="C703">
        <v>324.64628972999998</v>
      </c>
      <c r="D703">
        <v>0</v>
      </c>
      <c r="E703">
        <v>0</v>
      </c>
      <c r="F703">
        <v>0</v>
      </c>
      <c r="G703">
        <v>-117.4604078</v>
      </c>
      <c r="H703">
        <v>-13.239207119999261</v>
      </c>
      <c r="I703">
        <v>0</v>
      </c>
      <c r="J703">
        <v>0</v>
      </c>
      <c r="K703">
        <v>0.4</v>
      </c>
      <c r="L703">
        <v>0</v>
      </c>
      <c r="M703">
        <v>0</v>
      </c>
      <c r="N703">
        <v>0</v>
      </c>
      <c r="O703">
        <v>13.590433879998731</v>
      </c>
      <c r="P703">
        <v>55724.996319999998</v>
      </c>
    </row>
    <row r="704" spans="1:16" x14ac:dyDescent="0.25">
      <c r="A704" s="10">
        <v>38644</v>
      </c>
      <c r="B704">
        <v>-268.45123399999977</v>
      </c>
      <c r="C704">
        <v>25.571117770000001</v>
      </c>
      <c r="D704">
        <v>0</v>
      </c>
      <c r="E704">
        <v>0</v>
      </c>
      <c r="F704">
        <v>0</v>
      </c>
      <c r="G704">
        <v>55.913268109999997</v>
      </c>
      <c r="H704">
        <v>-358.39724814000061</v>
      </c>
      <c r="I704">
        <v>0</v>
      </c>
      <c r="J704">
        <v>0</v>
      </c>
      <c r="K704">
        <v>0.4</v>
      </c>
      <c r="L704">
        <v>7.63</v>
      </c>
      <c r="M704">
        <v>0</v>
      </c>
      <c r="N704">
        <v>0</v>
      </c>
      <c r="O704">
        <v>0.43162826000082077</v>
      </c>
      <c r="P704">
        <v>55456.545085999998</v>
      </c>
    </row>
    <row r="705" spans="1:16" x14ac:dyDescent="0.25">
      <c r="A705" s="10">
        <v>38645</v>
      </c>
      <c r="B705">
        <v>-461.44617699999742</v>
      </c>
      <c r="C705">
        <v>7.8517487900000003</v>
      </c>
      <c r="D705">
        <v>0</v>
      </c>
      <c r="E705">
        <v>-700</v>
      </c>
      <c r="F705">
        <v>0</v>
      </c>
      <c r="G705">
        <v>13.75806689</v>
      </c>
      <c r="H705">
        <v>209.010430530001</v>
      </c>
      <c r="I705">
        <v>0</v>
      </c>
      <c r="J705">
        <v>0</v>
      </c>
      <c r="K705">
        <v>0.64</v>
      </c>
      <c r="L705">
        <v>6.65</v>
      </c>
      <c r="M705">
        <v>0</v>
      </c>
      <c r="N705">
        <v>0</v>
      </c>
      <c r="O705">
        <v>0.64357679000158896</v>
      </c>
      <c r="P705">
        <v>54995.098909</v>
      </c>
    </row>
    <row r="706" spans="1:16" x14ac:dyDescent="0.25">
      <c r="A706" s="10">
        <v>38646</v>
      </c>
      <c r="B706">
        <v>177.8535729499925</v>
      </c>
      <c r="C706">
        <v>9.5700408100000001</v>
      </c>
      <c r="D706">
        <v>0</v>
      </c>
      <c r="E706">
        <v>0</v>
      </c>
      <c r="F706">
        <v>0</v>
      </c>
      <c r="G706">
        <v>-56.904400889999998</v>
      </c>
      <c r="H706">
        <v>248.81412451000051</v>
      </c>
      <c r="I706">
        <v>0</v>
      </c>
      <c r="J706">
        <v>0</v>
      </c>
      <c r="K706">
        <v>0.59</v>
      </c>
      <c r="L706">
        <v>-19.87</v>
      </c>
      <c r="M706">
        <v>0</v>
      </c>
      <c r="N706">
        <v>0</v>
      </c>
      <c r="O706">
        <v>-4.346191480007974</v>
      </c>
      <c r="P706">
        <v>55172.952481949993</v>
      </c>
    </row>
    <row r="707" spans="1:16" x14ac:dyDescent="0.25">
      <c r="A707" s="10">
        <v>38649</v>
      </c>
      <c r="B707">
        <v>-211.69275915999589</v>
      </c>
      <c r="C707">
        <v>3.5593718700000001</v>
      </c>
      <c r="D707">
        <v>0</v>
      </c>
      <c r="E707">
        <v>0</v>
      </c>
      <c r="F707">
        <v>0</v>
      </c>
      <c r="G707">
        <v>-0.35008967999999963</v>
      </c>
      <c r="H707">
        <v>-220.19029477000001</v>
      </c>
      <c r="I707">
        <v>0</v>
      </c>
      <c r="J707">
        <v>0</v>
      </c>
      <c r="K707">
        <v>0.62</v>
      </c>
      <c r="L707">
        <v>0</v>
      </c>
      <c r="M707">
        <v>0</v>
      </c>
      <c r="N707">
        <v>0</v>
      </c>
      <c r="O707">
        <v>4.6682534200040902</v>
      </c>
      <c r="P707">
        <v>54961.259722789997</v>
      </c>
    </row>
    <row r="708" spans="1:16" x14ac:dyDescent="0.25">
      <c r="A708" s="10">
        <v>38650</v>
      </c>
      <c r="B708">
        <v>409.43632079999998</v>
      </c>
      <c r="C708">
        <v>4.5825210099999998</v>
      </c>
      <c r="D708">
        <v>0</v>
      </c>
      <c r="E708">
        <v>0</v>
      </c>
      <c r="F708">
        <v>0</v>
      </c>
      <c r="G708">
        <v>-14.30357837</v>
      </c>
      <c r="H708">
        <v>418.47041895999968</v>
      </c>
      <c r="I708">
        <v>0</v>
      </c>
      <c r="J708">
        <v>0</v>
      </c>
      <c r="K708">
        <v>0.48</v>
      </c>
      <c r="L708">
        <v>0</v>
      </c>
      <c r="M708">
        <v>0</v>
      </c>
      <c r="N708">
        <v>0</v>
      </c>
      <c r="O708">
        <v>0.20695920000019899</v>
      </c>
      <c r="P708">
        <v>55370.696043589996</v>
      </c>
    </row>
    <row r="709" spans="1:16" x14ac:dyDescent="0.25">
      <c r="A709" s="10">
        <v>38651</v>
      </c>
      <c r="B709">
        <v>163.18599534999569</v>
      </c>
      <c r="C709">
        <v>0.60441944999999997</v>
      </c>
      <c r="D709">
        <v>0</v>
      </c>
      <c r="E709">
        <v>0</v>
      </c>
      <c r="F709">
        <v>0</v>
      </c>
      <c r="G709">
        <v>-12.532565999999999</v>
      </c>
      <c r="H709">
        <v>256.64710749000102</v>
      </c>
      <c r="I709">
        <v>0</v>
      </c>
      <c r="J709">
        <v>0</v>
      </c>
      <c r="K709">
        <v>0.52</v>
      </c>
      <c r="L709">
        <v>-81.36</v>
      </c>
      <c r="M709">
        <v>0</v>
      </c>
      <c r="N709">
        <v>0</v>
      </c>
      <c r="O709">
        <v>-0.69296559000525804</v>
      </c>
      <c r="P709">
        <v>55533.882038939992</v>
      </c>
    </row>
    <row r="710" spans="1:16" x14ac:dyDescent="0.25">
      <c r="A710" s="10">
        <v>38652</v>
      </c>
      <c r="B710">
        <v>850.27607706000049</v>
      </c>
      <c r="C710">
        <v>-59.821866</v>
      </c>
      <c r="D710">
        <v>-1090</v>
      </c>
      <c r="E710">
        <v>1090</v>
      </c>
      <c r="F710">
        <v>0</v>
      </c>
      <c r="G710">
        <v>699.39433199999996</v>
      </c>
      <c r="H710">
        <v>199.87730099999951</v>
      </c>
      <c r="I710">
        <v>0</v>
      </c>
      <c r="J710">
        <v>0</v>
      </c>
      <c r="K710">
        <v>0.55000000000000004</v>
      </c>
      <c r="L710">
        <v>0</v>
      </c>
      <c r="M710">
        <v>0</v>
      </c>
      <c r="N710">
        <v>0</v>
      </c>
      <c r="O710">
        <v>10.27631006000103</v>
      </c>
      <c r="P710">
        <v>56384.158115999991</v>
      </c>
    </row>
    <row r="711" spans="1:16" x14ac:dyDescent="0.25">
      <c r="A711" s="10">
        <v>38653</v>
      </c>
      <c r="B711">
        <v>-241.05824699999289</v>
      </c>
      <c r="C711">
        <v>1.855558</v>
      </c>
      <c r="D711">
        <v>0</v>
      </c>
      <c r="E711">
        <v>0</v>
      </c>
      <c r="F711">
        <v>0</v>
      </c>
      <c r="G711">
        <v>-8.4853004600000013</v>
      </c>
      <c r="H711">
        <v>-230.5104619999984</v>
      </c>
      <c r="I711">
        <v>0</v>
      </c>
      <c r="J711">
        <v>0</v>
      </c>
      <c r="K711">
        <v>0.55642100000000005</v>
      </c>
      <c r="L711">
        <v>0</v>
      </c>
      <c r="M711">
        <v>0</v>
      </c>
      <c r="N711">
        <v>0</v>
      </c>
      <c r="O711">
        <v>-4.4744635399945309</v>
      </c>
      <c r="P711">
        <v>56143.099868999998</v>
      </c>
    </row>
    <row r="712" spans="1:16" x14ac:dyDescent="0.25">
      <c r="A712" s="10">
        <v>38656</v>
      </c>
      <c r="B712">
        <v>-233.24404605000041</v>
      </c>
      <c r="C712">
        <v>-73.387068999999997</v>
      </c>
      <c r="D712">
        <v>0</v>
      </c>
      <c r="E712">
        <v>0</v>
      </c>
      <c r="F712">
        <v>0</v>
      </c>
      <c r="G712">
        <v>-94.752594540000018</v>
      </c>
      <c r="H712">
        <v>-129.55075599999961</v>
      </c>
      <c r="I712">
        <v>0</v>
      </c>
      <c r="J712">
        <v>0</v>
      </c>
      <c r="K712">
        <v>0.71011100000000005</v>
      </c>
      <c r="L712">
        <v>0</v>
      </c>
      <c r="M712">
        <v>0</v>
      </c>
      <c r="N712">
        <v>0</v>
      </c>
      <c r="O712">
        <v>63.736262489999277</v>
      </c>
      <c r="P712">
        <v>55909.855822949998</v>
      </c>
    </row>
    <row r="713" spans="1:16" x14ac:dyDescent="0.25">
      <c r="A713" s="10">
        <v>38657</v>
      </c>
      <c r="B713">
        <v>-181.31441507999989</v>
      </c>
      <c r="C713">
        <v>0.445191</v>
      </c>
      <c r="D713">
        <v>0</v>
      </c>
      <c r="E713">
        <v>0</v>
      </c>
      <c r="F713">
        <v>0</v>
      </c>
      <c r="G713">
        <v>-156.118842</v>
      </c>
      <c r="H713">
        <v>-33.872136270000738</v>
      </c>
      <c r="I713">
        <v>0</v>
      </c>
      <c r="J713">
        <v>0</v>
      </c>
      <c r="K713">
        <v>0.28999999999999998</v>
      </c>
      <c r="L713">
        <v>0</v>
      </c>
      <c r="M713">
        <v>0</v>
      </c>
      <c r="N713">
        <v>0</v>
      </c>
      <c r="O713">
        <v>7.9413721900008909</v>
      </c>
      <c r="P713">
        <v>55728.541407869998</v>
      </c>
    </row>
    <row r="714" spans="1:16" x14ac:dyDescent="0.25">
      <c r="A714" s="10">
        <v>38658</v>
      </c>
      <c r="B714">
        <v>-328.92546132000331</v>
      </c>
      <c r="C714">
        <v>0.75095584999999998</v>
      </c>
      <c r="D714">
        <v>0</v>
      </c>
      <c r="E714">
        <v>0</v>
      </c>
      <c r="F714">
        <v>0</v>
      </c>
      <c r="G714">
        <v>-7.1267857499999998</v>
      </c>
      <c r="H714">
        <v>-141.34473452000111</v>
      </c>
      <c r="I714">
        <v>0</v>
      </c>
      <c r="J714">
        <v>-135.11000000000061</v>
      </c>
      <c r="K714">
        <v>-34.580226000000053</v>
      </c>
      <c r="L714">
        <v>-8.6223128741751793</v>
      </c>
      <c r="M714">
        <v>0</v>
      </c>
      <c r="N714">
        <v>0</v>
      </c>
      <c r="O714">
        <v>-2.8923580258263542</v>
      </c>
      <c r="P714">
        <v>55399.615946549988</v>
      </c>
    </row>
    <row r="715" spans="1:16" x14ac:dyDescent="0.25">
      <c r="A715" s="10">
        <v>38659</v>
      </c>
      <c r="B715">
        <v>-184.10608954999771</v>
      </c>
      <c r="C715">
        <v>15.772703999999999</v>
      </c>
      <c r="D715">
        <v>0</v>
      </c>
      <c r="E715">
        <v>0</v>
      </c>
      <c r="F715">
        <v>0</v>
      </c>
      <c r="G715">
        <v>27.564126810000001</v>
      </c>
      <c r="H715">
        <v>-229.9091159999989</v>
      </c>
      <c r="I715">
        <v>0</v>
      </c>
      <c r="J715">
        <v>0</v>
      </c>
      <c r="K715">
        <v>0.24099999999999999</v>
      </c>
      <c r="L715">
        <v>0</v>
      </c>
      <c r="M715">
        <v>0</v>
      </c>
      <c r="N715">
        <v>0</v>
      </c>
      <c r="O715">
        <v>2.225195640001203</v>
      </c>
      <c r="P715">
        <v>55215.509856999997</v>
      </c>
    </row>
    <row r="716" spans="1:16" x14ac:dyDescent="0.25">
      <c r="A716" s="10">
        <v>38660</v>
      </c>
      <c r="B716">
        <v>66.796313000006549</v>
      </c>
      <c r="C716">
        <v>11.780403</v>
      </c>
      <c r="D716">
        <v>0</v>
      </c>
      <c r="E716">
        <v>0</v>
      </c>
      <c r="F716">
        <v>0</v>
      </c>
      <c r="G716">
        <v>-6.9817219999999907</v>
      </c>
      <c r="H716">
        <v>121.79275200000031</v>
      </c>
      <c r="I716">
        <v>0</v>
      </c>
      <c r="J716">
        <v>0</v>
      </c>
      <c r="K716">
        <v>0.61</v>
      </c>
      <c r="L716">
        <v>0</v>
      </c>
      <c r="M716">
        <v>0</v>
      </c>
      <c r="N716">
        <v>0</v>
      </c>
      <c r="O716">
        <v>-60.405119999993758</v>
      </c>
      <c r="P716">
        <v>55282.306170000003</v>
      </c>
    </row>
    <row r="717" spans="1:16" x14ac:dyDescent="0.25">
      <c r="A717" s="10">
        <v>38663</v>
      </c>
      <c r="B717">
        <v>171.5202189999907</v>
      </c>
      <c r="C717">
        <v>55.470991000000012</v>
      </c>
      <c r="D717">
        <v>0</v>
      </c>
      <c r="E717">
        <v>0</v>
      </c>
      <c r="F717">
        <v>0</v>
      </c>
      <c r="G717">
        <v>146.21</v>
      </c>
      <c r="H717">
        <v>-78.271112000001267</v>
      </c>
      <c r="I717">
        <v>0</v>
      </c>
      <c r="J717">
        <v>0</v>
      </c>
      <c r="K717">
        <v>0.51</v>
      </c>
      <c r="L717">
        <v>0</v>
      </c>
      <c r="M717">
        <v>0</v>
      </c>
      <c r="N717">
        <v>0</v>
      </c>
      <c r="O717">
        <v>47.600339999991952</v>
      </c>
      <c r="P717">
        <v>55453.826388999987</v>
      </c>
    </row>
    <row r="718" spans="1:16" x14ac:dyDescent="0.25">
      <c r="A718" s="10">
        <v>38664</v>
      </c>
      <c r="B718">
        <v>204.0576380000056</v>
      </c>
      <c r="C718">
        <v>225.67604399999999</v>
      </c>
      <c r="D718">
        <v>0</v>
      </c>
      <c r="E718">
        <v>0</v>
      </c>
      <c r="F718">
        <v>0</v>
      </c>
      <c r="G718">
        <v>-6.8029900000000003</v>
      </c>
      <c r="H718">
        <v>5.9264079999993564</v>
      </c>
      <c r="I718">
        <v>0</v>
      </c>
      <c r="J718">
        <v>0</v>
      </c>
      <c r="K718">
        <v>0.63</v>
      </c>
      <c r="L718">
        <v>0</v>
      </c>
      <c r="M718">
        <v>0</v>
      </c>
      <c r="N718">
        <v>0</v>
      </c>
      <c r="O718">
        <v>-21.37182399999379</v>
      </c>
      <c r="P718">
        <v>55657.884027</v>
      </c>
    </row>
    <row r="719" spans="1:16" x14ac:dyDescent="0.25">
      <c r="A719" s="10">
        <v>38665</v>
      </c>
      <c r="B719">
        <v>142.81389700000011</v>
      </c>
      <c r="C719">
        <v>77.618688000000006</v>
      </c>
      <c r="D719">
        <v>175</v>
      </c>
      <c r="E719">
        <v>-450</v>
      </c>
      <c r="F719">
        <v>0</v>
      </c>
      <c r="G719">
        <v>-5.9146729999999934</v>
      </c>
      <c r="H719">
        <v>380.81172221000003</v>
      </c>
      <c r="I719">
        <v>0</v>
      </c>
      <c r="J719">
        <v>0</v>
      </c>
      <c r="K719">
        <v>0.54</v>
      </c>
      <c r="L719">
        <v>-68.650000000000006</v>
      </c>
      <c r="M719">
        <v>0</v>
      </c>
      <c r="N719">
        <v>0</v>
      </c>
      <c r="O719">
        <v>33.40815979000007</v>
      </c>
      <c r="P719">
        <v>55800.697924</v>
      </c>
    </row>
    <row r="720" spans="1:16" x14ac:dyDescent="0.25">
      <c r="A720" s="10">
        <v>38666</v>
      </c>
      <c r="B720">
        <v>167.85949899999071</v>
      </c>
      <c r="C720">
        <v>19.751294999999999</v>
      </c>
      <c r="D720">
        <v>0</v>
      </c>
      <c r="E720">
        <v>450</v>
      </c>
      <c r="F720">
        <v>0</v>
      </c>
      <c r="G720">
        <v>-6.3745779999999987</v>
      </c>
      <c r="H720">
        <v>-316.81126713000049</v>
      </c>
      <c r="I720">
        <v>0</v>
      </c>
      <c r="J720">
        <v>0</v>
      </c>
      <c r="K720">
        <v>22.044</v>
      </c>
      <c r="L720">
        <v>0</v>
      </c>
      <c r="M720">
        <v>0</v>
      </c>
      <c r="N720">
        <v>0</v>
      </c>
      <c r="O720">
        <v>-0.74995087000885974</v>
      </c>
      <c r="P720">
        <v>55968.557422999991</v>
      </c>
    </row>
    <row r="721" spans="1:16" x14ac:dyDescent="0.25">
      <c r="A721" s="10">
        <v>38667</v>
      </c>
      <c r="B721">
        <v>-94.554766999987265</v>
      </c>
      <c r="C721">
        <v>0</v>
      </c>
      <c r="D721">
        <v>0</v>
      </c>
      <c r="E721">
        <v>0</v>
      </c>
      <c r="F721">
        <v>0</v>
      </c>
      <c r="G721">
        <v>-133.34392786000001</v>
      </c>
      <c r="H721">
        <v>49.152576000000408</v>
      </c>
      <c r="I721">
        <v>0</v>
      </c>
      <c r="J721">
        <v>0</v>
      </c>
      <c r="K721">
        <v>0.6</v>
      </c>
      <c r="L721">
        <v>0</v>
      </c>
      <c r="M721">
        <v>0</v>
      </c>
      <c r="N721">
        <v>0</v>
      </c>
      <c r="O721">
        <v>-10.96341513998766</v>
      </c>
      <c r="P721">
        <v>55874.002655999997</v>
      </c>
    </row>
    <row r="722" spans="1:16" x14ac:dyDescent="0.25">
      <c r="A722" s="10">
        <v>38670</v>
      </c>
      <c r="B722">
        <v>-11.89709600000038</v>
      </c>
      <c r="C722">
        <v>10.345280949999999</v>
      </c>
      <c r="D722">
        <v>841.99999999261911</v>
      </c>
      <c r="E722">
        <v>-842</v>
      </c>
      <c r="F722">
        <v>0</v>
      </c>
      <c r="G722">
        <v>-1.061283580000008</v>
      </c>
      <c r="H722">
        <v>-28.361193719999392</v>
      </c>
      <c r="I722">
        <v>0</v>
      </c>
      <c r="J722">
        <v>0</v>
      </c>
      <c r="K722">
        <v>6.75</v>
      </c>
      <c r="L722">
        <v>0</v>
      </c>
      <c r="M722">
        <v>0</v>
      </c>
      <c r="N722">
        <v>0</v>
      </c>
      <c r="O722">
        <v>0.43010035737994562</v>
      </c>
      <c r="P722">
        <v>55862.105560000004</v>
      </c>
    </row>
    <row r="723" spans="1:16" x14ac:dyDescent="0.25">
      <c r="A723" s="10">
        <v>38671</v>
      </c>
      <c r="B723">
        <v>446.61672099999828</v>
      </c>
      <c r="C723">
        <v>209.419387</v>
      </c>
      <c r="D723">
        <v>0</v>
      </c>
      <c r="E723">
        <v>0</v>
      </c>
      <c r="F723">
        <v>0</v>
      </c>
      <c r="G723">
        <v>-14.444546000000001</v>
      </c>
      <c r="H723">
        <v>249.59248000000031</v>
      </c>
      <c r="I723">
        <v>0</v>
      </c>
      <c r="J723">
        <v>0</v>
      </c>
      <c r="K723">
        <v>0.59</v>
      </c>
      <c r="L723">
        <v>0</v>
      </c>
      <c r="M723">
        <v>0</v>
      </c>
      <c r="N723">
        <v>0</v>
      </c>
      <c r="O723">
        <v>1.4593999999981411</v>
      </c>
      <c r="P723">
        <v>56308.722281000002</v>
      </c>
    </row>
    <row r="724" spans="1:16" x14ac:dyDescent="0.25">
      <c r="A724" s="10">
        <v>38672</v>
      </c>
      <c r="B724">
        <v>-901.93717700000661</v>
      </c>
      <c r="C724">
        <v>259.22801527000001</v>
      </c>
      <c r="D724">
        <v>0</v>
      </c>
      <c r="E724">
        <v>-1000</v>
      </c>
      <c r="F724">
        <v>0</v>
      </c>
      <c r="G724">
        <v>-443.65403712</v>
      </c>
      <c r="H724">
        <v>-447.42100000000028</v>
      </c>
      <c r="I724">
        <v>0</v>
      </c>
      <c r="J724">
        <v>0</v>
      </c>
      <c r="K724">
        <v>0.32900000000000001</v>
      </c>
      <c r="L724">
        <v>727.37187840773322</v>
      </c>
      <c r="M724">
        <v>0</v>
      </c>
      <c r="N724">
        <v>0</v>
      </c>
      <c r="O724">
        <v>2.2089664422603619</v>
      </c>
      <c r="P724">
        <v>55406.785104000002</v>
      </c>
    </row>
    <row r="725" spans="1:16" x14ac:dyDescent="0.25">
      <c r="A725" s="10">
        <v>38673</v>
      </c>
      <c r="B725">
        <v>1196.735196000009</v>
      </c>
      <c r="C725">
        <v>37.153222999999997</v>
      </c>
      <c r="D725">
        <v>-841.99999998529597</v>
      </c>
      <c r="E725">
        <v>1842</v>
      </c>
      <c r="F725">
        <v>0</v>
      </c>
      <c r="G725">
        <v>-7.2654280000000426</v>
      </c>
      <c r="H725">
        <v>164.62731651000101</v>
      </c>
      <c r="I725">
        <v>0</v>
      </c>
      <c r="J725">
        <v>0</v>
      </c>
      <c r="K725">
        <v>0.69</v>
      </c>
      <c r="L725">
        <v>0</v>
      </c>
      <c r="M725">
        <v>0</v>
      </c>
      <c r="N725">
        <v>0</v>
      </c>
      <c r="O725">
        <v>1.5300844753041929</v>
      </c>
      <c r="P725">
        <v>56603.520299999996</v>
      </c>
    </row>
    <row r="726" spans="1:16" x14ac:dyDescent="0.25">
      <c r="A726" s="10">
        <v>38674</v>
      </c>
      <c r="B726">
        <v>47.113871999986813</v>
      </c>
      <c r="C726">
        <v>66.533793000000017</v>
      </c>
      <c r="D726">
        <v>0</v>
      </c>
      <c r="E726">
        <v>0</v>
      </c>
      <c r="F726">
        <v>0</v>
      </c>
      <c r="G726">
        <v>-7.0764239999999976</v>
      </c>
      <c r="H726">
        <v>-12.616498999999751</v>
      </c>
      <c r="I726">
        <v>0</v>
      </c>
      <c r="J726">
        <v>0</v>
      </c>
      <c r="K726">
        <v>0.6</v>
      </c>
      <c r="L726">
        <v>0</v>
      </c>
      <c r="M726">
        <v>0</v>
      </c>
      <c r="N726">
        <v>0</v>
      </c>
      <c r="O726">
        <v>-0.32699800001346091</v>
      </c>
      <c r="P726">
        <v>56650.634171999991</v>
      </c>
    </row>
    <row r="727" spans="1:16" x14ac:dyDescent="0.25">
      <c r="A727" s="10">
        <v>38677</v>
      </c>
      <c r="B727">
        <v>-265.58757699999182</v>
      </c>
      <c r="C727">
        <v>186.90259900000001</v>
      </c>
      <c r="D727">
        <v>0</v>
      </c>
      <c r="E727">
        <v>-825.1</v>
      </c>
      <c r="F727">
        <v>0</v>
      </c>
      <c r="G727">
        <v>600.38431500000002</v>
      </c>
      <c r="H727">
        <v>-226.35128500000059</v>
      </c>
      <c r="I727">
        <v>0</v>
      </c>
      <c r="J727">
        <v>0</v>
      </c>
      <c r="K727">
        <v>0.53</v>
      </c>
      <c r="L727">
        <v>0</v>
      </c>
      <c r="M727">
        <v>0</v>
      </c>
      <c r="N727">
        <v>0</v>
      </c>
      <c r="O727">
        <v>-1.9532059999911739</v>
      </c>
      <c r="P727">
        <v>56385.046595</v>
      </c>
    </row>
    <row r="728" spans="1:16" x14ac:dyDescent="0.25">
      <c r="A728" s="10">
        <v>38678</v>
      </c>
      <c r="B728">
        <v>50.894583000001013</v>
      </c>
      <c r="C728">
        <v>48.080624999999998</v>
      </c>
      <c r="D728">
        <v>0</v>
      </c>
      <c r="E728">
        <v>0</v>
      </c>
      <c r="F728">
        <v>0</v>
      </c>
      <c r="G728">
        <v>14.575200999999989</v>
      </c>
      <c r="H728">
        <v>-12.971814999998969</v>
      </c>
      <c r="I728">
        <v>0</v>
      </c>
      <c r="J728">
        <v>0</v>
      </c>
      <c r="K728">
        <v>0.59</v>
      </c>
      <c r="L728">
        <v>0</v>
      </c>
      <c r="M728">
        <v>0</v>
      </c>
      <c r="N728">
        <v>0</v>
      </c>
      <c r="O728">
        <v>0.62057199999998147</v>
      </c>
      <c r="P728">
        <v>56435.941178000001</v>
      </c>
    </row>
    <row r="729" spans="1:16" x14ac:dyDescent="0.25">
      <c r="A729" s="10">
        <v>38679</v>
      </c>
      <c r="B729">
        <v>-298.44945000000769</v>
      </c>
      <c r="C729">
        <v>20.341201000000002</v>
      </c>
      <c r="D729">
        <v>0</v>
      </c>
      <c r="E729">
        <v>0</v>
      </c>
      <c r="F729">
        <v>0</v>
      </c>
      <c r="G729">
        <v>-5.5203320000000007</v>
      </c>
      <c r="H729">
        <v>-366.91376800000029</v>
      </c>
      <c r="I729">
        <v>0</v>
      </c>
      <c r="J729">
        <v>0</v>
      </c>
      <c r="K729">
        <v>0.6</v>
      </c>
      <c r="L729">
        <v>29.310000000000059</v>
      </c>
      <c r="M729">
        <v>0</v>
      </c>
      <c r="N729">
        <v>0</v>
      </c>
      <c r="O729">
        <v>23.733448999992579</v>
      </c>
      <c r="P729">
        <v>56137.491727999994</v>
      </c>
    </row>
    <row r="730" spans="1:16" x14ac:dyDescent="0.25">
      <c r="A730" s="10">
        <v>38680</v>
      </c>
      <c r="B730">
        <v>658.04648750001058</v>
      </c>
      <c r="C730">
        <v>0</v>
      </c>
      <c r="D730">
        <v>0</v>
      </c>
      <c r="E730">
        <v>0</v>
      </c>
      <c r="F730">
        <v>0</v>
      </c>
      <c r="G730">
        <v>-5.7038909999999987</v>
      </c>
      <c r="H730">
        <v>665.54894499999955</v>
      </c>
      <c r="I730">
        <v>0</v>
      </c>
      <c r="J730">
        <v>0</v>
      </c>
      <c r="K730">
        <v>0.84</v>
      </c>
      <c r="L730">
        <v>0</v>
      </c>
      <c r="M730">
        <v>0</v>
      </c>
      <c r="N730">
        <v>0</v>
      </c>
      <c r="O730">
        <v>-2.6385664999889968</v>
      </c>
      <c r="P730">
        <v>56795.538215499997</v>
      </c>
    </row>
    <row r="731" spans="1:16" x14ac:dyDescent="0.25">
      <c r="A731" s="10">
        <v>38681</v>
      </c>
      <c r="B731">
        <v>-778.48977650000643</v>
      </c>
      <c r="C731">
        <v>19.278722999999999</v>
      </c>
      <c r="D731">
        <v>0</v>
      </c>
      <c r="E731">
        <v>-1260</v>
      </c>
      <c r="F731">
        <v>0</v>
      </c>
      <c r="G731">
        <v>-152.46093053000001</v>
      </c>
      <c r="H731">
        <v>609.65999999999985</v>
      </c>
      <c r="I731">
        <v>0</v>
      </c>
      <c r="J731">
        <v>0</v>
      </c>
      <c r="K731">
        <v>0.66</v>
      </c>
      <c r="L731">
        <v>0</v>
      </c>
      <c r="M731">
        <v>0</v>
      </c>
      <c r="N731">
        <v>0</v>
      </c>
      <c r="O731">
        <v>4.3724310299938862</v>
      </c>
      <c r="P731">
        <v>56017.048438999998</v>
      </c>
    </row>
    <row r="732" spans="1:16" x14ac:dyDescent="0.25">
      <c r="A732" s="10">
        <v>38684</v>
      </c>
      <c r="B732">
        <v>-634.45299499999965</v>
      </c>
      <c r="C732">
        <v>1.015277</v>
      </c>
      <c r="D732">
        <v>0</v>
      </c>
      <c r="E732">
        <v>0</v>
      </c>
      <c r="F732">
        <v>0</v>
      </c>
      <c r="G732">
        <v>-295.56186500000001</v>
      </c>
      <c r="H732">
        <v>-336.99085399999967</v>
      </c>
      <c r="I732">
        <v>0</v>
      </c>
      <c r="J732">
        <v>0</v>
      </c>
      <c r="K732">
        <v>0.79</v>
      </c>
      <c r="L732">
        <v>0</v>
      </c>
      <c r="M732">
        <v>0</v>
      </c>
      <c r="N732">
        <v>0</v>
      </c>
      <c r="O732">
        <v>-3.7055530000000321</v>
      </c>
      <c r="P732">
        <v>55382.595443999999</v>
      </c>
    </row>
    <row r="733" spans="1:16" x14ac:dyDescent="0.25">
      <c r="A733" s="10">
        <v>38685</v>
      </c>
      <c r="B733">
        <v>-106.3841440000032</v>
      </c>
      <c r="C733">
        <v>0.882853</v>
      </c>
      <c r="D733">
        <v>0</v>
      </c>
      <c r="E733">
        <v>0</v>
      </c>
      <c r="F733">
        <v>0</v>
      </c>
      <c r="G733">
        <v>1.0523000000000029</v>
      </c>
      <c r="H733">
        <v>-106.0235679999996</v>
      </c>
      <c r="I733">
        <v>0</v>
      </c>
      <c r="J733">
        <v>0</v>
      </c>
      <c r="K733">
        <v>0.62</v>
      </c>
      <c r="L733">
        <v>0</v>
      </c>
      <c r="M733">
        <v>0</v>
      </c>
      <c r="N733">
        <v>0</v>
      </c>
      <c r="O733">
        <v>-2.9157290000035658</v>
      </c>
      <c r="P733">
        <v>55276.211300000003</v>
      </c>
    </row>
    <row r="734" spans="1:16" x14ac:dyDescent="0.25">
      <c r="A734" s="10">
        <v>38686</v>
      </c>
      <c r="B734">
        <v>615.28542900000321</v>
      </c>
      <c r="C734">
        <v>34.336106000000001</v>
      </c>
      <c r="D734">
        <v>0</v>
      </c>
      <c r="E734">
        <v>0</v>
      </c>
      <c r="F734">
        <v>0</v>
      </c>
      <c r="G734">
        <v>193.29641799999999</v>
      </c>
      <c r="H734">
        <v>-303.49056399999972</v>
      </c>
      <c r="I734">
        <v>0</v>
      </c>
      <c r="J734">
        <v>0</v>
      </c>
      <c r="K734">
        <v>0.75</v>
      </c>
      <c r="L734">
        <v>691.16</v>
      </c>
      <c r="M734">
        <v>0</v>
      </c>
      <c r="N734">
        <v>0</v>
      </c>
      <c r="O734">
        <v>-0.76653099999703045</v>
      </c>
      <c r="P734">
        <v>55891.496728999999</v>
      </c>
    </row>
    <row r="735" spans="1:16" x14ac:dyDescent="0.25">
      <c r="A735" s="10">
        <v>38687</v>
      </c>
      <c r="B735">
        <v>1537.6100949999959</v>
      </c>
      <c r="C735">
        <v>131.128423</v>
      </c>
      <c r="D735">
        <v>0</v>
      </c>
      <c r="E735">
        <v>1100</v>
      </c>
      <c r="F735">
        <v>0</v>
      </c>
      <c r="G735">
        <v>-6.2810369999999978</v>
      </c>
      <c r="H735">
        <v>278.53350727999901</v>
      </c>
      <c r="I735">
        <v>0</v>
      </c>
      <c r="J735">
        <v>0</v>
      </c>
      <c r="K735">
        <v>0.43</v>
      </c>
      <c r="L735">
        <v>29.73</v>
      </c>
      <c r="M735">
        <v>0</v>
      </c>
      <c r="N735">
        <v>0</v>
      </c>
      <c r="O735">
        <v>4.0692017199971806</v>
      </c>
      <c r="P735">
        <v>57429.106823999988</v>
      </c>
    </row>
    <row r="736" spans="1:16" x14ac:dyDescent="0.25">
      <c r="A736" s="10">
        <v>38688</v>
      </c>
      <c r="B736">
        <v>-505.02107599999772</v>
      </c>
      <c r="C736">
        <v>150.881618</v>
      </c>
      <c r="D736">
        <v>0</v>
      </c>
      <c r="E736">
        <v>0</v>
      </c>
      <c r="F736">
        <v>0</v>
      </c>
      <c r="G736">
        <v>-7.8315079999999986</v>
      </c>
      <c r="H736">
        <v>308.56904999999921</v>
      </c>
      <c r="I736">
        <v>0</v>
      </c>
      <c r="J736">
        <v>-920.21</v>
      </c>
      <c r="K736">
        <v>-36.969999999999857</v>
      </c>
      <c r="L736">
        <v>0</v>
      </c>
      <c r="M736">
        <v>0</v>
      </c>
      <c r="N736">
        <v>0</v>
      </c>
      <c r="O736">
        <v>0.53976400000306057</v>
      </c>
      <c r="P736">
        <v>56924.085747999998</v>
      </c>
    </row>
    <row r="737" spans="1:16" x14ac:dyDescent="0.25">
      <c r="A737" s="10">
        <v>38691</v>
      </c>
      <c r="B737">
        <v>-163.0602209999999</v>
      </c>
      <c r="C737">
        <v>132.58814699999999</v>
      </c>
      <c r="D737">
        <v>0</v>
      </c>
      <c r="E737">
        <v>0</v>
      </c>
      <c r="F737">
        <v>0</v>
      </c>
      <c r="G737">
        <v>-2.0601219999999998</v>
      </c>
      <c r="H737">
        <v>-288.12097699999958</v>
      </c>
      <c r="I737">
        <v>0</v>
      </c>
      <c r="J737">
        <v>0</v>
      </c>
      <c r="K737">
        <v>1.05</v>
      </c>
      <c r="L737">
        <v>53.36</v>
      </c>
      <c r="M737">
        <v>0</v>
      </c>
      <c r="N737">
        <v>0</v>
      </c>
      <c r="O737">
        <v>-59.877269000000297</v>
      </c>
      <c r="P737">
        <v>56761.025526999998</v>
      </c>
    </row>
    <row r="738" spans="1:16" x14ac:dyDescent="0.25">
      <c r="A738" s="10">
        <v>38692</v>
      </c>
      <c r="B738">
        <v>-350.56168500000069</v>
      </c>
      <c r="C738">
        <v>130.56339500000001</v>
      </c>
      <c r="D738">
        <v>-260</v>
      </c>
      <c r="E738">
        <v>0</v>
      </c>
      <c r="F738">
        <v>0</v>
      </c>
      <c r="G738">
        <v>-22.829722000000061</v>
      </c>
      <c r="H738">
        <v>-245.43751100000009</v>
      </c>
      <c r="I738">
        <v>0</v>
      </c>
      <c r="J738">
        <v>0</v>
      </c>
      <c r="K738">
        <v>0.38</v>
      </c>
      <c r="L738">
        <v>0</v>
      </c>
      <c r="M738">
        <v>0</v>
      </c>
      <c r="N738">
        <v>0</v>
      </c>
      <c r="O738">
        <v>46.762152999999437</v>
      </c>
      <c r="P738">
        <v>56410.463841999997</v>
      </c>
    </row>
    <row r="739" spans="1:16" x14ac:dyDescent="0.25">
      <c r="A739" s="10">
        <v>38693</v>
      </c>
      <c r="B739">
        <v>-1035.266000999997</v>
      </c>
      <c r="C739">
        <v>125.133752</v>
      </c>
      <c r="D739">
        <v>0</v>
      </c>
      <c r="E739">
        <v>0</v>
      </c>
      <c r="F739">
        <v>0</v>
      </c>
      <c r="G739">
        <v>-5.9715570000000007</v>
      </c>
      <c r="H739">
        <v>-940.83117800000036</v>
      </c>
      <c r="I739">
        <v>0</v>
      </c>
      <c r="J739">
        <v>0</v>
      </c>
      <c r="K739">
        <v>0.3</v>
      </c>
      <c r="L739">
        <v>-188.92</v>
      </c>
      <c r="M739">
        <v>0</v>
      </c>
      <c r="N739">
        <v>0</v>
      </c>
      <c r="O739">
        <v>-24.977017999996161</v>
      </c>
      <c r="P739">
        <v>55375.197841000001</v>
      </c>
    </row>
    <row r="740" spans="1:16" x14ac:dyDescent="0.25">
      <c r="A740" s="10">
        <v>38695</v>
      </c>
      <c r="B740">
        <v>-271.62094500000268</v>
      </c>
      <c r="C740">
        <v>118.97846199999999</v>
      </c>
      <c r="D740">
        <v>0</v>
      </c>
      <c r="E740">
        <v>0</v>
      </c>
      <c r="F740">
        <v>0</v>
      </c>
      <c r="G740">
        <v>-8.7757880000000341</v>
      </c>
      <c r="H740">
        <v>-432.74806500000068</v>
      </c>
      <c r="I740">
        <v>0</v>
      </c>
      <c r="J740">
        <v>0</v>
      </c>
      <c r="K740">
        <v>0.64588900000000005</v>
      </c>
      <c r="L740">
        <v>0</v>
      </c>
      <c r="M740">
        <v>0</v>
      </c>
      <c r="N740">
        <v>0</v>
      </c>
      <c r="O740">
        <v>50.278556999997988</v>
      </c>
      <c r="P740">
        <v>55103.576895999999</v>
      </c>
    </row>
    <row r="741" spans="1:16" x14ac:dyDescent="0.25">
      <c r="A741" s="10">
        <v>38698</v>
      </c>
      <c r="B741">
        <v>54.785035000000207</v>
      </c>
      <c r="C741">
        <v>2.3174039999999998</v>
      </c>
      <c r="D741">
        <v>0</v>
      </c>
      <c r="E741">
        <v>0</v>
      </c>
      <c r="F741">
        <v>0</v>
      </c>
      <c r="G741">
        <v>-7.7254520000000024</v>
      </c>
      <c r="H741">
        <v>81.538062999999966</v>
      </c>
      <c r="I741">
        <v>0</v>
      </c>
      <c r="J741">
        <v>0</v>
      </c>
      <c r="K741">
        <v>0.80199999999999994</v>
      </c>
      <c r="L741">
        <v>0</v>
      </c>
      <c r="M741">
        <v>0</v>
      </c>
      <c r="N741">
        <v>0</v>
      </c>
      <c r="O741">
        <v>-22.146979999999761</v>
      </c>
      <c r="P741">
        <v>55158.361930999999</v>
      </c>
    </row>
    <row r="742" spans="1:16" x14ac:dyDescent="0.25">
      <c r="A742" s="10">
        <v>38699</v>
      </c>
      <c r="B742">
        <v>92.617278999998049</v>
      </c>
      <c r="C742">
        <v>65.057999999999993</v>
      </c>
      <c r="D742">
        <v>0</v>
      </c>
      <c r="E742">
        <v>0</v>
      </c>
      <c r="F742">
        <v>0</v>
      </c>
      <c r="G742">
        <v>-137.02560573</v>
      </c>
      <c r="H742">
        <v>148.58839900000109</v>
      </c>
      <c r="I742">
        <v>0</v>
      </c>
      <c r="J742">
        <v>0</v>
      </c>
      <c r="K742">
        <v>0.55000000000000004</v>
      </c>
      <c r="L742">
        <v>0</v>
      </c>
      <c r="M742">
        <v>0</v>
      </c>
      <c r="N742">
        <v>0</v>
      </c>
      <c r="O742">
        <v>15.44648572999694</v>
      </c>
      <c r="P742">
        <v>55250.979209999998</v>
      </c>
    </row>
    <row r="743" spans="1:16" x14ac:dyDescent="0.25">
      <c r="A743" s="10">
        <v>38700</v>
      </c>
      <c r="B743">
        <v>-102.88058699999969</v>
      </c>
      <c r="C743">
        <v>298.33593400000001</v>
      </c>
      <c r="D743">
        <v>-80.01812000000001</v>
      </c>
      <c r="E743">
        <v>0</v>
      </c>
      <c r="F743">
        <v>0</v>
      </c>
      <c r="G743">
        <v>6.2693110130280019</v>
      </c>
      <c r="H743">
        <v>68.234493999999358</v>
      </c>
      <c r="I743">
        <v>0</v>
      </c>
      <c r="J743">
        <v>0</v>
      </c>
      <c r="K743">
        <v>2</v>
      </c>
      <c r="L743">
        <v>-426.11</v>
      </c>
      <c r="M743">
        <v>0</v>
      </c>
      <c r="N743">
        <v>0</v>
      </c>
      <c r="O743">
        <v>28.40779398697298</v>
      </c>
      <c r="P743">
        <v>55148.098622999998</v>
      </c>
    </row>
    <row r="744" spans="1:16" x14ac:dyDescent="0.25">
      <c r="A744" s="10">
        <v>38701</v>
      </c>
      <c r="B744">
        <v>566.93720800000301</v>
      </c>
      <c r="C744">
        <v>302.77030400000001</v>
      </c>
      <c r="D744">
        <v>0</v>
      </c>
      <c r="E744">
        <v>0</v>
      </c>
      <c r="F744">
        <v>0</v>
      </c>
      <c r="G744">
        <v>-252.40471099999999</v>
      </c>
      <c r="H744">
        <v>514.29642999999942</v>
      </c>
      <c r="I744">
        <v>0</v>
      </c>
      <c r="J744">
        <v>0</v>
      </c>
      <c r="K744">
        <v>0.208705</v>
      </c>
      <c r="L744">
        <v>0</v>
      </c>
      <c r="M744">
        <v>0</v>
      </c>
      <c r="N744">
        <v>0</v>
      </c>
      <c r="O744">
        <v>2.0664800000035939</v>
      </c>
      <c r="P744">
        <v>55715.035831000001</v>
      </c>
    </row>
    <row r="745" spans="1:16" x14ac:dyDescent="0.25">
      <c r="A745" s="10">
        <v>38702</v>
      </c>
      <c r="B745">
        <v>129.11769899999459</v>
      </c>
      <c r="C745">
        <v>2.6769560000000001</v>
      </c>
      <c r="D745">
        <v>0</v>
      </c>
      <c r="E745">
        <v>0</v>
      </c>
      <c r="F745">
        <v>0</v>
      </c>
      <c r="G745">
        <v>240.72272400000011</v>
      </c>
      <c r="H745">
        <v>-111.9227789999986</v>
      </c>
      <c r="I745">
        <v>0</v>
      </c>
      <c r="J745">
        <v>0</v>
      </c>
      <c r="K745">
        <v>0.75256100000000004</v>
      </c>
      <c r="L745">
        <v>0</v>
      </c>
      <c r="M745">
        <v>0</v>
      </c>
      <c r="N745">
        <v>0</v>
      </c>
      <c r="O745">
        <v>-3.111763000006817</v>
      </c>
      <c r="P745">
        <v>55844.153530000003</v>
      </c>
    </row>
    <row r="746" spans="1:16" x14ac:dyDescent="0.25">
      <c r="A746" s="10">
        <v>38705</v>
      </c>
      <c r="B746">
        <v>-1010.059231999999</v>
      </c>
      <c r="C746">
        <v>0.22500000000000001</v>
      </c>
      <c r="D746">
        <v>0</v>
      </c>
      <c r="E746">
        <v>0</v>
      </c>
      <c r="F746">
        <v>0</v>
      </c>
      <c r="G746">
        <v>-478.49616200000003</v>
      </c>
      <c r="H746">
        <v>-516.04130300000088</v>
      </c>
      <c r="I746">
        <v>0</v>
      </c>
      <c r="J746">
        <v>-2.7200000000002551</v>
      </c>
      <c r="K746">
        <v>0.9</v>
      </c>
      <c r="L746">
        <v>0</v>
      </c>
      <c r="M746">
        <v>0</v>
      </c>
      <c r="N746">
        <v>0</v>
      </c>
      <c r="O746">
        <v>-13.92676699999816</v>
      </c>
      <c r="P746">
        <v>54834.094298000004</v>
      </c>
    </row>
    <row r="747" spans="1:16" x14ac:dyDescent="0.25">
      <c r="A747" s="10">
        <v>38706</v>
      </c>
      <c r="B747">
        <v>-160.87161600000411</v>
      </c>
      <c r="C747">
        <v>62.802439</v>
      </c>
      <c r="D747">
        <v>0</v>
      </c>
      <c r="E747">
        <v>0</v>
      </c>
      <c r="F747">
        <v>0</v>
      </c>
      <c r="G747">
        <v>-10.07555100000013</v>
      </c>
      <c r="H747">
        <v>-229.30495099999919</v>
      </c>
      <c r="I747">
        <v>0</v>
      </c>
      <c r="J747">
        <v>0</v>
      </c>
      <c r="K747">
        <v>0.71</v>
      </c>
      <c r="L747">
        <v>0</v>
      </c>
      <c r="M747">
        <v>0</v>
      </c>
      <c r="N747">
        <v>0</v>
      </c>
      <c r="O747">
        <v>14.996446999995211</v>
      </c>
      <c r="P747">
        <v>54673.222681999992</v>
      </c>
    </row>
    <row r="748" spans="1:16" x14ac:dyDescent="0.25">
      <c r="A748" s="10">
        <v>38707</v>
      </c>
      <c r="B748">
        <v>1215.457965000008</v>
      </c>
      <c r="C748">
        <v>66.652811999999997</v>
      </c>
      <c r="D748">
        <v>0</v>
      </c>
      <c r="E748">
        <v>0</v>
      </c>
      <c r="F748">
        <v>0</v>
      </c>
      <c r="G748">
        <v>285.99204400000002</v>
      </c>
      <c r="H748">
        <v>838.60281500000019</v>
      </c>
      <c r="I748">
        <v>0</v>
      </c>
      <c r="J748">
        <v>0</v>
      </c>
      <c r="K748">
        <v>0.97</v>
      </c>
      <c r="L748">
        <v>1.0999999999999941</v>
      </c>
      <c r="M748">
        <v>0</v>
      </c>
      <c r="N748">
        <v>0</v>
      </c>
      <c r="O748">
        <v>22.140294000008229</v>
      </c>
      <c r="P748">
        <v>55888.680647000001</v>
      </c>
    </row>
    <row r="749" spans="1:16" x14ac:dyDescent="0.25">
      <c r="A749" s="10">
        <v>38708</v>
      </c>
      <c r="B749">
        <v>346.97751299999828</v>
      </c>
      <c r="C749">
        <v>113.913706</v>
      </c>
      <c r="D749">
        <v>0</v>
      </c>
      <c r="E749">
        <v>0</v>
      </c>
      <c r="F749">
        <v>0</v>
      </c>
      <c r="G749">
        <v>-8.5959260000000128</v>
      </c>
      <c r="H749">
        <v>241.78210000000041</v>
      </c>
      <c r="I749">
        <v>0</v>
      </c>
      <c r="J749">
        <v>0</v>
      </c>
      <c r="K749">
        <v>0.9</v>
      </c>
      <c r="L749">
        <v>0</v>
      </c>
      <c r="M749">
        <v>0</v>
      </c>
      <c r="N749">
        <v>0</v>
      </c>
      <c r="O749">
        <v>-1.0223670000019569</v>
      </c>
      <c r="P749">
        <v>56235.658159999999</v>
      </c>
    </row>
    <row r="750" spans="1:16" x14ac:dyDescent="0.25">
      <c r="A750" s="10">
        <v>38709</v>
      </c>
      <c r="B750">
        <v>109.9682130000005</v>
      </c>
      <c r="C750">
        <v>61.695141000000007</v>
      </c>
      <c r="D750">
        <v>0</v>
      </c>
      <c r="E750">
        <v>0</v>
      </c>
      <c r="F750">
        <v>0</v>
      </c>
      <c r="G750">
        <v>-13.02518499999997</v>
      </c>
      <c r="H750">
        <v>57.707062000001322</v>
      </c>
      <c r="I750">
        <v>0</v>
      </c>
      <c r="J750">
        <v>0</v>
      </c>
      <c r="K750">
        <v>0.9</v>
      </c>
      <c r="L750">
        <v>0</v>
      </c>
      <c r="M750">
        <v>0</v>
      </c>
      <c r="N750">
        <v>0</v>
      </c>
      <c r="O750">
        <v>2.6911949999991118</v>
      </c>
      <c r="P750">
        <v>56345.626372999999</v>
      </c>
    </row>
    <row r="751" spans="1:16" x14ac:dyDescent="0.25">
      <c r="A751" s="10">
        <v>38712</v>
      </c>
      <c r="B751">
        <v>116.22976000000151</v>
      </c>
      <c r="C751">
        <v>0</v>
      </c>
      <c r="D751">
        <v>0</v>
      </c>
      <c r="E751">
        <v>0</v>
      </c>
      <c r="F751">
        <v>0</v>
      </c>
      <c r="G751">
        <v>-6.7594410000000087</v>
      </c>
      <c r="H751">
        <v>121.98198099999991</v>
      </c>
      <c r="I751">
        <v>0</v>
      </c>
      <c r="J751">
        <v>0</v>
      </c>
      <c r="K751">
        <v>1.19</v>
      </c>
      <c r="L751">
        <v>0</v>
      </c>
      <c r="M751">
        <v>0</v>
      </c>
      <c r="N751">
        <v>0</v>
      </c>
      <c r="O751">
        <v>-0.1827799999984234</v>
      </c>
      <c r="P751">
        <v>56461.856133000001</v>
      </c>
    </row>
    <row r="752" spans="1:16" x14ac:dyDescent="0.25">
      <c r="A752" s="10">
        <v>38713</v>
      </c>
      <c r="B752">
        <v>475.02527800000092</v>
      </c>
      <c r="C752">
        <v>214.14843400000001</v>
      </c>
      <c r="D752">
        <v>0</v>
      </c>
      <c r="E752">
        <v>1135</v>
      </c>
      <c r="F752">
        <v>0</v>
      </c>
      <c r="G752">
        <v>-1150.1394399999999</v>
      </c>
      <c r="H752">
        <v>266.67421138999907</v>
      </c>
      <c r="I752">
        <v>0</v>
      </c>
      <c r="J752">
        <v>0</v>
      </c>
      <c r="K752">
        <v>0.71</v>
      </c>
      <c r="L752">
        <v>0</v>
      </c>
      <c r="M752">
        <v>0</v>
      </c>
      <c r="N752">
        <v>0</v>
      </c>
      <c r="O752">
        <v>8.6320726100020924</v>
      </c>
      <c r="P752">
        <v>56936.881411000002</v>
      </c>
    </row>
    <row r="753" spans="1:16" x14ac:dyDescent="0.25">
      <c r="A753" s="10">
        <v>38714</v>
      </c>
      <c r="B753">
        <v>-1275.272319849995</v>
      </c>
      <c r="C753">
        <v>12.722992420000001</v>
      </c>
      <c r="D753">
        <v>0</v>
      </c>
      <c r="E753">
        <v>0</v>
      </c>
      <c r="F753">
        <v>0</v>
      </c>
      <c r="G753">
        <v>1.380789999999998</v>
      </c>
      <c r="H753">
        <v>-1459.545222999998</v>
      </c>
      <c r="I753">
        <v>0</v>
      </c>
      <c r="J753">
        <v>0</v>
      </c>
      <c r="K753">
        <v>0.37</v>
      </c>
      <c r="L753">
        <v>169.5</v>
      </c>
      <c r="M753">
        <v>0</v>
      </c>
      <c r="N753">
        <v>0</v>
      </c>
      <c r="O753">
        <v>0.29912073000309652</v>
      </c>
      <c r="P753">
        <v>55661.609091150007</v>
      </c>
    </row>
    <row r="754" spans="1:16" x14ac:dyDescent="0.25">
      <c r="A754" s="10">
        <v>38715</v>
      </c>
      <c r="B754">
        <v>-411.76982515000378</v>
      </c>
      <c r="C754">
        <v>151.62285600000001</v>
      </c>
      <c r="D754">
        <v>0</v>
      </c>
      <c r="E754">
        <v>0</v>
      </c>
      <c r="F754">
        <v>0</v>
      </c>
      <c r="G754">
        <v>172.07122000000001</v>
      </c>
      <c r="H754">
        <v>-785.07678299999952</v>
      </c>
      <c r="I754">
        <v>0</v>
      </c>
      <c r="J754">
        <v>-37</v>
      </c>
      <c r="K754">
        <v>0.94</v>
      </c>
      <c r="L754">
        <v>69.58</v>
      </c>
      <c r="M754">
        <v>0</v>
      </c>
      <c r="N754">
        <v>0</v>
      </c>
      <c r="O754">
        <v>16.092881849995759</v>
      </c>
      <c r="P754">
        <v>55249.839266000003</v>
      </c>
    </row>
    <row r="755" spans="1:16" x14ac:dyDescent="0.25">
      <c r="A755" s="10">
        <v>38716</v>
      </c>
      <c r="B755">
        <v>-539.34789014000137</v>
      </c>
      <c r="C755">
        <v>114.114527</v>
      </c>
      <c r="D755">
        <v>0</v>
      </c>
      <c r="E755">
        <v>0</v>
      </c>
      <c r="F755">
        <v>0</v>
      </c>
      <c r="G755">
        <v>-109.94634499999999</v>
      </c>
      <c r="H755">
        <v>-384.21356099999957</v>
      </c>
      <c r="I755">
        <v>0</v>
      </c>
      <c r="J755">
        <v>0</v>
      </c>
      <c r="K755">
        <v>0.96</v>
      </c>
      <c r="L755">
        <v>-159.9</v>
      </c>
      <c r="M755">
        <v>0</v>
      </c>
      <c r="N755">
        <v>0</v>
      </c>
      <c r="O755">
        <v>-0.36251114000174312</v>
      </c>
      <c r="P755">
        <v>54710.491375860001</v>
      </c>
    </row>
    <row r="756" spans="1:16" x14ac:dyDescent="0.25">
      <c r="A756" s="10">
        <v>38719</v>
      </c>
      <c r="B756">
        <v>189.6651141399999</v>
      </c>
      <c r="C756">
        <v>0</v>
      </c>
      <c r="D756">
        <v>0</v>
      </c>
      <c r="E756">
        <v>0</v>
      </c>
      <c r="F756">
        <v>0</v>
      </c>
      <c r="G756">
        <v>14.36999949000001</v>
      </c>
      <c r="H756">
        <v>178.35132600000091</v>
      </c>
      <c r="I756">
        <v>0</v>
      </c>
      <c r="J756">
        <v>0</v>
      </c>
      <c r="K756">
        <v>2.12</v>
      </c>
      <c r="L756">
        <v>0</v>
      </c>
      <c r="M756">
        <v>0</v>
      </c>
      <c r="N756">
        <v>0</v>
      </c>
      <c r="O756">
        <v>-5.1762113500009752</v>
      </c>
      <c r="P756">
        <v>54900.156490000001</v>
      </c>
    </row>
    <row r="757" spans="1:16" x14ac:dyDescent="0.25">
      <c r="A757" s="10">
        <v>38720</v>
      </c>
      <c r="B757">
        <v>-76.684612000004421</v>
      </c>
      <c r="C757">
        <v>155.25588099999999</v>
      </c>
      <c r="D757">
        <v>0</v>
      </c>
      <c r="E757">
        <v>0</v>
      </c>
      <c r="F757">
        <v>0</v>
      </c>
      <c r="G757">
        <v>-0.22542148999999781</v>
      </c>
      <c r="H757">
        <v>453.84669700000092</v>
      </c>
      <c r="I757">
        <v>0</v>
      </c>
      <c r="J757">
        <v>-653.64000000000033</v>
      </c>
      <c r="K757">
        <v>-35.209999999999781</v>
      </c>
      <c r="L757">
        <v>0</v>
      </c>
      <c r="M757">
        <v>0</v>
      </c>
      <c r="N757">
        <v>0</v>
      </c>
      <c r="O757">
        <v>3.2882314899948142</v>
      </c>
      <c r="P757">
        <v>54823.471877999997</v>
      </c>
    </row>
    <row r="758" spans="1:16" x14ac:dyDescent="0.25">
      <c r="A758" s="10">
        <v>38721</v>
      </c>
      <c r="B758">
        <v>659.64222500001028</v>
      </c>
      <c r="C758">
        <v>0</v>
      </c>
      <c r="D758">
        <v>0</v>
      </c>
      <c r="E758">
        <v>0</v>
      </c>
      <c r="F758">
        <v>0</v>
      </c>
      <c r="G758">
        <v>-8.2999999999999989</v>
      </c>
      <c r="H758">
        <v>360.31209665999899</v>
      </c>
      <c r="I758">
        <v>0</v>
      </c>
      <c r="J758">
        <v>0</v>
      </c>
      <c r="K758">
        <v>1.22</v>
      </c>
      <c r="L758">
        <v>366.66</v>
      </c>
      <c r="M758">
        <v>0</v>
      </c>
      <c r="N758">
        <v>0</v>
      </c>
      <c r="O758">
        <v>-60.249871659988841</v>
      </c>
      <c r="P758">
        <v>55483.114103000007</v>
      </c>
    </row>
    <row r="759" spans="1:16" x14ac:dyDescent="0.25">
      <c r="A759" s="10">
        <v>38722</v>
      </c>
      <c r="B759">
        <v>3409.710157999994</v>
      </c>
      <c r="C759">
        <v>197.57499999999999</v>
      </c>
      <c r="D759">
        <v>0</v>
      </c>
      <c r="E759">
        <v>0</v>
      </c>
      <c r="F759">
        <v>0</v>
      </c>
      <c r="G759">
        <v>-8.3000000000000007</v>
      </c>
      <c r="H759">
        <v>3114.150710429999</v>
      </c>
      <c r="I759">
        <v>0</v>
      </c>
      <c r="J759">
        <v>0</v>
      </c>
      <c r="K759">
        <v>1.17</v>
      </c>
      <c r="L759">
        <v>47.81</v>
      </c>
      <c r="M759">
        <v>0</v>
      </c>
      <c r="N759">
        <v>0</v>
      </c>
      <c r="O759">
        <v>57.304447569995318</v>
      </c>
      <c r="P759">
        <v>58892.824261000002</v>
      </c>
    </row>
    <row r="760" spans="1:16" x14ac:dyDescent="0.25">
      <c r="A760" s="10">
        <v>38723</v>
      </c>
      <c r="B760">
        <v>1038.1680139999951</v>
      </c>
      <c r="C760">
        <v>273.36078300000003</v>
      </c>
      <c r="D760">
        <v>0</v>
      </c>
      <c r="E760">
        <v>0</v>
      </c>
      <c r="F760">
        <v>0</v>
      </c>
      <c r="G760">
        <v>-8.34</v>
      </c>
      <c r="H760">
        <v>754.70158700000002</v>
      </c>
      <c r="I760">
        <v>0</v>
      </c>
      <c r="J760">
        <v>0</v>
      </c>
      <c r="K760">
        <v>26.73</v>
      </c>
      <c r="L760">
        <v>9.94</v>
      </c>
      <c r="M760">
        <v>0</v>
      </c>
      <c r="N760">
        <v>0</v>
      </c>
      <c r="O760">
        <v>-18.224356000004949</v>
      </c>
      <c r="P760">
        <v>59930.992274999997</v>
      </c>
    </row>
    <row r="761" spans="1:16" x14ac:dyDescent="0.25">
      <c r="A761" s="10">
        <v>38726</v>
      </c>
      <c r="B761">
        <v>148.87965720000631</v>
      </c>
      <c r="C761">
        <v>0.76800000000000002</v>
      </c>
      <c r="D761">
        <v>0</v>
      </c>
      <c r="E761">
        <v>0</v>
      </c>
      <c r="F761">
        <v>0</v>
      </c>
      <c r="G761">
        <v>31.659999999999989</v>
      </c>
      <c r="H761">
        <v>69.668619949999993</v>
      </c>
      <c r="I761">
        <v>0</v>
      </c>
      <c r="J761">
        <v>0</v>
      </c>
      <c r="K761">
        <v>23.6</v>
      </c>
      <c r="L761">
        <v>0</v>
      </c>
      <c r="M761">
        <v>0</v>
      </c>
      <c r="N761">
        <v>0</v>
      </c>
      <c r="O761">
        <v>23.183037250006311</v>
      </c>
      <c r="P761">
        <v>60079.871932200003</v>
      </c>
    </row>
    <row r="762" spans="1:16" x14ac:dyDescent="0.25">
      <c r="A762" s="10">
        <v>38727</v>
      </c>
      <c r="B762">
        <v>205.8951837999993</v>
      </c>
      <c r="C762">
        <v>116.78596400000001</v>
      </c>
      <c r="D762">
        <v>0</v>
      </c>
      <c r="E762">
        <v>0</v>
      </c>
      <c r="F762">
        <v>0</v>
      </c>
      <c r="G762">
        <v>-7.2861650000000013</v>
      </c>
      <c r="H762">
        <v>100.2345670300006</v>
      </c>
      <c r="I762">
        <v>0</v>
      </c>
      <c r="J762">
        <v>0</v>
      </c>
      <c r="K762">
        <v>1.97</v>
      </c>
      <c r="L762">
        <v>11.96</v>
      </c>
      <c r="M762">
        <v>0</v>
      </c>
      <c r="N762">
        <v>0</v>
      </c>
      <c r="O762">
        <v>-17.769182230001292</v>
      </c>
      <c r="P762">
        <v>60285.767116000003</v>
      </c>
    </row>
    <row r="763" spans="1:16" x14ac:dyDescent="0.25">
      <c r="A763" s="10">
        <v>38728</v>
      </c>
      <c r="B763">
        <v>351.51824583999399</v>
      </c>
      <c r="C763">
        <v>72.183882999999994</v>
      </c>
      <c r="D763">
        <v>0</v>
      </c>
      <c r="E763">
        <v>0</v>
      </c>
      <c r="F763">
        <v>0</v>
      </c>
      <c r="G763">
        <v>23.591289</v>
      </c>
      <c r="H763">
        <v>53.143945999999687</v>
      </c>
      <c r="I763">
        <v>0</v>
      </c>
      <c r="J763">
        <v>0</v>
      </c>
      <c r="K763">
        <v>0.36</v>
      </c>
      <c r="L763">
        <v>221.27</v>
      </c>
      <c r="M763">
        <v>0</v>
      </c>
      <c r="N763">
        <v>0</v>
      </c>
      <c r="O763">
        <v>-19.030872160005689</v>
      </c>
      <c r="P763">
        <v>60637.285361839997</v>
      </c>
    </row>
    <row r="764" spans="1:16" x14ac:dyDescent="0.25">
      <c r="A764" s="10">
        <v>38729</v>
      </c>
      <c r="B764">
        <v>-72.953386839995702</v>
      </c>
      <c r="C764">
        <v>50.146763999999997</v>
      </c>
      <c r="D764">
        <v>0</v>
      </c>
      <c r="E764">
        <v>0</v>
      </c>
      <c r="F764">
        <v>0</v>
      </c>
      <c r="G764">
        <v>-9.2950109999999988</v>
      </c>
      <c r="H764">
        <v>-102.707645</v>
      </c>
      <c r="I764">
        <v>0</v>
      </c>
      <c r="J764">
        <v>0</v>
      </c>
      <c r="K764">
        <v>0.12</v>
      </c>
      <c r="L764">
        <v>13.98</v>
      </c>
      <c r="M764">
        <v>0</v>
      </c>
      <c r="N764">
        <v>0</v>
      </c>
      <c r="O764">
        <v>-25.197494839995741</v>
      </c>
      <c r="P764">
        <v>60564.331975000001</v>
      </c>
    </row>
    <row r="765" spans="1:16" x14ac:dyDescent="0.25">
      <c r="A765" s="10">
        <v>38730</v>
      </c>
      <c r="B765">
        <v>-41.892850999996902</v>
      </c>
      <c r="C765">
        <v>34.741494930000002</v>
      </c>
      <c r="D765">
        <v>0</v>
      </c>
      <c r="E765">
        <v>0</v>
      </c>
      <c r="F765">
        <v>0</v>
      </c>
      <c r="G765">
        <v>-46.590456579999987</v>
      </c>
      <c r="H765">
        <v>-18.477879469999149</v>
      </c>
      <c r="I765">
        <v>0</v>
      </c>
      <c r="J765">
        <v>0</v>
      </c>
      <c r="K765">
        <v>-0.02</v>
      </c>
      <c r="L765">
        <v>22.92</v>
      </c>
      <c r="M765">
        <v>0</v>
      </c>
      <c r="N765">
        <v>0</v>
      </c>
      <c r="O765">
        <v>-34.466009879997763</v>
      </c>
      <c r="P765">
        <v>60522.439123999997</v>
      </c>
    </row>
    <row r="766" spans="1:16" x14ac:dyDescent="0.25">
      <c r="A766" s="10">
        <v>38733</v>
      </c>
      <c r="B766">
        <v>14.55021685999991</v>
      </c>
      <c r="C766">
        <v>19.484469270000002</v>
      </c>
      <c r="D766">
        <v>0</v>
      </c>
      <c r="E766">
        <v>0</v>
      </c>
      <c r="F766">
        <v>0</v>
      </c>
      <c r="G766">
        <v>14.24314974</v>
      </c>
      <c r="H766">
        <v>-149.08372427999981</v>
      </c>
      <c r="I766">
        <v>0</v>
      </c>
      <c r="J766">
        <v>0</v>
      </c>
      <c r="K766">
        <v>0.3</v>
      </c>
      <c r="L766">
        <v>138.9</v>
      </c>
      <c r="M766">
        <v>0</v>
      </c>
      <c r="N766">
        <v>0</v>
      </c>
      <c r="O766">
        <v>-9.2936778700002662</v>
      </c>
      <c r="P766">
        <v>60536.989340859996</v>
      </c>
    </row>
    <row r="767" spans="1:16" x14ac:dyDescent="0.25">
      <c r="A767" s="10">
        <v>38734</v>
      </c>
      <c r="B767">
        <v>-787.26349435999884</v>
      </c>
      <c r="C767">
        <v>77.898075000000006</v>
      </c>
      <c r="D767">
        <v>0</v>
      </c>
      <c r="E767">
        <v>-1800</v>
      </c>
      <c r="F767">
        <v>0</v>
      </c>
      <c r="G767">
        <v>1204.86575186</v>
      </c>
      <c r="H767">
        <v>-257.66412916999928</v>
      </c>
      <c r="I767">
        <v>0</v>
      </c>
      <c r="J767">
        <v>0</v>
      </c>
      <c r="K767">
        <v>0.15</v>
      </c>
      <c r="L767">
        <v>33.9</v>
      </c>
      <c r="M767">
        <v>0</v>
      </c>
      <c r="N767">
        <v>0</v>
      </c>
      <c r="O767">
        <v>-46.413192049999573</v>
      </c>
      <c r="P767">
        <v>59749.725846499998</v>
      </c>
    </row>
    <row r="768" spans="1:16" x14ac:dyDescent="0.25">
      <c r="A768" s="10">
        <v>38735</v>
      </c>
      <c r="B768">
        <v>99.669761669989441</v>
      </c>
      <c r="C768">
        <v>133.22637781</v>
      </c>
      <c r="D768">
        <v>0</v>
      </c>
      <c r="E768">
        <v>0</v>
      </c>
      <c r="F768">
        <v>0</v>
      </c>
      <c r="G768">
        <v>5.9405579799999986</v>
      </c>
      <c r="H768">
        <v>-334.24840200000108</v>
      </c>
      <c r="I768">
        <v>0</v>
      </c>
      <c r="J768">
        <v>0</v>
      </c>
      <c r="K768">
        <v>1.56</v>
      </c>
      <c r="L768">
        <v>299.98</v>
      </c>
      <c r="M768">
        <v>0</v>
      </c>
      <c r="N768">
        <v>0</v>
      </c>
      <c r="O768">
        <v>-6.7887721200094973</v>
      </c>
      <c r="P768">
        <v>59849.395608169987</v>
      </c>
    </row>
    <row r="769" spans="1:16" x14ac:dyDescent="0.25">
      <c r="A769" s="10">
        <v>38736</v>
      </c>
      <c r="B769">
        <v>37.9533152800065</v>
      </c>
      <c r="C769">
        <v>176.83459999999999</v>
      </c>
      <c r="D769">
        <v>0</v>
      </c>
      <c r="E769">
        <v>0</v>
      </c>
      <c r="F769">
        <v>0</v>
      </c>
      <c r="G769">
        <v>56.761600000000001</v>
      </c>
      <c r="H769">
        <v>-291.09253169000021</v>
      </c>
      <c r="I769">
        <v>0</v>
      </c>
      <c r="J769">
        <v>0</v>
      </c>
      <c r="K769">
        <v>0.18</v>
      </c>
      <c r="L769">
        <v>94.97</v>
      </c>
      <c r="M769">
        <v>0</v>
      </c>
      <c r="N769">
        <v>0</v>
      </c>
      <c r="O769">
        <v>0.29964697000670532</v>
      </c>
      <c r="P769">
        <v>59887.348923450001</v>
      </c>
    </row>
    <row r="770" spans="1:16" x14ac:dyDescent="0.25">
      <c r="A770" s="10">
        <v>38737</v>
      </c>
      <c r="B770">
        <v>-13.5004858600005</v>
      </c>
      <c r="C770">
        <v>122.409648</v>
      </c>
      <c r="D770">
        <v>0</v>
      </c>
      <c r="E770">
        <v>0</v>
      </c>
      <c r="F770">
        <v>0</v>
      </c>
      <c r="G770">
        <v>-8.7275490000000033</v>
      </c>
      <c r="H770">
        <v>-116.13736630999939</v>
      </c>
      <c r="I770">
        <v>0</v>
      </c>
      <c r="J770">
        <v>0</v>
      </c>
      <c r="K770">
        <v>0.23</v>
      </c>
      <c r="L770">
        <v>10.09</v>
      </c>
      <c r="M770">
        <v>0</v>
      </c>
      <c r="N770">
        <v>0</v>
      </c>
      <c r="O770">
        <v>-21.36521855000111</v>
      </c>
      <c r="P770">
        <v>59873.848437590001</v>
      </c>
    </row>
    <row r="771" spans="1:16" x14ac:dyDescent="0.25">
      <c r="A771" s="10">
        <v>38740</v>
      </c>
      <c r="B771">
        <v>77.548974000004876</v>
      </c>
      <c r="C771">
        <v>210.55258699999999</v>
      </c>
      <c r="D771">
        <v>0</v>
      </c>
      <c r="E771">
        <v>0</v>
      </c>
      <c r="F771">
        <v>0</v>
      </c>
      <c r="G771">
        <v>7.1413799999999998</v>
      </c>
      <c r="H771">
        <v>-170.57396400000019</v>
      </c>
      <c r="I771">
        <v>0</v>
      </c>
      <c r="J771">
        <v>0</v>
      </c>
      <c r="K771">
        <v>0.56000000000000005</v>
      </c>
      <c r="L771">
        <v>32.11</v>
      </c>
      <c r="M771">
        <v>0</v>
      </c>
      <c r="N771">
        <v>0</v>
      </c>
      <c r="O771">
        <v>-2.2410289999949788</v>
      </c>
      <c r="P771">
        <v>59951.397411590013</v>
      </c>
    </row>
    <row r="772" spans="1:16" x14ac:dyDescent="0.25">
      <c r="A772" s="10">
        <v>38741</v>
      </c>
      <c r="B772">
        <v>15.28132699999709</v>
      </c>
      <c r="C772">
        <v>187.42986400000001</v>
      </c>
      <c r="D772">
        <v>0</v>
      </c>
      <c r="E772">
        <v>0</v>
      </c>
      <c r="F772">
        <v>0</v>
      </c>
      <c r="G772">
        <v>-4.4852508699999589</v>
      </c>
      <c r="H772">
        <v>-163.30424026999941</v>
      </c>
      <c r="I772">
        <v>0</v>
      </c>
      <c r="J772">
        <v>0</v>
      </c>
      <c r="K772">
        <v>0.33</v>
      </c>
      <c r="L772">
        <v>0</v>
      </c>
      <c r="M772">
        <v>0</v>
      </c>
      <c r="N772">
        <v>0</v>
      </c>
      <c r="O772">
        <v>-4.6890458600036036</v>
      </c>
      <c r="P772">
        <v>59966.678738590002</v>
      </c>
    </row>
    <row r="773" spans="1:16" x14ac:dyDescent="0.25">
      <c r="A773" s="10">
        <v>38742</v>
      </c>
      <c r="B773">
        <v>179.91989199999821</v>
      </c>
      <c r="C773">
        <v>62.417596000000003</v>
      </c>
      <c r="D773">
        <v>0</v>
      </c>
      <c r="E773">
        <v>0</v>
      </c>
      <c r="F773">
        <v>0</v>
      </c>
      <c r="G773">
        <v>-7.8976889999999997</v>
      </c>
      <c r="H773">
        <v>111.07945000000019</v>
      </c>
      <c r="I773">
        <v>0</v>
      </c>
      <c r="J773">
        <v>0</v>
      </c>
      <c r="K773">
        <v>0.39</v>
      </c>
      <c r="L773">
        <v>30.04</v>
      </c>
      <c r="M773">
        <v>0</v>
      </c>
      <c r="N773">
        <v>0</v>
      </c>
      <c r="O773">
        <v>-16.109465000001961</v>
      </c>
      <c r="P773">
        <v>60146.598630590001</v>
      </c>
    </row>
    <row r="774" spans="1:16" x14ac:dyDescent="0.25">
      <c r="A774" s="10">
        <v>38743</v>
      </c>
      <c r="B774">
        <v>-109.62709500000381</v>
      </c>
      <c r="C774">
        <v>211.872354</v>
      </c>
      <c r="D774">
        <v>-399.95724999999999</v>
      </c>
      <c r="E774">
        <v>1800</v>
      </c>
      <c r="F774">
        <v>0</v>
      </c>
      <c r="G774">
        <v>-1417.75757998574</v>
      </c>
      <c r="H774">
        <v>-312.10252899999932</v>
      </c>
      <c r="I774">
        <v>0</v>
      </c>
      <c r="J774">
        <v>-0.65999999999985448</v>
      </c>
      <c r="K774">
        <v>0.35</v>
      </c>
      <c r="L774">
        <v>0</v>
      </c>
      <c r="M774">
        <v>0</v>
      </c>
      <c r="N774">
        <v>0</v>
      </c>
      <c r="O774">
        <v>8.6279099857356414</v>
      </c>
      <c r="P774">
        <v>60036.971535589997</v>
      </c>
    </row>
    <row r="775" spans="1:16" x14ac:dyDescent="0.25">
      <c r="A775" s="10">
        <v>38744</v>
      </c>
      <c r="B775">
        <v>-345.11138599999748</v>
      </c>
      <c r="C775">
        <v>186.260989</v>
      </c>
      <c r="D775">
        <v>0</v>
      </c>
      <c r="E775">
        <v>0</v>
      </c>
      <c r="F775">
        <v>0</v>
      </c>
      <c r="G775">
        <v>-312.22541925000002</v>
      </c>
      <c r="H775">
        <v>-208.51460015000069</v>
      </c>
      <c r="I775">
        <v>0</v>
      </c>
      <c r="J775">
        <v>0</v>
      </c>
      <c r="K775">
        <v>0.28000000000000003</v>
      </c>
      <c r="L775">
        <v>0</v>
      </c>
      <c r="M775">
        <v>0</v>
      </c>
      <c r="N775">
        <v>0</v>
      </c>
      <c r="O775">
        <v>-10.912355599996889</v>
      </c>
      <c r="P775">
        <v>59691.86014959</v>
      </c>
    </row>
    <row r="776" spans="1:16" x14ac:dyDescent="0.25">
      <c r="A776" s="10">
        <v>38747</v>
      </c>
      <c r="B776">
        <v>-38.689333000009213</v>
      </c>
      <c r="C776">
        <v>173.198744</v>
      </c>
      <c r="D776">
        <v>0</v>
      </c>
      <c r="E776">
        <v>0</v>
      </c>
      <c r="F776">
        <v>0</v>
      </c>
      <c r="G776">
        <v>-88.966149999999999</v>
      </c>
      <c r="H776">
        <v>-121.9986190000009</v>
      </c>
      <c r="I776">
        <v>0</v>
      </c>
      <c r="J776">
        <v>0</v>
      </c>
      <c r="K776">
        <v>0.66</v>
      </c>
      <c r="L776">
        <v>0</v>
      </c>
      <c r="M776">
        <v>0</v>
      </c>
      <c r="N776">
        <v>0</v>
      </c>
      <c r="O776">
        <v>-1.5833080000083191</v>
      </c>
      <c r="P776">
        <v>59653.170816589991</v>
      </c>
    </row>
    <row r="777" spans="1:16" x14ac:dyDescent="0.25">
      <c r="A777" s="10">
        <v>38748</v>
      </c>
      <c r="B777">
        <v>135.56942500000841</v>
      </c>
      <c r="C777">
        <v>160.27721700000001</v>
      </c>
      <c r="D777">
        <v>0</v>
      </c>
      <c r="E777">
        <v>0</v>
      </c>
      <c r="F777">
        <v>0</v>
      </c>
      <c r="G777">
        <v>-8.3442899999999973</v>
      </c>
      <c r="H777">
        <v>127.4725210000006</v>
      </c>
      <c r="I777">
        <v>0</v>
      </c>
      <c r="J777">
        <v>-90</v>
      </c>
      <c r="K777">
        <v>0.56000000000000005</v>
      </c>
      <c r="L777">
        <v>0</v>
      </c>
      <c r="M777">
        <v>0</v>
      </c>
      <c r="N777">
        <v>0</v>
      </c>
      <c r="O777">
        <v>-54.396022999992233</v>
      </c>
      <c r="P777">
        <v>59788.74024159</v>
      </c>
    </row>
    <row r="778" spans="1:16" x14ac:dyDescent="0.25">
      <c r="A778" s="10">
        <v>38749</v>
      </c>
      <c r="B778">
        <v>-600.33799499999441</v>
      </c>
      <c r="C778">
        <v>98.751439000000005</v>
      </c>
      <c r="D778">
        <v>0</v>
      </c>
      <c r="E778">
        <v>-1400</v>
      </c>
      <c r="F778">
        <v>0</v>
      </c>
      <c r="G778">
        <v>1233.0082239999999</v>
      </c>
      <c r="H778">
        <v>-338.44180700000112</v>
      </c>
      <c r="I778">
        <v>0</v>
      </c>
      <c r="J778">
        <v>0</v>
      </c>
      <c r="K778">
        <v>0.59</v>
      </c>
      <c r="L778">
        <v>-199.52</v>
      </c>
      <c r="M778">
        <v>0</v>
      </c>
      <c r="N778">
        <v>0</v>
      </c>
      <c r="O778">
        <v>5.2741490000066733</v>
      </c>
      <c r="P778">
        <v>59188.402246590013</v>
      </c>
    </row>
    <row r="779" spans="1:16" x14ac:dyDescent="0.25">
      <c r="A779" s="10">
        <v>38750</v>
      </c>
      <c r="B779">
        <v>-315.60219300000648</v>
      </c>
      <c r="C779">
        <v>85.459540000000018</v>
      </c>
      <c r="D779">
        <v>0</v>
      </c>
      <c r="E779">
        <v>0</v>
      </c>
      <c r="F779">
        <v>0</v>
      </c>
      <c r="G779">
        <v>-8.56</v>
      </c>
      <c r="H779">
        <v>1133.1090320000001</v>
      </c>
      <c r="I779">
        <v>0</v>
      </c>
      <c r="J779">
        <v>-1498.21</v>
      </c>
      <c r="K779">
        <v>-31.3300000000004</v>
      </c>
      <c r="L779">
        <v>0</v>
      </c>
      <c r="M779">
        <v>0</v>
      </c>
      <c r="N779">
        <v>0</v>
      </c>
      <c r="O779">
        <v>3.9292349999939229</v>
      </c>
      <c r="P779">
        <v>58872.800053589999</v>
      </c>
    </row>
    <row r="780" spans="1:16" x14ac:dyDescent="0.25">
      <c r="A780" s="10">
        <v>38751</v>
      </c>
      <c r="B780">
        <v>233.75913600000061</v>
      </c>
      <c r="C780">
        <v>242.742535</v>
      </c>
      <c r="D780">
        <v>0</v>
      </c>
      <c r="E780">
        <v>0</v>
      </c>
      <c r="F780">
        <v>0</v>
      </c>
      <c r="G780">
        <v>166.28</v>
      </c>
      <c r="H780">
        <v>-126.2958349500004</v>
      </c>
      <c r="I780">
        <v>0</v>
      </c>
      <c r="J780">
        <v>0</v>
      </c>
      <c r="K780">
        <v>-11.366804439999649</v>
      </c>
      <c r="L780">
        <v>2.5622899999999991</v>
      </c>
      <c r="M780">
        <v>0</v>
      </c>
      <c r="N780">
        <v>0</v>
      </c>
      <c r="O780">
        <v>-40.163049609999291</v>
      </c>
      <c r="P780">
        <v>59106.55918959</v>
      </c>
    </row>
    <row r="781" spans="1:16" x14ac:dyDescent="0.25">
      <c r="A781" s="10">
        <v>38754</v>
      </c>
      <c r="B781">
        <v>-315.26888300000451</v>
      </c>
      <c r="C781">
        <v>151.00700000000001</v>
      </c>
      <c r="D781">
        <v>0</v>
      </c>
      <c r="E781">
        <v>-1200</v>
      </c>
      <c r="F781">
        <v>0</v>
      </c>
      <c r="G781">
        <v>361.32390900000001</v>
      </c>
      <c r="H781">
        <v>433.25176900000042</v>
      </c>
      <c r="I781">
        <v>0</v>
      </c>
      <c r="J781">
        <v>0</v>
      </c>
      <c r="K781">
        <v>0.75932699999999997</v>
      </c>
      <c r="L781">
        <v>5.9559299999999986</v>
      </c>
      <c r="M781">
        <v>0</v>
      </c>
      <c r="N781">
        <v>0</v>
      </c>
      <c r="O781">
        <v>-67.566818000004929</v>
      </c>
      <c r="P781">
        <v>58791.290306590003</v>
      </c>
    </row>
    <row r="782" spans="1:16" x14ac:dyDescent="0.25">
      <c r="A782" s="10">
        <v>38755</v>
      </c>
      <c r="B782">
        <v>80.032222860005049</v>
      </c>
      <c r="C782">
        <v>143.133476</v>
      </c>
      <c r="D782">
        <v>0</v>
      </c>
      <c r="E782">
        <v>0</v>
      </c>
      <c r="F782">
        <v>0</v>
      </c>
      <c r="G782">
        <v>-6.7984790000000013</v>
      </c>
      <c r="H782">
        <v>-102.9772715200002</v>
      </c>
      <c r="I782">
        <v>0</v>
      </c>
      <c r="J782">
        <v>0</v>
      </c>
      <c r="K782">
        <v>0.24</v>
      </c>
      <c r="L782">
        <v>1.95</v>
      </c>
      <c r="M782">
        <v>0</v>
      </c>
      <c r="N782">
        <v>0</v>
      </c>
      <c r="O782">
        <v>44.484497380005209</v>
      </c>
      <c r="P782">
        <v>58871.322529450001</v>
      </c>
    </row>
    <row r="783" spans="1:16" x14ac:dyDescent="0.25">
      <c r="A783" s="10">
        <v>38756</v>
      </c>
      <c r="B783">
        <v>-180.38985800000239</v>
      </c>
      <c r="C783">
        <v>17.179617</v>
      </c>
      <c r="D783">
        <v>0</v>
      </c>
      <c r="E783">
        <v>0</v>
      </c>
      <c r="F783">
        <v>0</v>
      </c>
      <c r="G783">
        <v>-7.132085</v>
      </c>
      <c r="H783">
        <v>-413.26779900000071</v>
      </c>
      <c r="I783">
        <v>0</v>
      </c>
      <c r="J783">
        <v>0</v>
      </c>
      <c r="K783">
        <v>0.34</v>
      </c>
      <c r="L783">
        <v>157.78</v>
      </c>
      <c r="M783">
        <v>0</v>
      </c>
      <c r="N783">
        <v>0</v>
      </c>
      <c r="O783">
        <v>64.710408999998236</v>
      </c>
      <c r="P783">
        <v>58690.932671449998</v>
      </c>
    </row>
    <row r="784" spans="1:16" x14ac:dyDescent="0.25">
      <c r="A784" s="10">
        <v>38757</v>
      </c>
      <c r="B784">
        <v>-236.91821786000239</v>
      </c>
      <c r="C784">
        <v>3.97221</v>
      </c>
      <c r="D784">
        <v>0</v>
      </c>
      <c r="E784">
        <v>0</v>
      </c>
      <c r="F784">
        <v>0</v>
      </c>
      <c r="G784">
        <v>-8.5721699999999998</v>
      </c>
      <c r="H784">
        <v>-186.22613699999971</v>
      </c>
      <c r="I784">
        <v>0</v>
      </c>
      <c r="J784">
        <v>-50</v>
      </c>
      <c r="K784">
        <v>0.26</v>
      </c>
      <c r="L784">
        <v>7.93</v>
      </c>
      <c r="M784">
        <v>0</v>
      </c>
      <c r="N784">
        <v>0</v>
      </c>
      <c r="O784">
        <v>-4.2821208600027489</v>
      </c>
      <c r="P784">
        <v>58454.014453590004</v>
      </c>
    </row>
    <row r="785" spans="1:16" x14ac:dyDescent="0.25">
      <c r="A785" s="10">
        <v>38758</v>
      </c>
      <c r="B785">
        <v>311.14679330999911</v>
      </c>
      <c r="C785">
        <v>81.513999999999996</v>
      </c>
      <c r="D785">
        <v>0</v>
      </c>
      <c r="E785">
        <v>0</v>
      </c>
      <c r="F785">
        <v>0</v>
      </c>
      <c r="G785">
        <v>-58.089466155026997</v>
      </c>
      <c r="H785">
        <v>296.76690300000018</v>
      </c>
      <c r="I785">
        <v>0</v>
      </c>
      <c r="J785">
        <v>0</v>
      </c>
      <c r="K785">
        <v>0.28000000000000003</v>
      </c>
      <c r="L785">
        <v>1.99</v>
      </c>
      <c r="M785">
        <v>0</v>
      </c>
      <c r="N785">
        <v>0</v>
      </c>
      <c r="O785">
        <v>-11.314643534974021</v>
      </c>
      <c r="P785">
        <v>58765.161246900003</v>
      </c>
    </row>
    <row r="786" spans="1:16" x14ac:dyDescent="0.25">
      <c r="A786" s="10">
        <v>38761</v>
      </c>
      <c r="B786">
        <v>17.21566010000274</v>
      </c>
      <c r="C786">
        <v>169.76972599999999</v>
      </c>
      <c r="D786">
        <v>0</v>
      </c>
      <c r="E786">
        <v>0</v>
      </c>
      <c r="F786">
        <v>0</v>
      </c>
      <c r="G786">
        <v>26.502215</v>
      </c>
      <c r="H786">
        <v>-199.67097800000059</v>
      </c>
      <c r="I786">
        <v>0</v>
      </c>
      <c r="J786">
        <v>-50</v>
      </c>
      <c r="K786">
        <v>0.56999999999999995</v>
      </c>
      <c r="L786">
        <v>-3.93</v>
      </c>
      <c r="M786">
        <v>0</v>
      </c>
      <c r="N786">
        <v>0</v>
      </c>
      <c r="O786">
        <v>73.974697100003297</v>
      </c>
      <c r="P786">
        <v>58782.376906999998</v>
      </c>
    </row>
    <row r="787" spans="1:16" x14ac:dyDescent="0.25">
      <c r="A787" s="10">
        <v>38762</v>
      </c>
      <c r="B787">
        <v>-160.41198093000281</v>
      </c>
      <c r="C787">
        <v>222.20536100000001</v>
      </c>
      <c r="D787">
        <v>-1599.9999999950339</v>
      </c>
      <c r="E787">
        <v>1600</v>
      </c>
      <c r="F787">
        <v>0</v>
      </c>
      <c r="G787">
        <v>-8.3580000000001746</v>
      </c>
      <c r="H787">
        <v>-107.344306</v>
      </c>
      <c r="I787">
        <v>0</v>
      </c>
      <c r="J787">
        <v>-265</v>
      </c>
      <c r="K787">
        <v>0.26</v>
      </c>
      <c r="L787">
        <v>-1.97</v>
      </c>
      <c r="M787">
        <v>0</v>
      </c>
      <c r="N787">
        <v>0</v>
      </c>
      <c r="O787">
        <v>-0.20503593496849251</v>
      </c>
      <c r="P787">
        <v>58621.964926070003</v>
      </c>
    </row>
    <row r="788" spans="1:16" x14ac:dyDescent="0.25">
      <c r="A788" s="10">
        <v>38763</v>
      </c>
      <c r="B788">
        <v>-307.86614936999871</v>
      </c>
      <c r="C788">
        <v>172.10265927</v>
      </c>
      <c r="D788">
        <v>0</v>
      </c>
      <c r="E788">
        <v>0</v>
      </c>
      <c r="F788">
        <v>0</v>
      </c>
      <c r="G788">
        <v>14.75339499999995</v>
      </c>
      <c r="H788">
        <v>-395.06804800000009</v>
      </c>
      <c r="I788">
        <v>0</v>
      </c>
      <c r="J788">
        <v>0</v>
      </c>
      <c r="K788">
        <v>19.73</v>
      </c>
      <c r="L788">
        <v>-120.27</v>
      </c>
      <c r="M788">
        <v>0</v>
      </c>
      <c r="N788">
        <v>0</v>
      </c>
      <c r="O788">
        <v>0.88584436000149935</v>
      </c>
      <c r="P788">
        <v>58314.098776699997</v>
      </c>
    </row>
    <row r="789" spans="1:16" x14ac:dyDescent="0.25">
      <c r="A789" s="10">
        <v>38764</v>
      </c>
      <c r="B789">
        <v>79.828887900002158</v>
      </c>
      <c r="C789">
        <v>228.70636200000001</v>
      </c>
      <c r="D789">
        <v>0</v>
      </c>
      <c r="E789">
        <v>0</v>
      </c>
      <c r="F789">
        <v>0</v>
      </c>
      <c r="G789">
        <v>-10.147546</v>
      </c>
      <c r="H789">
        <v>-141.19408000000021</v>
      </c>
      <c r="I789">
        <v>0</v>
      </c>
      <c r="J789">
        <v>0</v>
      </c>
      <c r="K789">
        <v>2.89</v>
      </c>
      <c r="L789">
        <v>0</v>
      </c>
      <c r="M789">
        <v>0</v>
      </c>
      <c r="N789">
        <v>0</v>
      </c>
      <c r="O789">
        <v>-0.42584809999763712</v>
      </c>
      <c r="P789">
        <v>58393.9276646</v>
      </c>
    </row>
    <row r="790" spans="1:16" x14ac:dyDescent="0.25">
      <c r="A790" s="10">
        <v>38765</v>
      </c>
      <c r="B790">
        <v>-224.73222859000089</v>
      </c>
      <c r="C790">
        <v>267.26814800000011</v>
      </c>
      <c r="D790">
        <v>0</v>
      </c>
      <c r="E790">
        <v>0</v>
      </c>
      <c r="F790">
        <v>0</v>
      </c>
      <c r="G790">
        <v>-7.4871739999999818</v>
      </c>
      <c r="H790">
        <v>-485.83947900000021</v>
      </c>
      <c r="I790">
        <v>0</v>
      </c>
      <c r="J790">
        <v>0</v>
      </c>
      <c r="K790">
        <v>0.38</v>
      </c>
      <c r="L790">
        <v>0</v>
      </c>
      <c r="M790">
        <v>0</v>
      </c>
      <c r="N790">
        <v>0</v>
      </c>
      <c r="O790">
        <v>0.94627640999920004</v>
      </c>
      <c r="P790">
        <v>58169.195436009999</v>
      </c>
    </row>
    <row r="791" spans="1:16" x14ac:dyDescent="0.25">
      <c r="A791" s="10">
        <v>38768</v>
      </c>
      <c r="B791">
        <v>85.115299990000025</v>
      </c>
      <c r="C791">
        <v>17.004491000000002</v>
      </c>
      <c r="D791">
        <v>0</v>
      </c>
      <c r="E791">
        <v>0</v>
      </c>
      <c r="F791">
        <v>0</v>
      </c>
      <c r="G791">
        <v>57.489534999999997</v>
      </c>
      <c r="H791">
        <v>8.5074579999991329</v>
      </c>
      <c r="I791">
        <v>0</v>
      </c>
      <c r="J791">
        <v>0</v>
      </c>
      <c r="K791">
        <v>0.73</v>
      </c>
      <c r="L791">
        <v>1.95</v>
      </c>
      <c r="M791">
        <v>0</v>
      </c>
      <c r="N791">
        <v>0</v>
      </c>
      <c r="O791">
        <v>-0.56618400999911334</v>
      </c>
      <c r="P791">
        <v>58254.310735999999</v>
      </c>
    </row>
    <row r="792" spans="1:16" x14ac:dyDescent="0.25">
      <c r="A792" s="10">
        <v>38769</v>
      </c>
      <c r="B792">
        <v>-61.998571000003537</v>
      </c>
      <c r="C792">
        <v>149.83933300000001</v>
      </c>
      <c r="D792">
        <v>-38.373750000000001</v>
      </c>
      <c r="E792">
        <v>0</v>
      </c>
      <c r="F792">
        <v>0</v>
      </c>
      <c r="G792">
        <v>14.859394999999999</v>
      </c>
      <c r="H792">
        <v>-191.2164366999996</v>
      </c>
      <c r="I792">
        <v>0</v>
      </c>
      <c r="J792">
        <v>0</v>
      </c>
      <c r="K792">
        <v>0.45</v>
      </c>
      <c r="L792">
        <v>0.01</v>
      </c>
      <c r="M792">
        <v>0</v>
      </c>
      <c r="N792">
        <v>0</v>
      </c>
      <c r="O792">
        <v>2.4328876999960438</v>
      </c>
      <c r="P792">
        <v>58192.312165000003</v>
      </c>
    </row>
    <row r="793" spans="1:16" x14ac:dyDescent="0.25">
      <c r="A793" s="10">
        <v>38770</v>
      </c>
      <c r="B793">
        <v>-747.01791099999514</v>
      </c>
      <c r="C793">
        <v>282.354895</v>
      </c>
      <c r="D793">
        <v>-38.41375</v>
      </c>
      <c r="E793">
        <v>0</v>
      </c>
      <c r="F793">
        <v>0</v>
      </c>
      <c r="G793">
        <v>-6.4731190000000041</v>
      </c>
      <c r="H793">
        <v>-131.6278350000002</v>
      </c>
      <c r="I793">
        <v>0</v>
      </c>
      <c r="J793">
        <v>0</v>
      </c>
      <c r="K793">
        <v>2.2000000000000002</v>
      </c>
      <c r="L793">
        <v>-868.8</v>
      </c>
      <c r="M793">
        <v>0</v>
      </c>
      <c r="N793">
        <v>0</v>
      </c>
      <c r="O793">
        <v>13.74189800000498</v>
      </c>
      <c r="P793">
        <v>57445.294254</v>
      </c>
    </row>
    <row r="794" spans="1:16" x14ac:dyDescent="0.25">
      <c r="A794" s="10">
        <v>38771</v>
      </c>
      <c r="B794">
        <v>531.80681700000434</v>
      </c>
      <c r="C794">
        <v>141.319424</v>
      </c>
      <c r="D794">
        <v>-38.4</v>
      </c>
      <c r="E794">
        <v>0</v>
      </c>
      <c r="F794">
        <v>0</v>
      </c>
      <c r="G794">
        <v>40.644088793213001</v>
      </c>
      <c r="H794">
        <v>394.81822000000011</v>
      </c>
      <c r="I794">
        <v>0</v>
      </c>
      <c r="J794">
        <v>0</v>
      </c>
      <c r="K794">
        <v>0.87</v>
      </c>
      <c r="L794">
        <v>29.57</v>
      </c>
      <c r="M794">
        <v>0</v>
      </c>
      <c r="N794">
        <v>0</v>
      </c>
      <c r="O794">
        <v>-37.014915793208843</v>
      </c>
      <c r="P794">
        <v>57977.101070999997</v>
      </c>
    </row>
    <row r="795" spans="1:16" x14ac:dyDescent="0.25">
      <c r="A795" s="10">
        <v>38772</v>
      </c>
      <c r="B795">
        <v>-80.749732280004466</v>
      </c>
      <c r="C795">
        <v>174.74601100000001</v>
      </c>
      <c r="D795">
        <v>-38.44</v>
      </c>
      <c r="E795">
        <v>0</v>
      </c>
      <c r="F795">
        <v>0</v>
      </c>
      <c r="G795">
        <v>-20.35140199999995</v>
      </c>
      <c r="H795">
        <v>-199.2024739999988</v>
      </c>
      <c r="I795">
        <v>0</v>
      </c>
      <c r="J795">
        <v>0</v>
      </c>
      <c r="K795">
        <v>0.54</v>
      </c>
      <c r="L795">
        <v>0</v>
      </c>
      <c r="M795">
        <v>0</v>
      </c>
      <c r="N795">
        <v>0</v>
      </c>
      <c r="O795">
        <v>1.9581327199942959</v>
      </c>
      <c r="P795">
        <v>57896.35133872</v>
      </c>
    </row>
    <row r="796" spans="1:16" x14ac:dyDescent="0.25">
      <c r="A796" s="10">
        <v>38775</v>
      </c>
      <c r="B796">
        <v>117.54781727999919</v>
      </c>
      <c r="C796">
        <v>86.815920000000006</v>
      </c>
      <c r="D796">
        <v>-30.757999999999999</v>
      </c>
      <c r="E796">
        <v>0</v>
      </c>
      <c r="F796">
        <v>0</v>
      </c>
      <c r="G796">
        <v>19.924147000000001</v>
      </c>
      <c r="H796">
        <v>39.674846000000798</v>
      </c>
      <c r="I796">
        <v>0</v>
      </c>
      <c r="J796">
        <v>0</v>
      </c>
      <c r="K796">
        <v>1.01</v>
      </c>
      <c r="L796">
        <v>0</v>
      </c>
      <c r="M796">
        <v>0</v>
      </c>
      <c r="N796">
        <v>0</v>
      </c>
      <c r="O796">
        <v>0.88090427999841836</v>
      </c>
      <c r="P796">
        <v>58013.899155999999</v>
      </c>
    </row>
    <row r="797" spans="1:16" x14ac:dyDescent="0.25">
      <c r="A797" s="10">
        <v>38776</v>
      </c>
      <c r="B797">
        <v>-749.82132300000319</v>
      </c>
      <c r="C797">
        <v>127.723523</v>
      </c>
      <c r="D797">
        <v>-30.736000000000001</v>
      </c>
      <c r="E797">
        <v>0</v>
      </c>
      <c r="F797">
        <v>0</v>
      </c>
      <c r="G797">
        <v>-96.237318999999985</v>
      </c>
      <c r="H797">
        <v>-315.14918820999992</v>
      </c>
      <c r="I797">
        <v>0</v>
      </c>
      <c r="J797">
        <v>-434.54</v>
      </c>
      <c r="K797">
        <v>0.52</v>
      </c>
      <c r="L797">
        <v>1.99</v>
      </c>
      <c r="M797">
        <v>0</v>
      </c>
      <c r="N797">
        <v>0</v>
      </c>
      <c r="O797">
        <v>-3.3923387900033499</v>
      </c>
      <c r="P797">
        <v>57264.077833000003</v>
      </c>
    </row>
    <row r="798" spans="1:16" x14ac:dyDescent="0.25">
      <c r="A798" s="10">
        <v>38777</v>
      </c>
      <c r="B798">
        <v>333.88953900000371</v>
      </c>
      <c r="C798">
        <v>274.39968965999998</v>
      </c>
      <c r="D798">
        <v>-30.687000000000001</v>
      </c>
      <c r="E798">
        <v>0</v>
      </c>
      <c r="F798">
        <v>0</v>
      </c>
      <c r="G798">
        <v>14.16</v>
      </c>
      <c r="H798">
        <v>979.26118700000006</v>
      </c>
      <c r="I798">
        <v>0</v>
      </c>
      <c r="J798">
        <v>0</v>
      </c>
      <c r="K798">
        <v>0.7</v>
      </c>
      <c r="L798">
        <v>-909.84</v>
      </c>
      <c r="M798">
        <v>0</v>
      </c>
      <c r="N798">
        <v>0</v>
      </c>
      <c r="O798">
        <v>5.8956623400034687</v>
      </c>
      <c r="P798">
        <v>57597.967371999999</v>
      </c>
    </row>
    <row r="799" spans="1:16" x14ac:dyDescent="0.25">
      <c r="A799" s="10">
        <v>38778</v>
      </c>
      <c r="B799">
        <v>26.808971999998271</v>
      </c>
      <c r="C799">
        <v>231.44285400000001</v>
      </c>
      <c r="D799">
        <v>-30.646999999999998</v>
      </c>
      <c r="E799">
        <v>1800</v>
      </c>
      <c r="F799">
        <v>0</v>
      </c>
      <c r="G799">
        <v>-1800.453775</v>
      </c>
      <c r="H799">
        <v>1673.158876</v>
      </c>
      <c r="I799">
        <v>0</v>
      </c>
      <c r="J799">
        <v>-1814.49</v>
      </c>
      <c r="K799">
        <v>-28.320000000000341</v>
      </c>
      <c r="L799">
        <v>-7.68</v>
      </c>
      <c r="M799">
        <v>0</v>
      </c>
      <c r="N799">
        <v>0</v>
      </c>
      <c r="O799">
        <v>3.7980169999986439</v>
      </c>
      <c r="P799">
        <v>57624.776343999998</v>
      </c>
    </row>
    <row r="800" spans="1:16" x14ac:dyDescent="0.25">
      <c r="A800" s="10">
        <v>38779</v>
      </c>
      <c r="B800">
        <v>284.66621170000121</v>
      </c>
      <c r="C800">
        <v>189.86574300000001</v>
      </c>
      <c r="D800">
        <v>-30.715</v>
      </c>
      <c r="E800">
        <v>0</v>
      </c>
      <c r="F800">
        <v>0</v>
      </c>
      <c r="G800">
        <v>8.2184660000000029</v>
      </c>
      <c r="H800">
        <v>100.0276763899997</v>
      </c>
      <c r="I800">
        <v>0</v>
      </c>
      <c r="J800">
        <v>0</v>
      </c>
      <c r="K800">
        <v>0.41</v>
      </c>
      <c r="L800">
        <v>0</v>
      </c>
      <c r="M800">
        <v>0</v>
      </c>
      <c r="N800">
        <v>0</v>
      </c>
      <c r="O800">
        <v>16.85932631000151</v>
      </c>
      <c r="P800">
        <v>57909.4425557</v>
      </c>
    </row>
    <row r="801" spans="1:16" x14ac:dyDescent="0.25">
      <c r="A801" s="10">
        <v>38782</v>
      </c>
      <c r="B801">
        <v>313.39859230000019</v>
      </c>
      <c r="C801">
        <v>203.464249</v>
      </c>
      <c r="D801">
        <v>-30.771999999999998</v>
      </c>
      <c r="E801">
        <v>-1200</v>
      </c>
      <c r="F801">
        <v>0</v>
      </c>
      <c r="G801">
        <v>1202.4755929999999</v>
      </c>
      <c r="H801">
        <v>196.6069729999999</v>
      </c>
      <c r="I801">
        <v>0</v>
      </c>
      <c r="J801">
        <v>0</v>
      </c>
      <c r="K801">
        <v>0.45</v>
      </c>
      <c r="L801">
        <v>0</v>
      </c>
      <c r="M801">
        <v>0</v>
      </c>
      <c r="N801">
        <v>0</v>
      </c>
      <c r="O801">
        <v>-58.826222699999789</v>
      </c>
      <c r="P801">
        <v>58222.841148</v>
      </c>
    </row>
    <row r="802" spans="1:16" x14ac:dyDescent="0.25">
      <c r="A802" s="10">
        <v>38783</v>
      </c>
      <c r="B802">
        <v>333.68733699999592</v>
      </c>
      <c r="C802">
        <v>233.63419300000001</v>
      </c>
      <c r="D802">
        <v>-30.795000000000002</v>
      </c>
      <c r="E802">
        <v>0</v>
      </c>
      <c r="F802">
        <v>0</v>
      </c>
      <c r="G802">
        <v>2.3932859999999958</v>
      </c>
      <c r="H802">
        <v>80.812793019999845</v>
      </c>
      <c r="I802">
        <v>0</v>
      </c>
      <c r="J802">
        <v>0</v>
      </c>
      <c r="K802">
        <v>0.39</v>
      </c>
      <c r="L802">
        <v>0</v>
      </c>
      <c r="M802">
        <v>0</v>
      </c>
      <c r="N802">
        <v>0</v>
      </c>
      <c r="O802">
        <v>47.252064979996021</v>
      </c>
      <c r="P802">
        <v>58556.528485000003</v>
      </c>
    </row>
    <row r="803" spans="1:16" x14ac:dyDescent="0.25">
      <c r="A803" s="10">
        <v>38784</v>
      </c>
      <c r="B803">
        <v>-574.02332499999466</v>
      </c>
      <c r="C803">
        <v>36.068573999999998</v>
      </c>
      <c r="D803">
        <v>-14</v>
      </c>
      <c r="E803">
        <v>0</v>
      </c>
      <c r="F803">
        <v>0</v>
      </c>
      <c r="G803">
        <v>4.2485000000000987E-2</v>
      </c>
      <c r="H803">
        <v>-137.74251499999951</v>
      </c>
      <c r="I803">
        <v>0</v>
      </c>
      <c r="J803">
        <v>0</v>
      </c>
      <c r="K803">
        <v>0.25</v>
      </c>
      <c r="L803">
        <v>-468.26</v>
      </c>
      <c r="M803">
        <v>0</v>
      </c>
      <c r="N803">
        <v>0</v>
      </c>
      <c r="O803">
        <v>9.6181310000048317</v>
      </c>
      <c r="P803">
        <v>57982.505160000001</v>
      </c>
    </row>
    <row r="804" spans="1:16" x14ac:dyDescent="0.25">
      <c r="A804" s="10">
        <v>38785</v>
      </c>
      <c r="B804">
        <v>291.20565699999861</v>
      </c>
      <c r="C804">
        <v>135.89198999999999</v>
      </c>
      <c r="D804">
        <v>-48</v>
      </c>
      <c r="E804">
        <v>0</v>
      </c>
      <c r="F804">
        <v>0</v>
      </c>
      <c r="G804">
        <v>0.131528000000003</v>
      </c>
      <c r="H804">
        <v>169.1680661499995</v>
      </c>
      <c r="I804">
        <v>0</v>
      </c>
      <c r="J804">
        <v>0</v>
      </c>
      <c r="K804">
        <v>21.15</v>
      </c>
      <c r="L804">
        <v>0</v>
      </c>
      <c r="M804">
        <v>0</v>
      </c>
      <c r="N804">
        <v>0</v>
      </c>
      <c r="O804">
        <v>12.864072849999109</v>
      </c>
      <c r="P804">
        <v>58273.710816999999</v>
      </c>
    </row>
    <row r="805" spans="1:16" x14ac:dyDescent="0.25">
      <c r="A805" s="10">
        <v>38786</v>
      </c>
      <c r="B805">
        <v>196.57814900000099</v>
      </c>
      <c r="C805">
        <v>255.32941099999999</v>
      </c>
      <c r="D805">
        <v>-30.797000000000001</v>
      </c>
      <c r="E805">
        <v>0</v>
      </c>
      <c r="F805">
        <v>0</v>
      </c>
      <c r="G805">
        <v>-1.9682889999999991</v>
      </c>
      <c r="H805">
        <v>-13.680519999999889</v>
      </c>
      <c r="I805">
        <v>0</v>
      </c>
      <c r="J805">
        <v>0</v>
      </c>
      <c r="K805">
        <v>0.48</v>
      </c>
      <c r="L805">
        <v>0</v>
      </c>
      <c r="M805">
        <v>0</v>
      </c>
      <c r="N805">
        <v>0</v>
      </c>
      <c r="O805">
        <v>-12.785452999999039</v>
      </c>
      <c r="P805">
        <v>58470.288966</v>
      </c>
    </row>
    <row r="806" spans="1:16" x14ac:dyDescent="0.25">
      <c r="A806" s="10">
        <v>38789</v>
      </c>
      <c r="B806">
        <v>-45.92365241000514</v>
      </c>
      <c r="C806">
        <v>2.2272839999999858</v>
      </c>
      <c r="D806">
        <v>0</v>
      </c>
      <c r="E806">
        <v>-300</v>
      </c>
      <c r="F806">
        <v>0</v>
      </c>
      <c r="G806">
        <v>303.574816</v>
      </c>
      <c r="H806">
        <v>-48.539086000000218</v>
      </c>
      <c r="I806">
        <v>0</v>
      </c>
      <c r="J806">
        <v>0</v>
      </c>
      <c r="K806">
        <v>0.27</v>
      </c>
      <c r="L806">
        <v>0</v>
      </c>
      <c r="M806">
        <v>0</v>
      </c>
      <c r="N806">
        <v>0</v>
      </c>
      <c r="O806">
        <v>-3.4566664100049138</v>
      </c>
      <c r="P806">
        <v>58424.365313589988</v>
      </c>
    </row>
    <row r="807" spans="1:16" x14ac:dyDescent="0.25">
      <c r="A807" s="10">
        <v>38790</v>
      </c>
      <c r="B807">
        <v>-4.3415355899996939</v>
      </c>
      <c r="C807">
        <v>27.833881000000002</v>
      </c>
      <c r="D807">
        <v>0</v>
      </c>
      <c r="E807">
        <v>0</v>
      </c>
      <c r="F807">
        <v>0</v>
      </c>
      <c r="G807">
        <v>-0.82102600000000159</v>
      </c>
      <c r="H807">
        <v>-32.422781999999643</v>
      </c>
      <c r="I807">
        <v>0</v>
      </c>
      <c r="J807">
        <v>0</v>
      </c>
      <c r="K807">
        <v>0</v>
      </c>
      <c r="L807">
        <v>-1.92</v>
      </c>
      <c r="M807">
        <v>0</v>
      </c>
      <c r="N807">
        <v>0</v>
      </c>
      <c r="O807">
        <v>2.9883914099999469</v>
      </c>
      <c r="P807">
        <v>58420.023778000002</v>
      </c>
    </row>
    <row r="808" spans="1:16" x14ac:dyDescent="0.25">
      <c r="A808" s="10">
        <v>38791</v>
      </c>
      <c r="B808">
        <v>50.619118100010382</v>
      </c>
      <c r="C808">
        <v>93.851651000000004</v>
      </c>
      <c r="D808">
        <v>0</v>
      </c>
      <c r="E808">
        <v>-300</v>
      </c>
      <c r="F808">
        <v>0</v>
      </c>
      <c r="G808">
        <v>310.16300000000012</v>
      </c>
      <c r="H808">
        <v>-76.480485430000044</v>
      </c>
      <c r="I808">
        <v>0</v>
      </c>
      <c r="J808">
        <v>0</v>
      </c>
      <c r="K808">
        <v>0</v>
      </c>
      <c r="L808">
        <v>21.42</v>
      </c>
      <c r="M808">
        <v>0</v>
      </c>
      <c r="N808">
        <v>0</v>
      </c>
      <c r="O808">
        <v>1.6649525300103529</v>
      </c>
      <c r="P808">
        <v>58470.642896100013</v>
      </c>
    </row>
    <row r="809" spans="1:16" x14ac:dyDescent="0.25">
      <c r="A809" s="10">
        <v>38792</v>
      </c>
      <c r="B809">
        <v>327.44833227999328</v>
      </c>
      <c r="C809">
        <v>270.653325</v>
      </c>
      <c r="D809">
        <v>0</v>
      </c>
      <c r="E809">
        <v>0</v>
      </c>
      <c r="F809">
        <v>0</v>
      </c>
      <c r="G809">
        <v>-0.57384499999999861</v>
      </c>
      <c r="H809">
        <v>54.684650999999583</v>
      </c>
      <c r="I809">
        <v>0</v>
      </c>
      <c r="J809">
        <v>0</v>
      </c>
      <c r="K809">
        <v>0</v>
      </c>
      <c r="L809">
        <v>2.89</v>
      </c>
      <c r="M809">
        <v>0</v>
      </c>
      <c r="N809">
        <v>0</v>
      </c>
      <c r="O809">
        <v>-0.20579872000621441</v>
      </c>
      <c r="P809">
        <v>58798.091228379999</v>
      </c>
    </row>
    <row r="810" spans="1:16" x14ac:dyDescent="0.25">
      <c r="A810" s="10">
        <v>38793</v>
      </c>
      <c r="B810">
        <v>58.666168499999877</v>
      </c>
      <c r="C810">
        <v>266.84913599999999</v>
      </c>
      <c r="D810">
        <v>0</v>
      </c>
      <c r="E810">
        <v>0</v>
      </c>
      <c r="F810">
        <v>0</v>
      </c>
      <c r="G810">
        <v>2.515588000000001</v>
      </c>
      <c r="H810">
        <v>-212.83990700000001</v>
      </c>
      <c r="I810">
        <v>0</v>
      </c>
      <c r="J810">
        <v>0</v>
      </c>
      <c r="K810">
        <v>0.21</v>
      </c>
      <c r="L810">
        <v>0</v>
      </c>
      <c r="M810">
        <v>0</v>
      </c>
      <c r="N810">
        <v>0</v>
      </c>
      <c r="O810">
        <v>1.9313514999999479</v>
      </c>
      <c r="P810">
        <v>58856.757396879999</v>
      </c>
    </row>
    <row r="811" spans="1:16" x14ac:dyDescent="0.25">
      <c r="A811" s="10">
        <v>38796</v>
      </c>
      <c r="B811">
        <v>209.17021833000041</v>
      </c>
      <c r="C811">
        <v>196.23491000000001</v>
      </c>
      <c r="D811">
        <v>0</v>
      </c>
      <c r="E811">
        <v>0</v>
      </c>
      <c r="F811">
        <v>0</v>
      </c>
      <c r="G811">
        <v>64.717998999999992</v>
      </c>
      <c r="H811">
        <v>-49.246748000000032</v>
      </c>
      <c r="I811">
        <v>0</v>
      </c>
      <c r="J811">
        <v>0</v>
      </c>
      <c r="K811">
        <v>0.52</v>
      </c>
      <c r="L811">
        <v>-3.88</v>
      </c>
      <c r="M811">
        <v>0</v>
      </c>
      <c r="N811">
        <v>0</v>
      </c>
      <c r="O811">
        <v>0.82405733000041437</v>
      </c>
      <c r="P811">
        <v>59065.927615209999</v>
      </c>
    </row>
    <row r="812" spans="1:16" x14ac:dyDescent="0.25">
      <c r="A812" s="10">
        <v>38797</v>
      </c>
      <c r="B812">
        <v>239.58053579000239</v>
      </c>
      <c r="C812">
        <v>6.3901330000000023</v>
      </c>
      <c r="D812">
        <v>0</v>
      </c>
      <c r="E812">
        <v>0</v>
      </c>
      <c r="F812">
        <v>0</v>
      </c>
      <c r="G812">
        <v>14.257726000000011</v>
      </c>
      <c r="H812">
        <v>205.6223414400001</v>
      </c>
      <c r="I812">
        <v>0</v>
      </c>
      <c r="J812">
        <v>0</v>
      </c>
      <c r="K812">
        <v>0.26</v>
      </c>
      <c r="L812">
        <v>-2</v>
      </c>
      <c r="M812">
        <v>0</v>
      </c>
      <c r="N812">
        <v>0</v>
      </c>
      <c r="O812">
        <v>15.050335350002261</v>
      </c>
      <c r="P812">
        <v>59305.508151000002</v>
      </c>
    </row>
    <row r="813" spans="1:16" x14ac:dyDescent="0.25">
      <c r="A813" s="10">
        <v>38798</v>
      </c>
      <c r="B813">
        <v>-4.4309980000036262</v>
      </c>
      <c r="C813">
        <v>107.99752599999999</v>
      </c>
      <c r="D813">
        <v>0</v>
      </c>
      <c r="E813">
        <v>0</v>
      </c>
      <c r="F813">
        <v>0</v>
      </c>
      <c r="G813">
        <v>-3.534555999999998</v>
      </c>
      <c r="H813">
        <v>-341.73645600000009</v>
      </c>
      <c r="I813">
        <v>0</v>
      </c>
      <c r="J813">
        <v>0</v>
      </c>
      <c r="K813">
        <v>-0.68</v>
      </c>
      <c r="L813">
        <v>212.51</v>
      </c>
      <c r="M813">
        <v>0</v>
      </c>
      <c r="N813">
        <v>0</v>
      </c>
      <c r="O813">
        <v>21.01248799999647</v>
      </c>
      <c r="P813">
        <v>59301.077152999998</v>
      </c>
    </row>
    <row r="814" spans="1:16" x14ac:dyDescent="0.25">
      <c r="A814" s="10">
        <v>38799</v>
      </c>
      <c r="B814">
        <v>-395.45644800000429</v>
      </c>
      <c r="C814">
        <v>47.163952999999999</v>
      </c>
      <c r="D814">
        <v>0</v>
      </c>
      <c r="E814">
        <v>600</v>
      </c>
      <c r="F814">
        <v>0</v>
      </c>
      <c r="G814">
        <v>-599.94500000000005</v>
      </c>
      <c r="H814">
        <v>-216.99834899999999</v>
      </c>
      <c r="I814">
        <v>0</v>
      </c>
      <c r="J814">
        <v>-223.80999999999989</v>
      </c>
      <c r="K814">
        <v>0.04</v>
      </c>
      <c r="L814">
        <v>-3.98</v>
      </c>
      <c r="M814">
        <v>0</v>
      </c>
      <c r="N814">
        <v>0</v>
      </c>
      <c r="O814">
        <v>2.0729479999956202</v>
      </c>
      <c r="P814">
        <v>58905.620704999987</v>
      </c>
    </row>
    <row r="815" spans="1:16" x14ac:dyDescent="0.25">
      <c r="A815" s="10">
        <v>38803</v>
      </c>
      <c r="B815">
        <v>-228.58866999999</v>
      </c>
      <c r="C815">
        <v>46.467908999999999</v>
      </c>
      <c r="D815">
        <v>0</v>
      </c>
      <c r="E815">
        <v>0</v>
      </c>
      <c r="F815">
        <v>0</v>
      </c>
      <c r="G815">
        <v>-5.6220560000000006</v>
      </c>
      <c r="H815">
        <v>-272.40660900000012</v>
      </c>
      <c r="I815">
        <v>0</v>
      </c>
      <c r="J815">
        <v>0</v>
      </c>
      <c r="K815">
        <v>0.87</v>
      </c>
      <c r="L815">
        <v>0</v>
      </c>
      <c r="M815">
        <v>0</v>
      </c>
      <c r="N815">
        <v>0</v>
      </c>
      <c r="O815">
        <v>2.1020860000101318</v>
      </c>
      <c r="P815">
        <v>58677.032034999997</v>
      </c>
    </row>
    <row r="816" spans="1:16" x14ac:dyDescent="0.25">
      <c r="A816" s="10">
        <v>38804</v>
      </c>
      <c r="B816">
        <v>80.9711371599914</v>
      </c>
      <c r="C816">
        <v>9.323599999999807E-2</v>
      </c>
      <c r="D816">
        <v>0</v>
      </c>
      <c r="E816">
        <v>0</v>
      </c>
      <c r="F816">
        <v>0</v>
      </c>
      <c r="G816">
        <v>18.852918000000049</v>
      </c>
      <c r="H816">
        <v>34.724861999999582</v>
      </c>
      <c r="I816">
        <v>0</v>
      </c>
      <c r="J816">
        <v>-30.840000000000028</v>
      </c>
      <c r="K816">
        <v>0.2</v>
      </c>
      <c r="L816">
        <v>42.26</v>
      </c>
      <c r="M816">
        <v>0</v>
      </c>
      <c r="N816">
        <v>0</v>
      </c>
      <c r="O816">
        <v>15.68012115999181</v>
      </c>
      <c r="P816">
        <v>58758.003172160003</v>
      </c>
    </row>
    <row r="817" spans="1:16" x14ac:dyDescent="0.25">
      <c r="A817" s="10">
        <v>38805</v>
      </c>
      <c r="B817">
        <v>-848.18944229999852</v>
      </c>
      <c r="C817">
        <v>153.58259899999999</v>
      </c>
      <c r="D817">
        <v>0</v>
      </c>
      <c r="E817">
        <v>-600</v>
      </c>
      <c r="F817">
        <v>0</v>
      </c>
      <c r="G817">
        <v>600.90706699999998</v>
      </c>
      <c r="H817">
        <v>-953.64061299999958</v>
      </c>
      <c r="I817">
        <v>0</v>
      </c>
      <c r="J817">
        <v>-31.850000000000019</v>
      </c>
      <c r="K817">
        <v>0.37</v>
      </c>
      <c r="L817">
        <v>-24.67999999999995</v>
      </c>
      <c r="M817">
        <v>0</v>
      </c>
      <c r="N817">
        <v>0</v>
      </c>
      <c r="O817">
        <v>7.121504700001033</v>
      </c>
      <c r="P817">
        <v>57909.813729859998</v>
      </c>
    </row>
    <row r="818" spans="1:16" x14ac:dyDescent="0.25">
      <c r="A818" s="10">
        <v>38806</v>
      </c>
      <c r="B818">
        <v>-518.84249126000157</v>
      </c>
      <c r="C818">
        <v>103.902765</v>
      </c>
      <c r="D818">
        <v>0</v>
      </c>
      <c r="E818">
        <v>0</v>
      </c>
      <c r="F818">
        <v>0</v>
      </c>
      <c r="G818">
        <v>-93.728923000000009</v>
      </c>
      <c r="H818">
        <v>-294.61265078000002</v>
      </c>
      <c r="I818">
        <v>0</v>
      </c>
      <c r="J818">
        <v>-31.86000000000001</v>
      </c>
      <c r="K818">
        <v>0.56000000000000005</v>
      </c>
      <c r="L818">
        <v>0</v>
      </c>
      <c r="M818">
        <v>0</v>
      </c>
      <c r="N818">
        <v>0</v>
      </c>
      <c r="O818">
        <v>-203.10368248000159</v>
      </c>
      <c r="P818">
        <v>57390.971238600003</v>
      </c>
    </row>
    <row r="819" spans="1:16" x14ac:dyDescent="0.25">
      <c r="A819" s="10">
        <v>38807</v>
      </c>
      <c r="B819">
        <v>1699.709899260007</v>
      </c>
      <c r="C819">
        <v>37.965566000000003</v>
      </c>
      <c r="D819">
        <v>0</v>
      </c>
      <c r="E819">
        <v>0</v>
      </c>
      <c r="F819">
        <v>0</v>
      </c>
      <c r="G819">
        <v>204.846383</v>
      </c>
      <c r="H819">
        <v>1492.6310945599989</v>
      </c>
      <c r="I819">
        <v>0</v>
      </c>
      <c r="J819">
        <v>-31.86000000000001</v>
      </c>
      <c r="K819">
        <v>0.33</v>
      </c>
      <c r="L819">
        <v>2.91</v>
      </c>
      <c r="M819">
        <v>0</v>
      </c>
      <c r="N819">
        <v>0</v>
      </c>
      <c r="O819">
        <v>-7.1131442999919727</v>
      </c>
      <c r="P819">
        <v>59090.681137860003</v>
      </c>
    </row>
    <row r="820" spans="1:16" x14ac:dyDescent="0.25">
      <c r="A820" s="10">
        <v>38810</v>
      </c>
      <c r="B820">
        <v>563.14707613999781</v>
      </c>
      <c r="C820">
        <v>30.16826</v>
      </c>
      <c r="D820">
        <v>0</v>
      </c>
      <c r="E820">
        <v>0</v>
      </c>
      <c r="F820">
        <v>0</v>
      </c>
      <c r="G820">
        <v>24.065331</v>
      </c>
      <c r="H820">
        <v>680.94877812000004</v>
      </c>
      <c r="I820">
        <v>0</v>
      </c>
      <c r="J820">
        <v>-177.04</v>
      </c>
      <c r="K820">
        <v>0.79</v>
      </c>
      <c r="L820">
        <v>0</v>
      </c>
      <c r="M820">
        <v>0</v>
      </c>
      <c r="N820">
        <v>0</v>
      </c>
      <c r="O820">
        <v>4.2147070199977179</v>
      </c>
      <c r="P820">
        <v>59653.828214000001</v>
      </c>
    </row>
    <row r="821" spans="1:16" x14ac:dyDescent="0.25">
      <c r="A821" s="10">
        <v>38811</v>
      </c>
      <c r="B821">
        <v>-236.70749100000091</v>
      </c>
      <c r="C821">
        <v>86.760553999999999</v>
      </c>
      <c r="D821">
        <v>0</v>
      </c>
      <c r="E821">
        <v>0</v>
      </c>
      <c r="F821">
        <v>0</v>
      </c>
      <c r="G821">
        <v>0.2100790000000001</v>
      </c>
      <c r="H821">
        <v>-246.0430309999997</v>
      </c>
      <c r="I821">
        <v>0</v>
      </c>
      <c r="J821">
        <v>-35.82000000000005</v>
      </c>
      <c r="K821">
        <v>-23.039999999999871</v>
      </c>
      <c r="L821">
        <v>39.479999999999997</v>
      </c>
      <c r="M821">
        <v>0</v>
      </c>
      <c r="N821">
        <v>0</v>
      </c>
      <c r="O821">
        <v>-58.255093000001203</v>
      </c>
      <c r="P821">
        <v>59417.120723</v>
      </c>
    </row>
    <row r="822" spans="1:16" x14ac:dyDescent="0.25">
      <c r="A822" s="10">
        <v>38812</v>
      </c>
      <c r="B822">
        <v>376.00856599999639</v>
      </c>
      <c r="C822">
        <v>174.12680399999999</v>
      </c>
      <c r="D822">
        <v>0</v>
      </c>
      <c r="E822">
        <v>0</v>
      </c>
      <c r="F822">
        <v>0</v>
      </c>
      <c r="G822">
        <v>-0.12700000000000239</v>
      </c>
      <c r="H822">
        <v>223.46526199999971</v>
      </c>
      <c r="I822">
        <v>0</v>
      </c>
      <c r="J822">
        <v>0</v>
      </c>
      <c r="K822">
        <v>18.760000000000002</v>
      </c>
      <c r="L822">
        <v>-37.89</v>
      </c>
      <c r="M822">
        <v>0</v>
      </c>
      <c r="N822">
        <v>0</v>
      </c>
      <c r="O822">
        <v>-2.326500000003243</v>
      </c>
      <c r="P822">
        <v>59793.129288999997</v>
      </c>
    </row>
    <row r="823" spans="1:16" x14ac:dyDescent="0.25">
      <c r="A823" s="10">
        <v>38813</v>
      </c>
      <c r="B823">
        <v>-55.716849999996967</v>
      </c>
      <c r="C823">
        <v>193.97890100000001</v>
      </c>
      <c r="D823">
        <v>0</v>
      </c>
      <c r="E823">
        <v>0</v>
      </c>
      <c r="F823">
        <v>0</v>
      </c>
      <c r="G823">
        <v>-0.20398600000000039</v>
      </c>
      <c r="H823">
        <v>-299.04953099999972</v>
      </c>
      <c r="I823">
        <v>0</v>
      </c>
      <c r="J823">
        <v>0</v>
      </c>
      <c r="K823">
        <v>2.06</v>
      </c>
      <c r="L823">
        <v>0</v>
      </c>
      <c r="M823">
        <v>0</v>
      </c>
      <c r="N823">
        <v>0</v>
      </c>
      <c r="O823">
        <v>47.497766000002663</v>
      </c>
      <c r="P823">
        <v>59737.412439</v>
      </c>
    </row>
    <row r="824" spans="1:16" x14ac:dyDescent="0.25">
      <c r="A824" s="10">
        <v>38814</v>
      </c>
      <c r="B824">
        <v>252.47770900000609</v>
      </c>
      <c r="C824">
        <v>57.594237999999997</v>
      </c>
      <c r="D824">
        <v>0</v>
      </c>
      <c r="E824">
        <v>0</v>
      </c>
      <c r="F824">
        <v>0</v>
      </c>
      <c r="G824">
        <v>-9.1583869999999976</v>
      </c>
      <c r="H824">
        <v>209.27936000000051</v>
      </c>
      <c r="I824">
        <v>0</v>
      </c>
      <c r="J824">
        <v>0</v>
      </c>
      <c r="K824">
        <v>0.23</v>
      </c>
      <c r="L824">
        <v>0</v>
      </c>
      <c r="M824">
        <v>0</v>
      </c>
      <c r="N824">
        <v>0</v>
      </c>
      <c r="O824">
        <v>-5.4675019999943402</v>
      </c>
      <c r="P824">
        <v>59989.890148000013</v>
      </c>
    </row>
    <row r="825" spans="1:16" x14ac:dyDescent="0.25">
      <c r="A825" s="10">
        <v>38817</v>
      </c>
      <c r="B825">
        <v>96.481268999996075</v>
      </c>
      <c r="C825">
        <v>80.418665999999988</v>
      </c>
      <c r="D825">
        <v>0</v>
      </c>
      <c r="E825">
        <v>0</v>
      </c>
      <c r="F825">
        <v>0</v>
      </c>
      <c r="G825">
        <v>12.127278</v>
      </c>
      <c r="H825">
        <v>-10.82726200000025</v>
      </c>
      <c r="I825">
        <v>0</v>
      </c>
      <c r="J825">
        <v>0</v>
      </c>
      <c r="K825">
        <v>0.05</v>
      </c>
      <c r="L825">
        <v>0</v>
      </c>
      <c r="M825">
        <v>0</v>
      </c>
      <c r="N825">
        <v>0</v>
      </c>
      <c r="O825">
        <v>14.712586999996329</v>
      </c>
      <c r="P825">
        <v>60086.371417000002</v>
      </c>
    </row>
    <row r="826" spans="1:16" x14ac:dyDescent="0.25">
      <c r="A826" s="10">
        <v>38818</v>
      </c>
      <c r="B826">
        <v>386.69242199999292</v>
      </c>
      <c r="C826">
        <v>216.15430900000001</v>
      </c>
      <c r="D826">
        <v>0</v>
      </c>
      <c r="E826">
        <v>0</v>
      </c>
      <c r="F826">
        <v>0</v>
      </c>
      <c r="G826">
        <v>-1.3460620000000001</v>
      </c>
      <c r="H826">
        <v>173.54568399999971</v>
      </c>
      <c r="I826">
        <v>0</v>
      </c>
      <c r="J826">
        <v>0</v>
      </c>
      <c r="K826">
        <v>0.12</v>
      </c>
      <c r="L826">
        <v>-3.96</v>
      </c>
      <c r="M826">
        <v>0</v>
      </c>
      <c r="N826">
        <v>0</v>
      </c>
      <c r="O826">
        <v>2.1784909999931301</v>
      </c>
      <c r="P826">
        <v>60473.063838999988</v>
      </c>
    </row>
    <row r="827" spans="1:16" x14ac:dyDescent="0.25">
      <c r="A827" s="10">
        <v>38819</v>
      </c>
      <c r="B827">
        <v>126.05979700000189</v>
      </c>
      <c r="C827">
        <v>254.306038</v>
      </c>
      <c r="D827">
        <v>0</v>
      </c>
      <c r="E827">
        <v>0</v>
      </c>
      <c r="F827">
        <v>0</v>
      </c>
      <c r="G827">
        <v>-41.650761000000003</v>
      </c>
      <c r="H827">
        <v>-56.828839999999673</v>
      </c>
      <c r="I827">
        <v>0</v>
      </c>
      <c r="J827">
        <v>0</v>
      </c>
      <c r="K827">
        <v>0.2</v>
      </c>
      <c r="L827">
        <v>-18.28</v>
      </c>
      <c r="M827">
        <v>0</v>
      </c>
      <c r="N827">
        <v>0</v>
      </c>
      <c r="O827">
        <v>-11.68663999999845</v>
      </c>
      <c r="P827">
        <v>60599.123635999997</v>
      </c>
    </row>
    <row r="828" spans="1:16" x14ac:dyDescent="0.25">
      <c r="A828" s="10">
        <v>38824</v>
      </c>
      <c r="B828">
        <v>158.14889649000509</v>
      </c>
      <c r="C828">
        <v>294.43665399999998</v>
      </c>
      <c r="D828">
        <v>0</v>
      </c>
      <c r="E828">
        <v>0</v>
      </c>
      <c r="F828">
        <v>0</v>
      </c>
      <c r="G828">
        <v>48.376286999999927</v>
      </c>
      <c r="H828">
        <v>-186.5542559999999</v>
      </c>
      <c r="I828">
        <v>0</v>
      </c>
      <c r="J828">
        <v>0</v>
      </c>
      <c r="K828">
        <v>0.62</v>
      </c>
      <c r="L828">
        <v>0</v>
      </c>
      <c r="M828">
        <v>0</v>
      </c>
      <c r="N828">
        <v>0</v>
      </c>
      <c r="O828">
        <v>1.270211490005011</v>
      </c>
      <c r="P828">
        <v>60757.272532490002</v>
      </c>
    </row>
    <row r="829" spans="1:16" x14ac:dyDescent="0.25">
      <c r="A829" s="10">
        <v>38825</v>
      </c>
      <c r="B829">
        <v>-493.98634949000541</v>
      </c>
      <c r="C829">
        <v>284.81967400000002</v>
      </c>
      <c r="D829">
        <v>0</v>
      </c>
      <c r="E829">
        <v>0</v>
      </c>
      <c r="F829">
        <v>0</v>
      </c>
      <c r="G829">
        <v>-8.0084999999999518E-2</v>
      </c>
      <c r="H829">
        <v>-776.64203300000008</v>
      </c>
      <c r="I829">
        <v>0</v>
      </c>
      <c r="J829">
        <v>0</v>
      </c>
      <c r="K829">
        <v>0.14000000000000001</v>
      </c>
      <c r="L829">
        <v>0</v>
      </c>
      <c r="M829">
        <v>0</v>
      </c>
      <c r="N829">
        <v>0</v>
      </c>
      <c r="O829">
        <v>-2.2239054900052539</v>
      </c>
      <c r="P829">
        <v>60263.286182999997</v>
      </c>
    </row>
    <row r="830" spans="1:16" x14ac:dyDescent="0.25">
      <c r="A830" s="10">
        <v>38826</v>
      </c>
      <c r="B830">
        <v>-126.9153009999936</v>
      </c>
      <c r="C830">
        <v>180.096881</v>
      </c>
      <c r="D830">
        <v>0</v>
      </c>
      <c r="E830">
        <v>0</v>
      </c>
      <c r="F830">
        <v>0</v>
      </c>
      <c r="G830">
        <v>64.530801999999994</v>
      </c>
      <c r="H830">
        <v>-260.60057700000061</v>
      </c>
      <c r="I830">
        <v>0</v>
      </c>
      <c r="J830">
        <v>0</v>
      </c>
      <c r="K830">
        <v>0.25</v>
      </c>
      <c r="L830">
        <v>-110.41</v>
      </c>
      <c r="M830">
        <v>0</v>
      </c>
      <c r="N830">
        <v>0</v>
      </c>
      <c r="O830">
        <v>-0.78240699999301455</v>
      </c>
      <c r="P830">
        <v>60136.370882000003</v>
      </c>
    </row>
    <row r="831" spans="1:16" x14ac:dyDescent="0.25">
      <c r="A831" s="10">
        <v>38827</v>
      </c>
      <c r="B831">
        <v>126.1468019999958</v>
      </c>
      <c r="C831">
        <v>227.67690200000001</v>
      </c>
      <c r="D831">
        <v>0</v>
      </c>
      <c r="E831">
        <v>0</v>
      </c>
      <c r="F831">
        <v>0</v>
      </c>
      <c r="G831">
        <v>-0.12874200000000091</v>
      </c>
      <c r="H831">
        <v>-129.89412900000019</v>
      </c>
      <c r="I831">
        <v>0</v>
      </c>
      <c r="J831">
        <v>0</v>
      </c>
      <c r="K831">
        <v>0.18</v>
      </c>
      <c r="L831">
        <v>13.7</v>
      </c>
      <c r="M831">
        <v>0</v>
      </c>
      <c r="N831">
        <v>0</v>
      </c>
      <c r="O831">
        <v>14.612770999996069</v>
      </c>
      <c r="P831">
        <v>60262.517683999999</v>
      </c>
    </row>
    <row r="832" spans="1:16" x14ac:dyDescent="0.25">
      <c r="A832" s="10">
        <v>38828</v>
      </c>
      <c r="B832">
        <v>121.6635379900042</v>
      </c>
      <c r="C832">
        <v>260.45943299999988</v>
      </c>
      <c r="D832">
        <v>0</v>
      </c>
      <c r="E832">
        <v>0</v>
      </c>
      <c r="F832">
        <v>0</v>
      </c>
      <c r="G832">
        <v>13.103014</v>
      </c>
      <c r="H832">
        <v>-148.65605799999869</v>
      </c>
      <c r="I832">
        <v>0</v>
      </c>
      <c r="J832">
        <v>0</v>
      </c>
      <c r="K832">
        <v>0.18</v>
      </c>
      <c r="L832">
        <v>0</v>
      </c>
      <c r="M832">
        <v>0</v>
      </c>
      <c r="N832">
        <v>0</v>
      </c>
      <c r="O832">
        <v>-3.422851009997089</v>
      </c>
      <c r="P832">
        <v>60384.181221990002</v>
      </c>
    </row>
    <row r="833" spans="1:16" x14ac:dyDescent="0.25">
      <c r="A833" s="10">
        <v>38831</v>
      </c>
      <c r="B833">
        <v>-123.39278639999939</v>
      </c>
      <c r="C833">
        <v>314.152804</v>
      </c>
      <c r="D833">
        <v>0</v>
      </c>
      <c r="E833">
        <v>0</v>
      </c>
      <c r="F833">
        <v>0</v>
      </c>
      <c r="G833">
        <v>0.79538900000000123</v>
      </c>
      <c r="H833">
        <v>-431.39561568999937</v>
      </c>
      <c r="I833">
        <v>0</v>
      </c>
      <c r="J833">
        <v>0</v>
      </c>
      <c r="K833">
        <v>0.15</v>
      </c>
      <c r="L833">
        <v>0</v>
      </c>
      <c r="M833">
        <v>0</v>
      </c>
      <c r="N833">
        <v>0</v>
      </c>
      <c r="O833">
        <v>-7.0953637099999636</v>
      </c>
      <c r="P833">
        <v>60260.788435590002</v>
      </c>
    </row>
    <row r="834" spans="1:16" x14ac:dyDescent="0.25">
      <c r="A834" s="10">
        <v>38832</v>
      </c>
      <c r="B834">
        <v>647.6777564100048</v>
      </c>
      <c r="C834">
        <v>325.87221099999999</v>
      </c>
      <c r="D834">
        <v>0</v>
      </c>
      <c r="E834">
        <v>0</v>
      </c>
      <c r="F834">
        <v>0</v>
      </c>
      <c r="G834">
        <v>-11.617677</v>
      </c>
      <c r="H834">
        <v>336.26039825000038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-2.837175839995552</v>
      </c>
      <c r="P834">
        <v>60908.466192000007</v>
      </c>
    </row>
    <row r="835" spans="1:16" x14ac:dyDescent="0.25">
      <c r="A835" s="10">
        <v>38833</v>
      </c>
      <c r="B835">
        <v>-73.354817000006534</v>
      </c>
      <c r="C835">
        <v>237.06128799999999</v>
      </c>
      <c r="D835">
        <v>0</v>
      </c>
      <c r="E835">
        <v>0</v>
      </c>
      <c r="F835">
        <v>0</v>
      </c>
      <c r="G835">
        <v>22.925903000000002</v>
      </c>
      <c r="H835">
        <v>286.56071600000041</v>
      </c>
      <c r="I835">
        <v>0</v>
      </c>
      <c r="J835">
        <v>0</v>
      </c>
      <c r="K835">
        <v>0.45</v>
      </c>
      <c r="L835">
        <v>-643.85</v>
      </c>
      <c r="M835">
        <v>0</v>
      </c>
      <c r="N835">
        <v>0</v>
      </c>
      <c r="O835">
        <v>23.497275999993089</v>
      </c>
      <c r="P835">
        <v>60835.111375</v>
      </c>
    </row>
    <row r="836" spans="1:16" x14ac:dyDescent="0.25">
      <c r="A836" s="10">
        <v>38834</v>
      </c>
      <c r="B836">
        <v>-454.95878700000321</v>
      </c>
      <c r="C836">
        <v>279.03114799999997</v>
      </c>
      <c r="D836">
        <v>0</v>
      </c>
      <c r="E836">
        <v>0</v>
      </c>
      <c r="F836">
        <v>0</v>
      </c>
      <c r="G836">
        <v>-11.46156504</v>
      </c>
      <c r="H836">
        <v>-725.87173299999995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3.3433630399966892</v>
      </c>
      <c r="P836">
        <v>60380.152587999997</v>
      </c>
    </row>
    <row r="837" spans="1:16" x14ac:dyDescent="0.25">
      <c r="A837" s="10">
        <v>38835</v>
      </c>
      <c r="B837">
        <v>154.75877400000169</v>
      </c>
      <c r="C837">
        <v>238.110162</v>
      </c>
      <c r="D837">
        <v>0</v>
      </c>
      <c r="E837">
        <v>0</v>
      </c>
      <c r="F837">
        <v>600</v>
      </c>
      <c r="G837">
        <v>-601.35806100000002</v>
      </c>
      <c r="H837">
        <v>-75.475671260000126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-6.5176557399981903</v>
      </c>
      <c r="P837">
        <v>60534.911361999999</v>
      </c>
    </row>
    <row r="838" spans="1:16" x14ac:dyDescent="0.25">
      <c r="A838" s="10">
        <v>38839</v>
      </c>
      <c r="B838">
        <v>569.73087779999992</v>
      </c>
      <c r="C838">
        <v>334.55991899999998</v>
      </c>
      <c r="D838">
        <v>0</v>
      </c>
      <c r="E838">
        <v>0</v>
      </c>
      <c r="F838">
        <v>0</v>
      </c>
      <c r="G838">
        <v>-81.123422000000005</v>
      </c>
      <c r="H838">
        <v>333.90422399999989</v>
      </c>
      <c r="I838">
        <v>0</v>
      </c>
      <c r="J838">
        <v>0</v>
      </c>
      <c r="K838">
        <v>1.49</v>
      </c>
      <c r="L838">
        <v>0</v>
      </c>
      <c r="M838">
        <v>0</v>
      </c>
      <c r="N838">
        <v>0</v>
      </c>
      <c r="O838">
        <v>-19.09984319999986</v>
      </c>
      <c r="P838">
        <v>61104.6422398</v>
      </c>
    </row>
    <row r="839" spans="1:16" x14ac:dyDescent="0.25">
      <c r="A839" s="10">
        <v>38840</v>
      </c>
      <c r="B839">
        <v>279.92014619999833</v>
      </c>
      <c r="C839">
        <v>292.33859899999999</v>
      </c>
      <c r="D839">
        <v>0</v>
      </c>
      <c r="E839">
        <v>0</v>
      </c>
      <c r="F839">
        <v>0</v>
      </c>
      <c r="G839">
        <v>6.87</v>
      </c>
      <c r="H839">
        <v>537.5291531099997</v>
      </c>
      <c r="I839">
        <v>0</v>
      </c>
      <c r="J839">
        <v>-121.68</v>
      </c>
      <c r="K839">
        <v>-19.519999999999978</v>
      </c>
      <c r="L839">
        <v>-416.21</v>
      </c>
      <c r="M839">
        <v>0</v>
      </c>
      <c r="N839">
        <v>0</v>
      </c>
      <c r="O839">
        <v>0.59239408999854959</v>
      </c>
      <c r="P839">
        <v>61384.562385999998</v>
      </c>
    </row>
    <row r="840" spans="1:16" x14ac:dyDescent="0.25">
      <c r="A840" s="10">
        <v>38841</v>
      </c>
      <c r="B840">
        <v>-263.1140149999996</v>
      </c>
      <c r="C840">
        <v>290.416</v>
      </c>
      <c r="D840">
        <v>0</v>
      </c>
      <c r="E840">
        <v>0</v>
      </c>
      <c r="F840">
        <v>0</v>
      </c>
      <c r="G840">
        <v>-0.15902300000000119</v>
      </c>
      <c r="H840">
        <v>-496.22483349999948</v>
      </c>
      <c r="I840">
        <v>0</v>
      </c>
      <c r="J840">
        <v>0</v>
      </c>
      <c r="K840">
        <v>0.56000000000000005</v>
      </c>
      <c r="L840">
        <v>0</v>
      </c>
      <c r="M840">
        <v>0</v>
      </c>
      <c r="N840">
        <v>0</v>
      </c>
      <c r="O840">
        <v>-57.706158500000129</v>
      </c>
      <c r="P840">
        <v>61121.448370999999</v>
      </c>
    </row>
    <row r="841" spans="1:16" x14ac:dyDescent="0.25">
      <c r="A841" s="10">
        <v>38842</v>
      </c>
      <c r="B841">
        <v>252.13425100000299</v>
      </c>
      <c r="C841">
        <v>290.45968399999998</v>
      </c>
      <c r="D841">
        <v>0</v>
      </c>
      <c r="E841">
        <v>0</v>
      </c>
      <c r="F841">
        <v>0</v>
      </c>
      <c r="G841">
        <v>1.545876</v>
      </c>
      <c r="H841">
        <v>-90.300617830000192</v>
      </c>
      <c r="I841">
        <v>0</v>
      </c>
      <c r="J841">
        <v>0</v>
      </c>
      <c r="K841">
        <v>0.55000000000000004</v>
      </c>
      <c r="L841">
        <v>0</v>
      </c>
      <c r="M841">
        <v>0</v>
      </c>
      <c r="N841">
        <v>0</v>
      </c>
      <c r="O841">
        <v>49.87930883000314</v>
      </c>
      <c r="P841">
        <v>61373.582622000002</v>
      </c>
    </row>
    <row r="842" spans="1:16" x14ac:dyDescent="0.25">
      <c r="A842" s="10">
        <v>38845</v>
      </c>
      <c r="B842">
        <v>-21.694242999997691</v>
      </c>
      <c r="C842">
        <v>291.16396300000002</v>
      </c>
      <c r="D842">
        <v>0</v>
      </c>
      <c r="E842">
        <v>0</v>
      </c>
      <c r="F842">
        <v>0</v>
      </c>
      <c r="G842">
        <v>-97.638969999999972</v>
      </c>
      <c r="H842">
        <v>-216.17518441999979</v>
      </c>
      <c r="I842">
        <v>0</v>
      </c>
      <c r="J842">
        <v>0</v>
      </c>
      <c r="K842">
        <v>0.44</v>
      </c>
      <c r="L842">
        <v>0</v>
      </c>
      <c r="M842">
        <v>0</v>
      </c>
      <c r="N842">
        <v>0</v>
      </c>
      <c r="O842">
        <v>0.51594842000213359</v>
      </c>
      <c r="P842">
        <v>61351.888379000004</v>
      </c>
    </row>
    <row r="843" spans="1:16" x14ac:dyDescent="0.25">
      <c r="A843" s="10">
        <v>38846</v>
      </c>
      <c r="B843">
        <v>-208.34066900000531</v>
      </c>
      <c r="C843">
        <v>259.75078300000001</v>
      </c>
      <c r="D843">
        <v>0</v>
      </c>
      <c r="E843">
        <v>0</v>
      </c>
      <c r="F843">
        <v>0</v>
      </c>
      <c r="G843">
        <v>-68.160363000000018</v>
      </c>
      <c r="H843">
        <v>-408.62013100000149</v>
      </c>
      <c r="I843">
        <v>0</v>
      </c>
      <c r="J843">
        <v>0</v>
      </c>
      <c r="K843">
        <v>0.15</v>
      </c>
      <c r="L843">
        <v>0</v>
      </c>
      <c r="M843">
        <v>0</v>
      </c>
      <c r="N843">
        <v>0</v>
      </c>
      <c r="O843">
        <v>8.5390419999962859</v>
      </c>
      <c r="P843">
        <v>61143.547709999999</v>
      </c>
    </row>
    <row r="844" spans="1:16" x14ac:dyDescent="0.25">
      <c r="A844" s="10">
        <v>38847</v>
      </c>
      <c r="B844">
        <v>197.65840700000231</v>
      </c>
      <c r="C844">
        <v>289.85790200000002</v>
      </c>
      <c r="D844">
        <v>0</v>
      </c>
      <c r="E844">
        <v>0</v>
      </c>
      <c r="F844">
        <v>0</v>
      </c>
      <c r="G844">
        <v>30.817899000000011</v>
      </c>
      <c r="H844">
        <v>-17.619958000000221</v>
      </c>
      <c r="I844">
        <v>0</v>
      </c>
      <c r="J844">
        <v>0</v>
      </c>
      <c r="K844">
        <v>0.39</v>
      </c>
      <c r="L844">
        <v>-96.96</v>
      </c>
      <c r="M844">
        <v>0</v>
      </c>
      <c r="N844">
        <v>0</v>
      </c>
      <c r="O844">
        <v>-8.8274359999974585</v>
      </c>
      <c r="P844">
        <v>61341.206117000002</v>
      </c>
    </row>
    <row r="845" spans="1:16" x14ac:dyDescent="0.25">
      <c r="A845" s="10">
        <v>38848</v>
      </c>
      <c r="B845">
        <v>313.75887499999999</v>
      </c>
      <c r="C845">
        <v>228.45364000000001</v>
      </c>
      <c r="D845">
        <v>0</v>
      </c>
      <c r="E845">
        <v>0</v>
      </c>
      <c r="F845">
        <v>0</v>
      </c>
      <c r="G845">
        <v>36.674728999999999</v>
      </c>
      <c r="H845">
        <v>48.295490999999863</v>
      </c>
      <c r="I845">
        <v>0</v>
      </c>
      <c r="J845">
        <v>0</v>
      </c>
      <c r="K845">
        <v>0.56000000000000005</v>
      </c>
      <c r="L845">
        <v>0</v>
      </c>
      <c r="M845">
        <v>0</v>
      </c>
      <c r="N845">
        <v>0</v>
      </c>
      <c r="O845">
        <v>-0.22498499999978999</v>
      </c>
      <c r="P845">
        <v>61654.964992000001</v>
      </c>
    </row>
    <row r="846" spans="1:16" x14ac:dyDescent="0.25">
      <c r="A846" s="10">
        <v>38849</v>
      </c>
      <c r="B846">
        <v>-214.45914800000119</v>
      </c>
      <c r="C846">
        <v>94.938144000000008</v>
      </c>
      <c r="D846">
        <v>0</v>
      </c>
      <c r="E846">
        <v>0</v>
      </c>
      <c r="F846">
        <v>0</v>
      </c>
      <c r="G846">
        <v>4.344114999999988</v>
      </c>
      <c r="H846">
        <v>-298.64803499999931</v>
      </c>
      <c r="I846">
        <v>0</v>
      </c>
      <c r="J846">
        <v>0</v>
      </c>
      <c r="K846">
        <v>0.56000000000000005</v>
      </c>
      <c r="L846">
        <v>0</v>
      </c>
      <c r="M846">
        <v>0</v>
      </c>
      <c r="N846">
        <v>0</v>
      </c>
      <c r="O846">
        <v>-15.653372000001911</v>
      </c>
      <c r="P846">
        <v>61440.505843999999</v>
      </c>
    </row>
    <row r="847" spans="1:16" x14ac:dyDescent="0.25">
      <c r="A847" s="10">
        <v>38852</v>
      </c>
      <c r="B847">
        <v>468.41709600000451</v>
      </c>
      <c r="C847">
        <v>304.57181000000003</v>
      </c>
      <c r="D847">
        <v>0</v>
      </c>
      <c r="E847">
        <v>0</v>
      </c>
      <c r="F847">
        <v>0</v>
      </c>
      <c r="G847">
        <v>8.6692990000000236</v>
      </c>
      <c r="H847">
        <v>121.72885000000041</v>
      </c>
      <c r="I847">
        <v>0</v>
      </c>
      <c r="J847">
        <v>0</v>
      </c>
      <c r="K847">
        <v>0.84</v>
      </c>
      <c r="L847">
        <v>30.88</v>
      </c>
      <c r="M847">
        <v>0</v>
      </c>
      <c r="N847">
        <v>0</v>
      </c>
      <c r="O847">
        <v>1.7271370000040629</v>
      </c>
      <c r="P847">
        <v>61908.922939999997</v>
      </c>
    </row>
    <row r="848" spans="1:16" x14ac:dyDescent="0.25">
      <c r="A848" s="10">
        <v>38853</v>
      </c>
      <c r="B848">
        <v>-411.57758900000749</v>
      </c>
      <c r="C848">
        <v>243.33099999999999</v>
      </c>
      <c r="D848">
        <v>0</v>
      </c>
      <c r="E848">
        <v>0</v>
      </c>
      <c r="F848">
        <v>0</v>
      </c>
      <c r="G848">
        <v>-45.94075500000001</v>
      </c>
      <c r="H848">
        <v>-610.62502454999867</v>
      </c>
      <c r="I848">
        <v>0</v>
      </c>
      <c r="J848">
        <v>0</v>
      </c>
      <c r="K848">
        <v>0.7</v>
      </c>
      <c r="L848">
        <v>0</v>
      </c>
      <c r="M848">
        <v>0</v>
      </c>
      <c r="N848">
        <v>0</v>
      </c>
      <c r="O848">
        <v>0.95719054999113951</v>
      </c>
      <c r="P848">
        <v>61497.345351000004</v>
      </c>
    </row>
    <row r="849" spans="1:16" x14ac:dyDescent="0.25">
      <c r="A849" s="10">
        <v>38854</v>
      </c>
      <c r="B849">
        <v>-147.10186599999639</v>
      </c>
      <c r="C849">
        <v>281.00025399999998</v>
      </c>
      <c r="D849">
        <v>0</v>
      </c>
      <c r="E849">
        <v>0</v>
      </c>
      <c r="F849">
        <v>0</v>
      </c>
      <c r="G849">
        <v>-0.19323799999997959</v>
      </c>
      <c r="H849">
        <v>-428.31723899999997</v>
      </c>
      <c r="I849">
        <v>0</v>
      </c>
      <c r="J849">
        <v>0</v>
      </c>
      <c r="K849">
        <v>24.98</v>
      </c>
      <c r="L849">
        <v>-44.7</v>
      </c>
      <c r="M849">
        <v>0</v>
      </c>
      <c r="N849">
        <v>0</v>
      </c>
      <c r="O849">
        <v>20.12835700000355</v>
      </c>
      <c r="P849">
        <v>61350.243484999999</v>
      </c>
    </row>
    <row r="850" spans="1:16" x14ac:dyDescent="0.25">
      <c r="A850" s="10">
        <v>38855</v>
      </c>
      <c r="B850">
        <v>91.842552999994624</v>
      </c>
      <c r="C850">
        <v>159.73097899999999</v>
      </c>
      <c r="D850">
        <v>0</v>
      </c>
      <c r="E850">
        <v>0</v>
      </c>
      <c r="F850">
        <v>0</v>
      </c>
      <c r="G850">
        <v>-0.96938900000000494</v>
      </c>
      <c r="H850">
        <v>-83.529517999999371</v>
      </c>
      <c r="I850">
        <v>0</v>
      </c>
      <c r="J850">
        <v>0</v>
      </c>
      <c r="K850">
        <v>3.61</v>
      </c>
      <c r="L850">
        <v>0</v>
      </c>
      <c r="M850">
        <v>0</v>
      </c>
      <c r="N850">
        <v>0</v>
      </c>
      <c r="O850">
        <v>13.000480999993981</v>
      </c>
      <c r="P850">
        <v>61442.086037999987</v>
      </c>
    </row>
    <row r="851" spans="1:16" x14ac:dyDescent="0.25">
      <c r="A851" s="10">
        <v>38856</v>
      </c>
      <c r="B851">
        <v>-1690.495802899997</v>
      </c>
      <c r="C851">
        <v>178.96</v>
      </c>
      <c r="D851">
        <v>0</v>
      </c>
      <c r="E851">
        <v>0</v>
      </c>
      <c r="F851">
        <v>0</v>
      </c>
      <c r="G851">
        <v>-1892.9212910000001</v>
      </c>
      <c r="H851">
        <v>22.441251539999939</v>
      </c>
      <c r="I851">
        <v>0</v>
      </c>
      <c r="J851">
        <v>0</v>
      </c>
      <c r="K851">
        <v>0.68</v>
      </c>
      <c r="L851">
        <v>0</v>
      </c>
      <c r="M851">
        <v>0</v>
      </c>
      <c r="N851">
        <v>0</v>
      </c>
      <c r="O851">
        <v>0.34423656000240038</v>
      </c>
      <c r="P851">
        <v>59751.590235099997</v>
      </c>
    </row>
    <row r="852" spans="1:16" x14ac:dyDescent="0.25">
      <c r="A852" s="10">
        <v>38859</v>
      </c>
      <c r="B852">
        <v>2004.187061899996</v>
      </c>
      <c r="C852">
        <v>132.49450400000001</v>
      </c>
      <c r="D852">
        <v>0</v>
      </c>
      <c r="E852">
        <v>0</v>
      </c>
      <c r="F852">
        <v>0</v>
      </c>
      <c r="G852">
        <v>1900.910817</v>
      </c>
      <c r="H852">
        <v>-85.497340000000804</v>
      </c>
      <c r="I852">
        <v>0</v>
      </c>
      <c r="J852">
        <v>0</v>
      </c>
      <c r="K852">
        <v>1.1499999999999999</v>
      </c>
      <c r="L852">
        <v>50.28</v>
      </c>
      <c r="M852">
        <v>0</v>
      </c>
      <c r="N852">
        <v>0</v>
      </c>
      <c r="O852">
        <v>4.849080899996725</v>
      </c>
      <c r="P852">
        <v>61755.777296999993</v>
      </c>
    </row>
    <row r="853" spans="1:16" x14ac:dyDescent="0.25">
      <c r="A853" s="10">
        <v>38860</v>
      </c>
      <c r="B853">
        <v>-197.112033979996</v>
      </c>
      <c r="C853">
        <v>314.39499999999998</v>
      </c>
      <c r="D853">
        <v>0</v>
      </c>
      <c r="E853">
        <v>0</v>
      </c>
      <c r="F853">
        <v>0</v>
      </c>
      <c r="G853">
        <v>-20.109000000000009</v>
      </c>
      <c r="H853">
        <v>-525.57000000000062</v>
      </c>
      <c r="I853">
        <v>0</v>
      </c>
      <c r="J853">
        <v>0</v>
      </c>
      <c r="K853">
        <v>1.1499999999999999</v>
      </c>
      <c r="L853">
        <v>33.08</v>
      </c>
      <c r="M853">
        <v>0</v>
      </c>
      <c r="N853">
        <v>0</v>
      </c>
      <c r="O853">
        <v>-5.8033979995343543E-2</v>
      </c>
      <c r="P853">
        <v>61558.665263019997</v>
      </c>
    </row>
    <row r="854" spans="1:16" x14ac:dyDescent="0.25">
      <c r="A854" s="10">
        <v>38861</v>
      </c>
      <c r="B854">
        <v>-286.7949997699979</v>
      </c>
      <c r="C854">
        <v>-22.74</v>
      </c>
      <c r="D854">
        <v>0</v>
      </c>
      <c r="E854">
        <v>0</v>
      </c>
      <c r="F854">
        <v>0</v>
      </c>
      <c r="G854">
        <v>41.687665000000003</v>
      </c>
      <c r="H854">
        <v>250.36033746999959</v>
      </c>
      <c r="I854">
        <v>0</v>
      </c>
      <c r="J854">
        <v>0</v>
      </c>
      <c r="K854">
        <v>1.08</v>
      </c>
      <c r="L854">
        <v>-566.07000000000005</v>
      </c>
      <c r="M854">
        <v>0</v>
      </c>
      <c r="N854">
        <v>0</v>
      </c>
      <c r="O854">
        <v>8.8869977600024868</v>
      </c>
      <c r="P854">
        <v>61271.870263249999</v>
      </c>
    </row>
    <row r="855" spans="1:16" x14ac:dyDescent="0.25">
      <c r="A855" s="10">
        <v>38863</v>
      </c>
      <c r="B855">
        <v>-25.981869700000971</v>
      </c>
      <c r="C855">
        <v>170.736671</v>
      </c>
      <c r="D855">
        <v>0</v>
      </c>
      <c r="E855">
        <v>0</v>
      </c>
      <c r="F855">
        <v>0</v>
      </c>
      <c r="G855">
        <v>-68.493884999999977</v>
      </c>
      <c r="H855">
        <v>-136.4668850000007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8.2422292999997353</v>
      </c>
      <c r="P855">
        <v>61245.888393549998</v>
      </c>
    </row>
    <row r="856" spans="1:16" x14ac:dyDescent="0.25">
      <c r="A856" s="10">
        <v>38866</v>
      </c>
      <c r="B856">
        <v>-539.47773454999651</v>
      </c>
      <c r="C856">
        <v>0.93151799999999996</v>
      </c>
      <c r="D856">
        <v>0</v>
      </c>
      <c r="E856">
        <v>0</v>
      </c>
      <c r="F856">
        <v>0</v>
      </c>
      <c r="G856">
        <v>9.1437367300000005</v>
      </c>
      <c r="H856">
        <v>-547.87534500000129</v>
      </c>
      <c r="I856">
        <v>0</v>
      </c>
      <c r="J856">
        <v>0</v>
      </c>
      <c r="K856">
        <v>1.48</v>
      </c>
      <c r="L856">
        <v>0</v>
      </c>
      <c r="M856">
        <v>0</v>
      </c>
      <c r="N856">
        <v>0</v>
      </c>
      <c r="O856">
        <v>-3.1576442799952251</v>
      </c>
      <c r="P856">
        <v>60706.410659000001</v>
      </c>
    </row>
    <row r="857" spans="1:16" x14ac:dyDescent="0.25">
      <c r="A857" s="10">
        <v>38867</v>
      </c>
      <c r="B857">
        <v>-488.37012300000049</v>
      </c>
      <c r="C857">
        <v>-0.90535000000000065</v>
      </c>
      <c r="D857">
        <v>0</v>
      </c>
      <c r="E857">
        <v>0</v>
      </c>
      <c r="F857">
        <v>0</v>
      </c>
      <c r="G857">
        <v>62.701040999999996</v>
      </c>
      <c r="H857">
        <v>-552.40144399999826</v>
      </c>
      <c r="I857">
        <v>0</v>
      </c>
      <c r="J857">
        <v>0</v>
      </c>
      <c r="K857">
        <v>1.08</v>
      </c>
      <c r="L857">
        <v>0</v>
      </c>
      <c r="M857">
        <v>0</v>
      </c>
      <c r="N857">
        <v>0</v>
      </c>
      <c r="O857">
        <v>1.155629999997682</v>
      </c>
      <c r="P857">
        <v>60218.040536</v>
      </c>
    </row>
    <row r="858" spans="1:16" x14ac:dyDescent="0.25">
      <c r="A858" s="10">
        <v>38868</v>
      </c>
      <c r="B858">
        <v>-21.343527000003849</v>
      </c>
      <c r="C858">
        <v>-76.024387000000004</v>
      </c>
      <c r="D858">
        <v>0</v>
      </c>
      <c r="E858">
        <v>0</v>
      </c>
      <c r="F858">
        <v>0</v>
      </c>
      <c r="G858">
        <v>-66.090187000000014</v>
      </c>
      <c r="H858">
        <v>221.5860009999997</v>
      </c>
      <c r="I858">
        <v>0</v>
      </c>
      <c r="J858">
        <v>0</v>
      </c>
      <c r="K858">
        <v>1.51</v>
      </c>
      <c r="L858">
        <v>-95.78</v>
      </c>
      <c r="M858">
        <v>0</v>
      </c>
      <c r="N858">
        <v>0</v>
      </c>
      <c r="O858">
        <v>-6.5449540000035142</v>
      </c>
      <c r="P858">
        <v>60196.697009000003</v>
      </c>
    </row>
    <row r="859" spans="1:16" x14ac:dyDescent="0.25">
      <c r="A859" s="10">
        <v>38869</v>
      </c>
      <c r="B859">
        <v>1235.5865200000039</v>
      </c>
      <c r="C859">
        <v>19.965468000000001</v>
      </c>
      <c r="D859">
        <v>0</v>
      </c>
      <c r="E859">
        <v>0</v>
      </c>
      <c r="F859">
        <v>0</v>
      </c>
      <c r="G859">
        <v>7.166682999999999</v>
      </c>
      <c r="H859">
        <v>1166.970871</v>
      </c>
      <c r="I859">
        <v>0</v>
      </c>
      <c r="J859">
        <v>0</v>
      </c>
      <c r="K859">
        <v>0.33</v>
      </c>
      <c r="L859">
        <v>38.700000000000003</v>
      </c>
      <c r="M859">
        <v>0</v>
      </c>
      <c r="N859">
        <v>0</v>
      </c>
      <c r="O859">
        <v>2.4534980000048559</v>
      </c>
      <c r="P859">
        <v>61432.283529</v>
      </c>
    </row>
    <row r="860" spans="1:16" x14ac:dyDescent="0.25">
      <c r="A860" s="10">
        <v>38870</v>
      </c>
      <c r="B860">
        <v>80.775231999999818</v>
      </c>
      <c r="C860">
        <v>234.7835</v>
      </c>
      <c r="D860">
        <v>0</v>
      </c>
      <c r="E860">
        <v>0</v>
      </c>
      <c r="F860">
        <v>0</v>
      </c>
      <c r="G860">
        <v>-6.9848870000000014</v>
      </c>
      <c r="H860">
        <v>-23.372744999999671</v>
      </c>
      <c r="I860">
        <v>0</v>
      </c>
      <c r="J860">
        <v>-103.53</v>
      </c>
      <c r="K860">
        <v>-19.380000000000109</v>
      </c>
      <c r="L860">
        <v>0</v>
      </c>
      <c r="M860">
        <v>0</v>
      </c>
      <c r="N860">
        <v>0</v>
      </c>
      <c r="O860">
        <v>-0.74063600000036978</v>
      </c>
      <c r="P860">
        <v>61513.058761</v>
      </c>
    </row>
    <row r="861" spans="1:16" x14ac:dyDescent="0.25">
      <c r="A861" s="10">
        <v>38873</v>
      </c>
      <c r="B861">
        <v>420.64480799999723</v>
      </c>
      <c r="C861">
        <v>263.31644999999997</v>
      </c>
      <c r="D861">
        <v>0</v>
      </c>
      <c r="E861">
        <v>0</v>
      </c>
      <c r="F861">
        <v>0</v>
      </c>
      <c r="G861">
        <v>4.4995289999999946</v>
      </c>
      <c r="H861">
        <v>153.2911249999988</v>
      </c>
      <c r="I861">
        <v>0</v>
      </c>
      <c r="J861">
        <v>0</v>
      </c>
      <c r="K861">
        <v>1.1299999999999999</v>
      </c>
      <c r="L861">
        <v>63.91</v>
      </c>
      <c r="M861">
        <v>0</v>
      </c>
      <c r="N861">
        <v>0</v>
      </c>
      <c r="O861">
        <v>-65.502296000001564</v>
      </c>
      <c r="P861">
        <v>61933.703568999998</v>
      </c>
    </row>
    <row r="862" spans="1:16" x14ac:dyDescent="0.25">
      <c r="A862" s="10">
        <v>38874</v>
      </c>
      <c r="B862">
        <v>-37.504881740001387</v>
      </c>
      <c r="C862">
        <v>23.791111999999991</v>
      </c>
      <c r="D862">
        <v>0</v>
      </c>
      <c r="E862">
        <v>0</v>
      </c>
      <c r="F862">
        <v>0</v>
      </c>
      <c r="G862">
        <v>-62.149204999999988</v>
      </c>
      <c r="H862">
        <v>-50.194279999998798</v>
      </c>
      <c r="I862">
        <v>0</v>
      </c>
      <c r="J862">
        <v>0</v>
      </c>
      <c r="K862">
        <v>0.93</v>
      </c>
      <c r="L862">
        <v>0</v>
      </c>
      <c r="M862">
        <v>0</v>
      </c>
      <c r="N862">
        <v>0</v>
      </c>
      <c r="O862">
        <v>50.117491259997387</v>
      </c>
      <c r="P862">
        <v>61896.198687260003</v>
      </c>
    </row>
    <row r="863" spans="1:16" x14ac:dyDescent="0.25">
      <c r="A863" s="10">
        <v>38875</v>
      </c>
      <c r="B863">
        <v>-162.4701882599916</v>
      </c>
      <c r="C863">
        <v>275.23038200000002</v>
      </c>
      <c r="D863">
        <v>0</v>
      </c>
      <c r="E863">
        <v>0</v>
      </c>
      <c r="F863">
        <v>0</v>
      </c>
      <c r="G863">
        <v>-164.91204699999989</v>
      </c>
      <c r="H863">
        <v>42.206409999999778</v>
      </c>
      <c r="I863">
        <v>0</v>
      </c>
      <c r="J863">
        <v>0</v>
      </c>
      <c r="K863">
        <v>1.1499999999999999</v>
      </c>
      <c r="L863">
        <v>-337.35</v>
      </c>
      <c r="M863">
        <v>0</v>
      </c>
      <c r="N863">
        <v>0</v>
      </c>
      <c r="O863">
        <v>21.20506674000853</v>
      </c>
      <c r="P863">
        <v>61733.728498999997</v>
      </c>
    </row>
    <row r="864" spans="1:16" x14ac:dyDescent="0.25">
      <c r="A864" s="10">
        <v>38876</v>
      </c>
      <c r="B864">
        <v>349.29051799999439</v>
      </c>
      <c r="C864">
        <v>126.98733900000001</v>
      </c>
      <c r="D864">
        <v>0</v>
      </c>
      <c r="E864">
        <v>0</v>
      </c>
      <c r="F864">
        <v>0</v>
      </c>
      <c r="G864">
        <v>-113.526903</v>
      </c>
      <c r="H864">
        <v>288.32208799999989</v>
      </c>
      <c r="I864">
        <v>0</v>
      </c>
      <c r="J864">
        <v>0</v>
      </c>
      <c r="K864">
        <v>0.83</v>
      </c>
      <c r="L864">
        <v>48.11</v>
      </c>
      <c r="M864">
        <v>0</v>
      </c>
      <c r="N864">
        <v>0</v>
      </c>
      <c r="O864">
        <v>-1.432006000005563</v>
      </c>
      <c r="P864">
        <v>62083.019016999999</v>
      </c>
    </row>
    <row r="865" spans="1:16" x14ac:dyDescent="0.25">
      <c r="A865" s="10">
        <v>38877</v>
      </c>
      <c r="B865">
        <v>355.76007000000328</v>
      </c>
      <c r="C865">
        <v>216.283986</v>
      </c>
      <c r="D865">
        <v>0</v>
      </c>
      <c r="E865">
        <v>0</v>
      </c>
      <c r="F865">
        <v>0</v>
      </c>
      <c r="G865">
        <v>64.895185999999981</v>
      </c>
      <c r="H865">
        <v>62.92707799999971</v>
      </c>
      <c r="I865">
        <v>0</v>
      </c>
      <c r="J865">
        <v>0</v>
      </c>
      <c r="K865">
        <v>0.9</v>
      </c>
      <c r="L865">
        <v>3.96</v>
      </c>
      <c r="M865">
        <v>0</v>
      </c>
      <c r="N865">
        <v>0</v>
      </c>
      <c r="O865">
        <v>6.7938200000036773</v>
      </c>
      <c r="P865">
        <v>62438.779087000003</v>
      </c>
    </row>
    <row r="866" spans="1:16" x14ac:dyDescent="0.25">
      <c r="A866" s="10">
        <v>38880</v>
      </c>
      <c r="B866">
        <v>-147.41125000000491</v>
      </c>
      <c r="C866">
        <v>169.96093200000001</v>
      </c>
      <c r="D866">
        <v>0</v>
      </c>
      <c r="E866">
        <v>0</v>
      </c>
      <c r="F866">
        <v>0</v>
      </c>
      <c r="G866">
        <v>34.831349000000053</v>
      </c>
      <c r="H866">
        <v>-336.2443600000006</v>
      </c>
      <c r="I866">
        <v>0</v>
      </c>
      <c r="J866">
        <v>0</v>
      </c>
      <c r="K866">
        <v>0.89</v>
      </c>
      <c r="L866">
        <v>0</v>
      </c>
      <c r="M866">
        <v>0</v>
      </c>
      <c r="N866">
        <v>0</v>
      </c>
      <c r="O866">
        <v>-16.849171000004379</v>
      </c>
      <c r="P866">
        <v>62291.367836999998</v>
      </c>
    </row>
    <row r="867" spans="1:16" x14ac:dyDescent="0.25">
      <c r="A867" s="10">
        <v>38881</v>
      </c>
      <c r="B867">
        <v>274.36317399999842</v>
      </c>
      <c r="C867">
        <v>223.11500000000001</v>
      </c>
      <c r="D867">
        <v>0</v>
      </c>
      <c r="E867">
        <v>0</v>
      </c>
      <c r="F867">
        <v>0</v>
      </c>
      <c r="G867">
        <v>-13.431359000000009</v>
      </c>
      <c r="H867">
        <v>67.441690999999992</v>
      </c>
      <c r="I867">
        <v>0</v>
      </c>
      <c r="J867">
        <v>0</v>
      </c>
      <c r="K867">
        <v>0.93700000000000006</v>
      </c>
      <c r="L867">
        <v>0</v>
      </c>
      <c r="M867">
        <v>0</v>
      </c>
      <c r="N867">
        <v>0</v>
      </c>
      <c r="O867">
        <v>-3.6991580000016242</v>
      </c>
      <c r="P867">
        <v>62565.731011000003</v>
      </c>
    </row>
    <row r="868" spans="1:16" x14ac:dyDescent="0.25">
      <c r="A868" s="10">
        <v>38882</v>
      </c>
      <c r="B868">
        <v>131.9384189999985</v>
      </c>
      <c r="C868">
        <v>36.399629999999988</v>
      </c>
      <c r="D868">
        <v>0</v>
      </c>
      <c r="E868">
        <v>0</v>
      </c>
      <c r="F868">
        <v>0</v>
      </c>
      <c r="G868">
        <v>-40.403477520000003</v>
      </c>
      <c r="H868">
        <v>230.5137159999995</v>
      </c>
      <c r="I868">
        <v>0</v>
      </c>
      <c r="J868">
        <v>0</v>
      </c>
      <c r="K868">
        <v>1.03</v>
      </c>
      <c r="L868">
        <v>-110.18</v>
      </c>
      <c r="M868">
        <v>0</v>
      </c>
      <c r="N868">
        <v>0</v>
      </c>
      <c r="O868">
        <v>14.578550519999039</v>
      </c>
      <c r="P868">
        <v>62697.669429999987</v>
      </c>
    </row>
    <row r="869" spans="1:16" x14ac:dyDescent="0.25">
      <c r="A869" s="10">
        <v>38883</v>
      </c>
      <c r="B869">
        <v>612.55986500000301</v>
      </c>
      <c r="C869">
        <v>253.03902500000001</v>
      </c>
      <c r="D869">
        <v>0</v>
      </c>
      <c r="E869">
        <v>0</v>
      </c>
      <c r="F869">
        <v>0</v>
      </c>
      <c r="G869">
        <v>-19.52149600000001</v>
      </c>
      <c r="H869">
        <v>321.38588200000049</v>
      </c>
      <c r="I869">
        <v>0</v>
      </c>
      <c r="J869">
        <v>0</v>
      </c>
      <c r="K869">
        <v>0.71</v>
      </c>
      <c r="L869">
        <v>59.52</v>
      </c>
      <c r="M869">
        <v>0</v>
      </c>
      <c r="N869">
        <v>0</v>
      </c>
      <c r="O869">
        <v>-2.5735459999975139</v>
      </c>
      <c r="P869">
        <v>63310.229294999997</v>
      </c>
    </row>
    <row r="870" spans="1:16" x14ac:dyDescent="0.25">
      <c r="A870" s="10">
        <v>38884</v>
      </c>
      <c r="B870">
        <v>388.1406530000022</v>
      </c>
      <c r="C870">
        <v>329.8449</v>
      </c>
      <c r="D870">
        <v>0</v>
      </c>
      <c r="E870">
        <v>0</v>
      </c>
      <c r="F870">
        <v>0</v>
      </c>
      <c r="G870">
        <v>-8.3371619999999922</v>
      </c>
      <c r="H870">
        <v>63.66662499999893</v>
      </c>
      <c r="I870">
        <v>0</v>
      </c>
      <c r="J870">
        <v>0</v>
      </c>
      <c r="K870">
        <v>1</v>
      </c>
      <c r="L870">
        <v>0</v>
      </c>
      <c r="M870">
        <v>0</v>
      </c>
      <c r="N870">
        <v>0</v>
      </c>
      <c r="O870">
        <v>1.966290000003255</v>
      </c>
      <c r="P870">
        <v>63698.369948</v>
      </c>
    </row>
    <row r="871" spans="1:16" x14ac:dyDescent="0.25">
      <c r="A871" s="10">
        <v>38888</v>
      </c>
      <c r="B871">
        <v>49.604704999998212</v>
      </c>
      <c r="C871">
        <v>144.60535899999999</v>
      </c>
      <c r="D871">
        <v>0</v>
      </c>
      <c r="E871">
        <v>0</v>
      </c>
      <c r="F871">
        <v>0</v>
      </c>
      <c r="G871">
        <v>35.983012999999993</v>
      </c>
      <c r="H871">
        <v>-134.75003300000029</v>
      </c>
      <c r="I871">
        <v>0</v>
      </c>
      <c r="J871">
        <v>0</v>
      </c>
      <c r="K871">
        <v>2.0699999999999998</v>
      </c>
      <c r="L871">
        <v>0</v>
      </c>
      <c r="M871">
        <v>0</v>
      </c>
      <c r="N871">
        <v>0</v>
      </c>
      <c r="O871">
        <v>1.696365999998477</v>
      </c>
      <c r="P871">
        <v>63747.974652999997</v>
      </c>
    </row>
    <row r="872" spans="1:16" x14ac:dyDescent="0.25">
      <c r="A872" s="10">
        <v>38889</v>
      </c>
      <c r="B872">
        <v>-497.56607200000172</v>
      </c>
      <c r="C872">
        <v>275.600638</v>
      </c>
      <c r="D872">
        <v>0</v>
      </c>
      <c r="E872">
        <v>0</v>
      </c>
      <c r="F872">
        <v>0</v>
      </c>
      <c r="G872">
        <v>-567.35165500000005</v>
      </c>
      <c r="H872">
        <v>390.65129200000052</v>
      </c>
      <c r="I872">
        <v>0</v>
      </c>
      <c r="J872">
        <v>0</v>
      </c>
      <c r="K872">
        <v>1.35</v>
      </c>
      <c r="L872">
        <v>-596.35042300000214</v>
      </c>
      <c r="M872">
        <v>0</v>
      </c>
      <c r="N872">
        <v>0</v>
      </c>
      <c r="O872">
        <v>-1.46592400000003</v>
      </c>
      <c r="P872">
        <v>63250.408581000003</v>
      </c>
    </row>
    <row r="873" spans="1:16" x14ac:dyDescent="0.25">
      <c r="A873" s="10">
        <v>38890</v>
      </c>
      <c r="B873">
        <v>-593.73353299999849</v>
      </c>
      <c r="C873">
        <v>177.904616</v>
      </c>
      <c r="D873">
        <v>0</v>
      </c>
      <c r="E873">
        <v>-1400</v>
      </c>
      <c r="F873">
        <v>0</v>
      </c>
      <c r="G873">
        <v>1185.041125</v>
      </c>
      <c r="H873">
        <v>-565.17503500000021</v>
      </c>
      <c r="I873">
        <v>0</v>
      </c>
      <c r="J873">
        <v>0</v>
      </c>
      <c r="K873">
        <v>0.7</v>
      </c>
      <c r="L873">
        <v>0</v>
      </c>
      <c r="M873">
        <v>0</v>
      </c>
      <c r="N873">
        <v>0</v>
      </c>
      <c r="O873">
        <v>7.7957610000016437</v>
      </c>
      <c r="P873">
        <v>62656.675047999997</v>
      </c>
    </row>
    <row r="874" spans="1:16" x14ac:dyDescent="0.25">
      <c r="A874" s="10">
        <v>38891</v>
      </c>
      <c r="B874">
        <v>396.93228100000158</v>
      </c>
      <c r="C874">
        <v>200.43073200000001</v>
      </c>
      <c r="D874">
        <v>0</v>
      </c>
      <c r="E874">
        <v>0</v>
      </c>
      <c r="F874">
        <v>0</v>
      </c>
      <c r="G874">
        <v>-26.666236000000001</v>
      </c>
      <c r="H874">
        <v>222.96336299999891</v>
      </c>
      <c r="I874">
        <v>0</v>
      </c>
      <c r="J874">
        <v>0</v>
      </c>
      <c r="K874">
        <v>0.81378299999999992</v>
      </c>
      <c r="L874">
        <v>0</v>
      </c>
      <c r="M874">
        <v>0</v>
      </c>
      <c r="N874">
        <v>0</v>
      </c>
      <c r="O874">
        <v>-0.60936099999730686</v>
      </c>
      <c r="P874">
        <v>63053.607328999999</v>
      </c>
    </row>
    <row r="875" spans="1:16" x14ac:dyDescent="0.25">
      <c r="A875" s="10">
        <v>38894</v>
      </c>
      <c r="B875">
        <v>72.989902000000498</v>
      </c>
      <c r="C875">
        <v>224.15231600000001</v>
      </c>
      <c r="D875">
        <v>0</v>
      </c>
      <c r="E875">
        <v>0</v>
      </c>
      <c r="F875">
        <v>0</v>
      </c>
      <c r="G875">
        <v>19.113341000000009</v>
      </c>
      <c r="H875">
        <v>-172.76192599999919</v>
      </c>
      <c r="I875">
        <v>0</v>
      </c>
      <c r="J875">
        <v>0</v>
      </c>
      <c r="K875">
        <v>0.18746499999999999</v>
      </c>
      <c r="L875">
        <v>0</v>
      </c>
      <c r="M875">
        <v>0</v>
      </c>
      <c r="N875">
        <v>0</v>
      </c>
      <c r="O875">
        <v>2.2987059999996799</v>
      </c>
      <c r="P875">
        <v>63126.597231</v>
      </c>
    </row>
    <row r="876" spans="1:16" x14ac:dyDescent="0.25">
      <c r="A876" s="10">
        <v>38895</v>
      </c>
      <c r="B876">
        <v>28.68133600000106</v>
      </c>
      <c r="C876">
        <v>75.964290000000005</v>
      </c>
      <c r="D876">
        <v>0</v>
      </c>
      <c r="E876">
        <v>0</v>
      </c>
      <c r="F876">
        <v>0</v>
      </c>
      <c r="G876">
        <v>1.8576450000000231</v>
      </c>
      <c r="H876">
        <v>-53.609077999999499</v>
      </c>
      <c r="I876">
        <v>0</v>
      </c>
      <c r="J876">
        <v>0</v>
      </c>
      <c r="K876">
        <v>0.70000000000000007</v>
      </c>
      <c r="L876">
        <v>0</v>
      </c>
      <c r="M876">
        <v>0</v>
      </c>
      <c r="N876">
        <v>0</v>
      </c>
      <c r="O876">
        <v>3.7684790000005388</v>
      </c>
      <c r="P876">
        <v>63155.278567000001</v>
      </c>
    </row>
    <row r="877" spans="1:16" x14ac:dyDescent="0.25">
      <c r="A877" s="10">
        <v>38896</v>
      </c>
      <c r="B877">
        <v>-108.93413500000329</v>
      </c>
      <c r="C877">
        <v>-15.158101</v>
      </c>
      <c r="D877">
        <v>0</v>
      </c>
      <c r="E877">
        <v>0</v>
      </c>
      <c r="F877">
        <v>0</v>
      </c>
      <c r="G877">
        <v>48.224187999999963</v>
      </c>
      <c r="H877">
        <v>395.18530099999862</v>
      </c>
      <c r="I877">
        <v>0</v>
      </c>
      <c r="J877">
        <v>0</v>
      </c>
      <c r="K877">
        <v>1.1299999999999999</v>
      </c>
      <c r="L877">
        <v>-594.91</v>
      </c>
      <c r="M877">
        <v>0</v>
      </c>
      <c r="N877">
        <v>0</v>
      </c>
      <c r="O877">
        <v>56.594476999998179</v>
      </c>
      <c r="P877">
        <v>63046.344431999998</v>
      </c>
    </row>
    <row r="878" spans="1:16" x14ac:dyDescent="0.25">
      <c r="A878" s="10">
        <v>38897</v>
      </c>
      <c r="B878">
        <v>445.02410000000208</v>
      </c>
      <c r="C878">
        <v>78.665358999999995</v>
      </c>
      <c r="D878">
        <v>0</v>
      </c>
      <c r="E878">
        <v>0</v>
      </c>
      <c r="F878">
        <v>0</v>
      </c>
      <c r="G878">
        <v>287.8068330000001</v>
      </c>
      <c r="H878">
        <v>-40.620786999999837</v>
      </c>
      <c r="I878">
        <v>0</v>
      </c>
      <c r="J878">
        <v>0</v>
      </c>
      <c r="K878">
        <v>0.86164600000000002</v>
      </c>
      <c r="L878">
        <v>118.2</v>
      </c>
      <c r="M878">
        <v>0</v>
      </c>
      <c r="N878">
        <v>0</v>
      </c>
      <c r="O878">
        <v>0.1110490000018558</v>
      </c>
      <c r="P878">
        <v>63491.368532</v>
      </c>
    </row>
    <row r="879" spans="1:16" x14ac:dyDescent="0.25">
      <c r="A879" s="10">
        <v>38898</v>
      </c>
      <c r="B879">
        <v>72.164045999998066</v>
      </c>
      <c r="C879">
        <v>250.30757600000001</v>
      </c>
      <c r="D879">
        <v>0</v>
      </c>
      <c r="E879">
        <v>0</v>
      </c>
      <c r="F879">
        <v>0</v>
      </c>
      <c r="G879">
        <v>-100.397858</v>
      </c>
      <c r="H879">
        <v>-76.595795000001999</v>
      </c>
      <c r="I879">
        <v>0</v>
      </c>
      <c r="J879">
        <v>0</v>
      </c>
      <c r="K879">
        <v>0.79</v>
      </c>
      <c r="L879">
        <v>0</v>
      </c>
      <c r="M879">
        <v>0</v>
      </c>
      <c r="N879">
        <v>0</v>
      </c>
      <c r="O879">
        <v>-1.9398769999999099</v>
      </c>
      <c r="P879">
        <v>63563.532577999998</v>
      </c>
    </row>
    <row r="880" spans="1:16" x14ac:dyDescent="0.25">
      <c r="A880" s="10">
        <v>38901</v>
      </c>
      <c r="B880">
        <v>974.89512400000274</v>
      </c>
      <c r="C880">
        <v>206.522198</v>
      </c>
      <c r="D880">
        <v>0</v>
      </c>
      <c r="E880">
        <v>0</v>
      </c>
      <c r="F880">
        <v>0</v>
      </c>
      <c r="G880">
        <v>14.186398000000001</v>
      </c>
      <c r="H880">
        <v>744.72369300000173</v>
      </c>
      <c r="I880">
        <v>0</v>
      </c>
      <c r="J880">
        <v>0</v>
      </c>
      <c r="K880">
        <v>1.1499999999999999</v>
      </c>
      <c r="L880">
        <v>0</v>
      </c>
      <c r="M880">
        <v>0</v>
      </c>
      <c r="N880">
        <v>0</v>
      </c>
      <c r="O880">
        <v>8.3128350000010958</v>
      </c>
      <c r="P880">
        <v>64538.427702000001</v>
      </c>
    </row>
    <row r="881" spans="1:16" x14ac:dyDescent="0.25">
      <c r="A881" s="10">
        <v>38902</v>
      </c>
      <c r="B881">
        <v>-166.74396400000941</v>
      </c>
      <c r="C881">
        <v>1.1069</v>
      </c>
      <c r="D881">
        <v>0</v>
      </c>
      <c r="E881">
        <v>0</v>
      </c>
      <c r="F881">
        <v>0</v>
      </c>
      <c r="G881">
        <v>1.840000000008502E-4</v>
      </c>
      <c r="H881">
        <v>-85.559082000000672</v>
      </c>
      <c r="I881">
        <v>0</v>
      </c>
      <c r="J881">
        <v>-105.363</v>
      </c>
      <c r="K881">
        <v>-20.42700000000054</v>
      </c>
      <c r="L881">
        <v>43.75</v>
      </c>
      <c r="M881">
        <v>0</v>
      </c>
      <c r="N881">
        <v>0</v>
      </c>
      <c r="O881">
        <v>-0.25196600000816721</v>
      </c>
      <c r="P881">
        <v>64371.683737999992</v>
      </c>
    </row>
    <row r="882" spans="1:16" x14ac:dyDescent="0.25">
      <c r="A882" s="10">
        <v>38903</v>
      </c>
      <c r="B882">
        <v>416.53189900000137</v>
      </c>
      <c r="C882">
        <v>346.01824599999998</v>
      </c>
      <c r="D882">
        <v>0</v>
      </c>
      <c r="E882">
        <v>0</v>
      </c>
      <c r="F882">
        <v>0</v>
      </c>
      <c r="G882">
        <v>0.77243800000000107</v>
      </c>
      <c r="H882">
        <v>127.90625</v>
      </c>
      <c r="I882">
        <v>0</v>
      </c>
      <c r="J882">
        <v>0</v>
      </c>
      <c r="K882">
        <v>0.77</v>
      </c>
      <c r="L882">
        <v>-5</v>
      </c>
      <c r="M882">
        <v>0</v>
      </c>
      <c r="N882">
        <v>0</v>
      </c>
      <c r="O882">
        <v>-53.935034999998592</v>
      </c>
      <c r="P882">
        <v>64788.215636999987</v>
      </c>
    </row>
    <row r="883" spans="1:16" x14ac:dyDescent="0.25">
      <c r="A883" s="10">
        <v>38904</v>
      </c>
      <c r="B883">
        <v>328.50576164000148</v>
      </c>
      <c r="C883">
        <v>251.602</v>
      </c>
      <c r="D883">
        <v>0</v>
      </c>
      <c r="E883">
        <v>0</v>
      </c>
      <c r="F883">
        <v>0</v>
      </c>
      <c r="G883">
        <v>-21.156433</v>
      </c>
      <c r="H883">
        <v>46.080000000000837</v>
      </c>
      <c r="I883">
        <v>0</v>
      </c>
      <c r="J883">
        <v>0</v>
      </c>
      <c r="K883">
        <v>0.76</v>
      </c>
      <c r="L883">
        <v>1.98</v>
      </c>
      <c r="M883">
        <v>0</v>
      </c>
      <c r="N883">
        <v>0</v>
      </c>
      <c r="O883">
        <v>49.240194640000709</v>
      </c>
      <c r="P883">
        <v>65116.721398639987</v>
      </c>
    </row>
    <row r="884" spans="1:16" x14ac:dyDescent="0.25">
      <c r="A884" s="10">
        <v>38905</v>
      </c>
      <c r="B884">
        <v>338.18389115999878</v>
      </c>
      <c r="C884">
        <v>287.63099999999997</v>
      </c>
      <c r="D884">
        <v>0</v>
      </c>
      <c r="E884">
        <v>0</v>
      </c>
      <c r="F884">
        <v>0</v>
      </c>
      <c r="G884">
        <v>-109.556082</v>
      </c>
      <c r="H884">
        <v>157.6046469999992</v>
      </c>
      <c r="I884">
        <v>0</v>
      </c>
      <c r="J884">
        <v>0</v>
      </c>
      <c r="K884">
        <v>0.67</v>
      </c>
      <c r="L884">
        <v>0</v>
      </c>
      <c r="M884">
        <v>0</v>
      </c>
      <c r="N884">
        <v>0</v>
      </c>
      <c r="O884">
        <v>1.8343261599995639</v>
      </c>
      <c r="P884">
        <v>65454.905289799994</v>
      </c>
    </row>
    <row r="885" spans="1:16" x14ac:dyDescent="0.25">
      <c r="A885" s="10">
        <v>38908</v>
      </c>
      <c r="B885">
        <v>-74.861801209990233</v>
      </c>
      <c r="C885">
        <v>84.805941000000004</v>
      </c>
      <c r="D885">
        <v>0</v>
      </c>
      <c r="E885">
        <v>0</v>
      </c>
      <c r="F885">
        <v>0</v>
      </c>
      <c r="G885">
        <v>-116.10804400000001</v>
      </c>
      <c r="H885">
        <v>-46.703803000000327</v>
      </c>
      <c r="I885">
        <v>0</v>
      </c>
      <c r="J885">
        <v>0</v>
      </c>
      <c r="K885">
        <v>0.82</v>
      </c>
      <c r="L885">
        <v>0</v>
      </c>
      <c r="M885">
        <v>0</v>
      </c>
      <c r="N885">
        <v>0</v>
      </c>
      <c r="O885">
        <v>2.3241047900100908</v>
      </c>
      <c r="P885">
        <v>65380.043488590003</v>
      </c>
    </row>
    <row r="886" spans="1:16" x14ac:dyDescent="0.25">
      <c r="A886" s="10">
        <v>38909</v>
      </c>
      <c r="B886">
        <v>274.09759099999769</v>
      </c>
      <c r="C886">
        <v>164.504231</v>
      </c>
      <c r="D886">
        <v>0</v>
      </c>
      <c r="E886">
        <v>0</v>
      </c>
      <c r="F886">
        <v>0</v>
      </c>
      <c r="G886">
        <v>65.842506999999983</v>
      </c>
      <c r="H886">
        <v>33.991710000000239</v>
      </c>
      <c r="I886">
        <v>0</v>
      </c>
      <c r="J886">
        <v>0</v>
      </c>
      <c r="K886">
        <v>0.76</v>
      </c>
      <c r="L886">
        <v>0</v>
      </c>
      <c r="M886">
        <v>0</v>
      </c>
      <c r="N886">
        <v>0</v>
      </c>
      <c r="O886">
        <v>8.9991429999975097</v>
      </c>
      <c r="P886">
        <v>65654.141079590001</v>
      </c>
    </row>
    <row r="887" spans="1:16" x14ac:dyDescent="0.25">
      <c r="A887" s="10">
        <v>38910</v>
      </c>
      <c r="B887">
        <v>-634.5989990000013</v>
      </c>
      <c r="C887">
        <v>277.17264399999999</v>
      </c>
      <c r="D887">
        <v>0</v>
      </c>
      <c r="E887">
        <v>0</v>
      </c>
      <c r="F887">
        <v>0</v>
      </c>
      <c r="G887">
        <v>32.583618999999999</v>
      </c>
      <c r="H887">
        <v>-301.00688941000038</v>
      </c>
      <c r="I887">
        <v>0</v>
      </c>
      <c r="J887">
        <v>0</v>
      </c>
      <c r="K887">
        <v>0.61</v>
      </c>
      <c r="L887">
        <v>-623.61</v>
      </c>
      <c r="M887">
        <v>0</v>
      </c>
      <c r="N887">
        <v>0</v>
      </c>
      <c r="O887">
        <v>-20.348372590000839</v>
      </c>
      <c r="P887">
        <v>65019.542080589999</v>
      </c>
    </row>
    <row r="888" spans="1:16" x14ac:dyDescent="0.25">
      <c r="A888" s="10">
        <v>38911</v>
      </c>
      <c r="B888">
        <v>282.74988999999999</v>
      </c>
      <c r="C888">
        <v>210.42508699999999</v>
      </c>
      <c r="D888">
        <v>0</v>
      </c>
      <c r="E888">
        <v>0</v>
      </c>
      <c r="F888">
        <v>0</v>
      </c>
      <c r="G888">
        <v>-51.499366000000009</v>
      </c>
      <c r="H888">
        <v>120.4947960000009</v>
      </c>
      <c r="I888">
        <v>0</v>
      </c>
      <c r="J888">
        <v>0</v>
      </c>
      <c r="K888">
        <v>0.67</v>
      </c>
      <c r="L888">
        <v>0</v>
      </c>
      <c r="M888">
        <v>0</v>
      </c>
      <c r="N888">
        <v>0</v>
      </c>
      <c r="O888">
        <v>2.6593729999991642</v>
      </c>
      <c r="P888">
        <v>65302.291970589999</v>
      </c>
    </row>
    <row r="889" spans="1:16" x14ac:dyDescent="0.25">
      <c r="A889" s="10">
        <v>38912</v>
      </c>
      <c r="B889">
        <v>-127.56368400000029</v>
      </c>
      <c r="C889">
        <v>109.983048</v>
      </c>
      <c r="D889">
        <v>0</v>
      </c>
      <c r="E889">
        <v>0</v>
      </c>
      <c r="F889">
        <v>0</v>
      </c>
      <c r="G889">
        <v>-103.29670299999999</v>
      </c>
      <c r="H889">
        <v>-138.86525700000041</v>
      </c>
      <c r="I889">
        <v>0</v>
      </c>
      <c r="J889">
        <v>0</v>
      </c>
      <c r="K889">
        <v>0.65</v>
      </c>
      <c r="L889">
        <v>0</v>
      </c>
      <c r="M889">
        <v>0</v>
      </c>
      <c r="N889">
        <v>0</v>
      </c>
      <c r="O889">
        <v>3.9652280000001099</v>
      </c>
      <c r="P889">
        <v>65174.728286589998</v>
      </c>
    </row>
    <row r="890" spans="1:16" x14ac:dyDescent="0.25">
      <c r="A890" s="10">
        <v>38915</v>
      </c>
      <c r="B890">
        <v>333.97468341000092</v>
      </c>
      <c r="C890">
        <v>198.2687</v>
      </c>
      <c r="D890">
        <v>0</v>
      </c>
      <c r="E890">
        <v>0</v>
      </c>
      <c r="F890">
        <v>0</v>
      </c>
      <c r="G890">
        <v>98.69644599999998</v>
      </c>
      <c r="H890">
        <v>40.338715000001677</v>
      </c>
      <c r="I890">
        <v>0</v>
      </c>
      <c r="J890">
        <v>0</v>
      </c>
      <c r="K890">
        <v>0.86</v>
      </c>
      <c r="L890">
        <v>-3.98</v>
      </c>
      <c r="M890">
        <v>0</v>
      </c>
      <c r="N890">
        <v>0</v>
      </c>
      <c r="O890">
        <v>-0.20917759000078601</v>
      </c>
      <c r="P890">
        <v>65508.702969999998</v>
      </c>
    </row>
    <row r="891" spans="1:16" x14ac:dyDescent="0.25">
      <c r="A891" s="10">
        <v>38916</v>
      </c>
      <c r="B891">
        <v>365.09011600000707</v>
      </c>
      <c r="C891">
        <v>208.32199399999999</v>
      </c>
      <c r="D891">
        <v>0</v>
      </c>
      <c r="E891">
        <v>0</v>
      </c>
      <c r="F891">
        <v>0</v>
      </c>
      <c r="G891">
        <v>-6.056950999999998</v>
      </c>
      <c r="H891">
        <v>164.2297330000001</v>
      </c>
      <c r="I891">
        <v>0</v>
      </c>
      <c r="J891">
        <v>0</v>
      </c>
      <c r="K891">
        <v>0.85120399999999996</v>
      </c>
      <c r="L891">
        <v>-1.99</v>
      </c>
      <c r="M891">
        <v>0</v>
      </c>
      <c r="N891">
        <v>0</v>
      </c>
      <c r="O891">
        <v>-0.26586399999303012</v>
      </c>
      <c r="P891">
        <v>65873.793085999991</v>
      </c>
    </row>
    <row r="892" spans="1:16" x14ac:dyDescent="0.25">
      <c r="A892" s="10">
        <v>38917</v>
      </c>
      <c r="B892">
        <v>-535.72510800000578</v>
      </c>
      <c r="C892">
        <v>204.535774</v>
      </c>
      <c r="D892">
        <v>0</v>
      </c>
      <c r="E892">
        <v>0</v>
      </c>
      <c r="F892">
        <v>0</v>
      </c>
      <c r="G892">
        <v>60.19501600000001</v>
      </c>
      <c r="H892">
        <v>-235.44977999999989</v>
      </c>
      <c r="I892">
        <v>0</v>
      </c>
      <c r="J892">
        <v>0</v>
      </c>
      <c r="K892">
        <v>0.74</v>
      </c>
      <c r="L892">
        <v>-545.89</v>
      </c>
      <c r="M892">
        <v>0</v>
      </c>
      <c r="N892">
        <v>0</v>
      </c>
      <c r="O892">
        <v>-19.856118000005839</v>
      </c>
      <c r="P892">
        <v>65338.067977999999</v>
      </c>
    </row>
    <row r="893" spans="1:16" x14ac:dyDescent="0.25">
      <c r="A893" s="10">
        <v>38918</v>
      </c>
      <c r="B893">
        <v>-174.06812699999921</v>
      </c>
      <c r="C893">
        <v>72.538411999999994</v>
      </c>
      <c r="D893">
        <v>0</v>
      </c>
      <c r="E893">
        <v>0</v>
      </c>
      <c r="F893">
        <v>0</v>
      </c>
      <c r="G893">
        <v>-363.54841699999997</v>
      </c>
      <c r="H893">
        <v>53.296498000000611</v>
      </c>
      <c r="I893">
        <v>0</v>
      </c>
      <c r="J893">
        <v>0</v>
      </c>
      <c r="K893">
        <v>0.69</v>
      </c>
      <c r="L893">
        <v>15.03</v>
      </c>
      <c r="M893">
        <v>0</v>
      </c>
      <c r="N893">
        <v>0</v>
      </c>
      <c r="O893">
        <v>47.925380000000231</v>
      </c>
      <c r="P893">
        <v>65163.999851</v>
      </c>
    </row>
    <row r="894" spans="1:16" x14ac:dyDescent="0.25">
      <c r="A894" s="10">
        <v>38919</v>
      </c>
      <c r="B894">
        <v>277.61152299999929</v>
      </c>
      <c r="C894">
        <v>171.23487900000001</v>
      </c>
      <c r="D894">
        <v>0</v>
      </c>
      <c r="E894">
        <v>0</v>
      </c>
      <c r="F894">
        <v>0</v>
      </c>
      <c r="G894">
        <v>338.62453999999991</v>
      </c>
      <c r="H894">
        <v>-275.12738300000092</v>
      </c>
      <c r="I894">
        <v>0</v>
      </c>
      <c r="J894">
        <v>0</v>
      </c>
      <c r="K894">
        <v>0.76</v>
      </c>
      <c r="L894">
        <v>29.82</v>
      </c>
      <c r="M894">
        <v>0</v>
      </c>
      <c r="N894">
        <v>0</v>
      </c>
      <c r="O894">
        <v>12.29948700000033</v>
      </c>
      <c r="P894">
        <v>65441.611374</v>
      </c>
    </row>
    <row r="895" spans="1:16" x14ac:dyDescent="0.25">
      <c r="A895" s="10">
        <v>38922</v>
      </c>
      <c r="B895">
        <v>117.0072769999969</v>
      </c>
      <c r="C895">
        <v>5.3116439999999994</v>
      </c>
      <c r="D895">
        <v>0</v>
      </c>
      <c r="E895">
        <v>0</v>
      </c>
      <c r="F895">
        <v>0</v>
      </c>
      <c r="G895">
        <v>-7.4484059999999968</v>
      </c>
      <c r="H895">
        <v>118.10975599999981</v>
      </c>
      <c r="I895">
        <v>0</v>
      </c>
      <c r="J895">
        <v>0</v>
      </c>
      <c r="K895">
        <v>0.88</v>
      </c>
      <c r="L895">
        <v>0</v>
      </c>
      <c r="M895">
        <v>0</v>
      </c>
      <c r="N895">
        <v>0</v>
      </c>
      <c r="O895">
        <v>0.15428299999703651</v>
      </c>
      <c r="P895">
        <v>65558.618650999997</v>
      </c>
    </row>
    <row r="896" spans="1:16" x14ac:dyDescent="0.25">
      <c r="A896" s="10">
        <v>38923</v>
      </c>
      <c r="B896">
        <v>248.66352200000341</v>
      </c>
      <c r="C896">
        <v>173.947305</v>
      </c>
      <c r="D896">
        <v>0</v>
      </c>
      <c r="E896">
        <v>0</v>
      </c>
      <c r="F896">
        <v>0</v>
      </c>
      <c r="G896">
        <v>-19.60979900000001</v>
      </c>
      <c r="H896">
        <v>95.367892000000211</v>
      </c>
      <c r="I896">
        <v>0</v>
      </c>
      <c r="J896">
        <v>0</v>
      </c>
      <c r="K896">
        <v>0.88</v>
      </c>
      <c r="L896">
        <v>0</v>
      </c>
      <c r="M896">
        <v>0</v>
      </c>
      <c r="N896">
        <v>0</v>
      </c>
      <c r="O896">
        <v>-1.9218759999968289</v>
      </c>
      <c r="P896">
        <v>65807.282173</v>
      </c>
    </row>
    <row r="897" spans="1:16" x14ac:dyDescent="0.25">
      <c r="A897" s="10">
        <v>38924</v>
      </c>
      <c r="B897">
        <v>-351.48218500000081</v>
      </c>
      <c r="C897">
        <v>212.588731</v>
      </c>
      <c r="D897">
        <v>0</v>
      </c>
      <c r="E897">
        <v>0</v>
      </c>
      <c r="F897">
        <v>0</v>
      </c>
      <c r="G897">
        <v>6.6532929999999908</v>
      </c>
      <c r="H897">
        <v>-55.015610999999808</v>
      </c>
      <c r="I897">
        <v>0</v>
      </c>
      <c r="J897">
        <v>0</v>
      </c>
      <c r="K897">
        <v>0.75</v>
      </c>
      <c r="L897">
        <v>-515.58000000000004</v>
      </c>
      <c r="M897">
        <v>0</v>
      </c>
      <c r="N897">
        <v>0</v>
      </c>
      <c r="O897">
        <v>-0.87859800000092036</v>
      </c>
      <c r="P897">
        <v>65455.799987999999</v>
      </c>
    </row>
    <row r="898" spans="1:16" x14ac:dyDescent="0.25">
      <c r="A898" s="10">
        <v>38925</v>
      </c>
      <c r="B898">
        <v>-403.37470400000137</v>
      </c>
      <c r="C898">
        <v>-5.7408540000000006</v>
      </c>
      <c r="D898">
        <v>0</v>
      </c>
      <c r="E898">
        <v>0</v>
      </c>
      <c r="F898">
        <v>0</v>
      </c>
      <c r="G898">
        <v>-12.606377999999991</v>
      </c>
      <c r="H898">
        <v>-394.23716799999971</v>
      </c>
      <c r="I898">
        <v>0</v>
      </c>
      <c r="J898">
        <v>0</v>
      </c>
      <c r="K898">
        <v>0.78</v>
      </c>
      <c r="L898">
        <v>0</v>
      </c>
      <c r="M898">
        <v>0</v>
      </c>
      <c r="N898">
        <v>0</v>
      </c>
      <c r="O898">
        <v>8.4296959999982164</v>
      </c>
      <c r="P898">
        <v>65052.425283999997</v>
      </c>
    </row>
    <row r="899" spans="1:16" x14ac:dyDescent="0.25">
      <c r="A899" s="10">
        <v>38926</v>
      </c>
      <c r="B899">
        <v>18.00981100000412</v>
      </c>
      <c r="C899">
        <v>52.425930000000001</v>
      </c>
      <c r="D899">
        <v>0</v>
      </c>
      <c r="E899">
        <v>0</v>
      </c>
      <c r="F899">
        <v>0</v>
      </c>
      <c r="G899">
        <v>200.02483400000011</v>
      </c>
      <c r="H899">
        <v>-237.20580100000009</v>
      </c>
      <c r="I899">
        <v>0</v>
      </c>
      <c r="J899">
        <v>0</v>
      </c>
      <c r="K899">
        <v>0.89</v>
      </c>
      <c r="L899">
        <v>1.96</v>
      </c>
      <c r="M899">
        <v>0</v>
      </c>
      <c r="N899">
        <v>0</v>
      </c>
      <c r="O899">
        <v>-8.5151999995865424E-2</v>
      </c>
      <c r="P899">
        <v>65070.435095000001</v>
      </c>
    </row>
    <row r="900" spans="1:16" x14ac:dyDescent="0.25">
      <c r="A900" s="10">
        <v>38929</v>
      </c>
      <c r="B900">
        <v>-377.14407313999959</v>
      </c>
      <c r="C900">
        <v>369.81200000000013</v>
      </c>
      <c r="D900">
        <v>0</v>
      </c>
      <c r="E900">
        <v>0</v>
      </c>
      <c r="F900">
        <v>0</v>
      </c>
      <c r="G900">
        <v>-115.942781</v>
      </c>
      <c r="H900">
        <v>-623.55295829000079</v>
      </c>
      <c r="I900">
        <v>0</v>
      </c>
      <c r="J900">
        <v>0</v>
      </c>
      <c r="K900">
        <v>1.2</v>
      </c>
      <c r="L900">
        <v>0</v>
      </c>
      <c r="M900">
        <v>0</v>
      </c>
      <c r="N900">
        <v>0</v>
      </c>
      <c r="O900">
        <v>-8.6603338499989437</v>
      </c>
      <c r="P900">
        <v>64693.291021860001</v>
      </c>
    </row>
    <row r="901" spans="1:16" x14ac:dyDescent="0.25">
      <c r="A901" s="10">
        <v>38930</v>
      </c>
      <c r="B901">
        <v>1980.7798961399969</v>
      </c>
      <c r="C901">
        <v>234.157509</v>
      </c>
      <c r="D901">
        <v>0</v>
      </c>
      <c r="E901">
        <v>0</v>
      </c>
      <c r="F901">
        <v>0</v>
      </c>
      <c r="G901">
        <v>6.5290679999999952</v>
      </c>
      <c r="H901">
        <v>1736.191706000001</v>
      </c>
      <c r="I901">
        <v>0</v>
      </c>
      <c r="J901">
        <v>0</v>
      </c>
      <c r="K901">
        <v>1</v>
      </c>
      <c r="L901">
        <v>0</v>
      </c>
      <c r="M901">
        <v>0</v>
      </c>
      <c r="N901">
        <v>0</v>
      </c>
      <c r="O901">
        <v>2.9016131399962428</v>
      </c>
      <c r="P901">
        <v>66674.070918000012</v>
      </c>
    </row>
    <row r="902" spans="1:16" x14ac:dyDescent="0.25">
      <c r="A902" s="10">
        <v>38931</v>
      </c>
      <c r="B902">
        <v>-363.22919913999772</v>
      </c>
      <c r="C902">
        <v>86.343912999999986</v>
      </c>
      <c r="D902">
        <v>0</v>
      </c>
      <c r="E902">
        <v>0</v>
      </c>
      <c r="F902">
        <v>0</v>
      </c>
      <c r="G902">
        <v>-180.603702</v>
      </c>
      <c r="H902">
        <v>4.572729999999865</v>
      </c>
      <c r="I902">
        <v>0</v>
      </c>
      <c r="J902">
        <v>-106.83</v>
      </c>
      <c r="K902">
        <v>-17.560000000000109</v>
      </c>
      <c r="L902">
        <v>-149.22999999999999</v>
      </c>
      <c r="M902">
        <v>0</v>
      </c>
      <c r="N902">
        <v>0</v>
      </c>
      <c r="O902">
        <v>7.7859860002490677E-2</v>
      </c>
      <c r="P902">
        <v>66310.84171886</v>
      </c>
    </row>
    <row r="903" spans="1:16" x14ac:dyDescent="0.25">
      <c r="A903" s="10">
        <v>38932</v>
      </c>
      <c r="B903">
        <v>684.76090513999225</v>
      </c>
      <c r="C903">
        <v>178.02539300000001</v>
      </c>
      <c r="D903">
        <v>0</v>
      </c>
      <c r="E903">
        <v>0</v>
      </c>
      <c r="F903">
        <v>0</v>
      </c>
      <c r="G903">
        <v>175.35942800000009</v>
      </c>
      <c r="H903">
        <v>430.24697999999989</v>
      </c>
      <c r="I903">
        <v>0</v>
      </c>
      <c r="J903">
        <v>-128.81</v>
      </c>
      <c r="K903">
        <v>-7.8799999999999093</v>
      </c>
      <c r="L903">
        <v>50.95</v>
      </c>
      <c r="M903">
        <v>0</v>
      </c>
      <c r="N903">
        <v>0</v>
      </c>
      <c r="O903">
        <v>-13.130895860008019</v>
      </c>
      <c r="P903">
        <v>66995.602623999992</v>
      </c>
    </row>
    <row r="904" spans="1:16" x14ac:dyDescent="0.25">
      <c r="A904" s="10">
        <v>38933</v>
      </c>
      <c r="B904">
        <v>40.886817000005927</v>
      </c>
      <c r="C904">
        <v>456.00761399999999</v>
      </c>
      <c r="D904">
        <v>0</v>
      </c>
      <c r="E904">
        <v>0</v>
      </c>
      <c r="F904">
        <v>0</v>
      </c>
      <c r="G904">
        <v>-4.2422180000000083</v>
      </c>
      <c r="H904">
        <v>-364.81358399999948</v>
      </c>
      <c r="I904">
        <v>0</v>
      </c>
      <c r="J904">
        <v>0</v>
      </c>
      <c r="K904">
        <v>0.71</v>
      </c>
      <c r="L904">
        <v>16.079999999999998</v>
      </c>
      <c r="M904">
        <v>0</v>
      </c>
      <c r="N904">
        <v>0</v>
      </c>
      <c r="O904">
        <v>-62.854994999994531</v>
      </c>
      <c r="P904">
        <v>67036.489440999998</v>
      </c>
    </row>
    <row r="905" spans="1:16" x14ac:dyDescent="0.25">
      <c r="A905" s="10">
        <v>38936</v>
      </c>
      <c r="B905">
        <v>259.02342199999839</v>
      </c>
      <c r="C905">
        <v>262.58624500000002</v>
      </c>
      <c r="D905">
        <v>0</v>
      </c>
      <c r="E905">
        <v>0</v>
      </c>
      <c r="F905">
        <v>0</v>
      </c>
      <c r="G905">
        <v>-24.988947086924</v>
      </c>
      <c r="H905">
        <v>-40.50476499999877</v>
      </c>
      <c r="I905">
        <v>0</v>
      </c>
      <c r="J905">
        <v>0</v>
      </c>
      <c r="K905">
        <v>0.71</v>
      </c>
      <c r="L905">
        <v>12.31</v>
      </c>
      <c r="M905">
        <v>0</v>
      </c>
      <c r="N905">
        <v>0</v>
      </c>
      <c r="O905">
        <v>48.910889086921117</v>
      </c>
      <c r="P905">
        <v>67295.512862999996</v>
      </c>
    </row>
    <row r="906" spans="1:16" x14ac:dyDescent="0.25">
      <c r="A906" s="10">
        <v>38937</v>
      </c>
      <c r="B906">
        <v>-298.61487613999611</v>
      </c>
      <c r="C906">
        <v>177.60884200000001</v>
      </c>
      <c r="D906">
        <v>0</v>
      </c>
      <c r="E906">
        <v>0</v>
      </c>
      <c r="F906">
        <v>0</v>
      </c>
      <c r="G906">
        <v>-108.762401</v>
      </c>
      <c r="H906">
        <v>-373.15931700000061</v>
      </c>
      <c r="I906">
        <v>0</v>
      </c>
      <c r="J906">
        <v>0</v>
      </c>
      <c r="K906">
        <v>0.32</v>
      </c>
      <c r="L906">
        <v>1.89</v>
      </c>
      <c r="M906">
        <v>0</v>
      </c>
      <c r="N906">
        <v>0</v>
      </c>
      <c r="O906">
        <v>3.4879998600044928</v>
      </c>
      <c r="P906">
        <v>66996.89798686</v>
      </c>
    </row>
    <row r="907" spans="1:16" x14ac:dyDescent="0.25">
      <c r="A907" s="10">
        <v>38938</v>
      </c>
      <c r="B907">
        <v>-16.390768860000751</v>
      </c>
      <c r="C907">
        <v>279.10467000000011</v>
      </c>
      <c r="D907">
        <v>0</v>
      </c>
      <c r="E907">
        <v>0</v>
      </c>
      <c r="F907">
        <v>0</v>
      </c>
      <c r="G907">
        <v>-107.068191</v>
      </c>
      <c r="H907">
        <v>-205.79615499999909</v>
      </c>
      <c r="I907">
        <v>0</v>
      </c>
      <c r="J907">
        <v>0</v>
      </c>
      <c r="K907">
        <v>0.65</v>
      </c>
      <c r="L907">
        <v>31.83</v>
      </c>
      <c r="M907">
        <v>0</v>
      </c>
      <c r="N907">
        <v>0</v>
      </c>
      <c r="O907">
        <v>-15.111092860001699</v>
      </c>
      <c r="P907">
        <v>66980.507218000013</v>
      </c>
    </row>
    <row r="908" spans="1:16" x14ac:dyDescent="0.25">
      <c r="A908" s="10">
        <v>38939</v>
      </c>
      <c r="B908">
        <v>821.71228300000075</v>
      </c>
      <c r="C908">
        <v>396.841679</v>
      </c>
      <c r="D908">
        <v>-1699.999999992732</v>
      </c>
      <c r="E908">
        <v>1699.999999992732</v>
      </c>
      <c r="F908">
        <v>0</v>
      </c>
      <c r="G908">
        <v>73.535272999999961</v>
      </c>
      <c r="H908">
        <v>283.91589400000072</v>
      </c>
      <c r="I908">
        <v>0</v>
      </c>
      <c r="J908">
        <v>0</v>
      </c>
      <c r="K908">
        <v>0</v>
      </c>
      <c r="L908">
        <v>66.36</v>
      </c>
      <c r="M908">
        <v>0</v>
      </c>
      <c r="N908">
        <v>0</v>
      </c>
      <c r="O908">
        <v>1.0594370000000031</v>
      </c>
      <c r="P908">
        <v>67802.219501</v>
      </c>
    </row>
    <row r="909" spans="1:16" x14ac:dyDescent="0.25">
      <c r="A909" s="10">
        <v>38940</v>
      </c>
      <c r="B909">
        <v>100.5453578599992</v>
      </c>
      <c r="C909">
        <v>303.24599999999998</v>
      </c>
      <c r="D909">
        <v>0</v>
      </c>
      <c r="E909">
        <v>0</v>
      </c>
      <c r="F909">
        <v>0</v>
      </c>
      <c r="G909">
        <v>16.187362000000011</v>
      </c>
      <c r="H909">
        <v>-205.82499999999979</v>
      </c>
      <c r="I909">
        <v>0</v>
      </c>
      <c r="J909">
        <v>0</v>
      </c>
      <c r="K909">
        <v>0.92</v>
      </c>
      <c r="L909">
        <v>0</v>
      </c>
      <c r="M909">
        <v>0</v>
      </c>
      <c r="N909">
        <v>0</v>
      </c>
      <c r="O909">
        <v>-13.98300414000094</v>
      </c>
      <c r="P909">
        <v>67902.764858859999</v>
      </c>
    </row>
    <row r="910" spans="1:16" x14ac:dyDescent="0.25">
      <c r="A910" s="10">
        <v>38943</v>
      </c>
      <c r="B910">
        <v>-109.47059685998821</v>
      </c>
      <c r="C910">
        <v>252.77795399999999</v>
      </c>
      <c r="D910">
        <v>0</v>
      </c>
      <c r="E910">
        <v>0</v>
      </c>
      <c r="F910">
        <v>0</v>
      </c>
      <c r="G910">
        <v>-14.25303800000003</v>
      </c>
      <c r="H910">
        <v>-350.76828199999909</v>
      </c>
      <c r="I910">
        <v>0</v>
      </c>
      <c r="J910">
        <v>0</v>
      </c>
      <c r="K910">
        <v>0.87</v>
      </c>
      <c r="L910">
        <v>0</v>
      </c>
      <c r="M910">
        <v>0</v>
      </c>
      <c r="N910">
        <v>0</v>
      </c>
      <c r="O910">
        <v>1.9027691400109461</v>
      </c>
      <c r="P910">
        <v>67793.29426200001</v>
      </c>
    </row>
    <row r="911" spans="1:16" x14ac:dyDescent="0.25">
      <c r="A911" s="10">
        <v>38944</v>
      </c>
      <c r="B911">
        <v>545.19795342998998</v>
      </c>
      <c r="C911">
        <v>292.65699999999998</v>
      </c>
      <c r="D911">
        <v>0</v>
      </c>
      <c r="E911">
        <v>0</v>
      </c>
      <c r="F911">
        <v>0</v>
      </c>
      <c r="G911">
        <v>-85.79996200000005</v>
      </c>
      <c r="H911">
        <v>304.98799999999937</v>
      </c>
      <c r="I911">
        <v>0</v>
      </c>
      <c r="J911">
        <v>0</v>
      </c>
      <c r="K911">
        <v>0.87</v>
      </c>
      <c r="L911">
        <v>34.96</v>
      </c>
      <c r="M911">
        <v>0</v>
      </c>
      <c r="N911">
        <v>0</v>
      </c>
      <c r="O911">
        <v>-2.47708457000931</v>
      </c>
      <c r="P911">
        <v>68338.49221543</v>
      </c>
    </row>
    <row r="912" spans="1:16" x14ac:dyDescent="0.25">
      <c r="A912" s="10">
        <v>38945</v>
      </c>
      <c r="B912">
        <v>-741.5485688400081</v>
      </c>
      <c r="C912">
        <v>421.70546999999999</v>
      </c>
      <c r="D912">
        <v>0</v>
      </c>
      <c r="E912">
        <v>0</v>
      </c>
      <c r="F912">
        <v>0</v>
      </c>
      <c r="G912">
        <v>39.344999999999978</v>
      </c>
      <c r="H912">
        <v>-381.97068099999979</v>
      </c>
      <c r="I912">
        <v>0</v>
      </c>
      <c r="J912">
        <v>0</v>
      </c>
      <c r="K912">
        <v>0.85</v>
      </c>
      <c r="L912">
        <v>-868.15</v>
      </c>
      <c r="M912">
        <v>0</v>
      </c>
      <c r="N912">
        <v>0</v>
      </c>
      <c r="O912">
        <v>46.671642159991762</v>
      </c>
      <c r="P912">
        <v>67596.943646589993</v>
      </c>
    </row>
    <row r="913" spans="1:16" x14ac:dyDescent="0.25">
      <c r="A913" s="10">
        <v>38946</v>
      </c>
      <c r="B913">
        <v>182.34627700000479</v>
      </c>
      <c r="C913">
        <v>244.417542</v>
      </c>
      <c r="D913">
        <v>0</v>
      </c>
      <c r="E913">
        <v>0</v>
      </c>
      <c r="F913">
        <v>0</v>
      </c>
      <c r="G913">
        <v>-4.4064649999999972</v>
      </c>
      <c r="H913">
        <v>-57.238664000000433</v>
      </c>
      <c r="I913">
        <v>0</v>
      </c>
      <c r="J913">
        <v>0</v>
      </c>
      <c r="K913">
        <v>0.47</v>
      </c>
      <c r="L913">
        <v>3.93</v>
      </c>
      <c r="M913">
        <v>0</v>
      </c>
      <c r="N913">
        <v>0</v>
      </c>
      <c r="O913">
        <v>-4.8261359999947331</v>
      </c>
      <c r="P913">
        <v>67779.289923589997</v>
      </c>
    </row>
    <row r="914" spans="1:16" x14ac:dyDescent="0.25">
      <c r="A914" s="10">
        <v>38947</v>
      </c>
      <c r="B914">
        <v>-430.69216599999368</v>
      </c>
      <c r="C914">
        <v>158.64162300000001</v>
      </c>
      <c r="D914">
        <v>0</v>
      </c>
      <c r="E914">
        <v>0</v>
      </c>
      <c r="F914">
        <v>0</v>
      </c>
      <c r="G914">
        <v>-6.5024180000000058</v>
      </c>
      <c r="H914">
        <v>-603.18381600000066</v>
      </c>
      <c r="I914">
        <v>0</v>
      </c>
      <c r="J914">
        <v>0</v>
      </c>
      <c r="K914">
        <v>1.01</v>
      </c>
      <c r="L914">
        <v>17.7</v>
      </c>
      <c r="M914">
        <v>0</v>
      </c>
      <c r="N914">
        <v>0</v>
      </c>
      <c r="O914">
        <v>1.6424450000069779</v>
      </c>
      <c r="P914">
        <v>67348.597757590003</v>
      </c>
    </row>
    <row r="915" spans="1:16" x14ac:dyDescent="0.25">
      <c r="A915" s="10">
        <v>38951</v>
      </c>
      <c r="B915">
        <v>607.71501330999274</v>
      </c>
      <c r="C915">
        <v>227.694761</v>
      </c>
      <c r="D915">
        <v>0</v>
      </c>
      <c r="E915">
        <v>0</v>
      </c>
      <c r="F915">
        <v>0</v>
      </c>
      <c r="G915">
        <v>101.127883</v>
      </c>
      <c r="H915">
        <v>198.90107000000171</v>
      </c>
      <c r="I915">
        <v>0</v>
      </c>
      <c r="J915">
        <v>0</v>
      </c>
      <c r="K915">
        <v>2.06</v>
      </c>
      <c r="L915">
        <v>66.78</v>
      </c>
      <c r="M915">
        <v>0</v>
      </c>
      <c r="N915">
        <v>0</v>
      </c>
      <c r="O915">
        <v>11.15129930999098</v>
      </c>
      <c r="P915">
        <v>67956.312770899996</v>
      </c>
    </row>
    <row r="916" spans="1:16" x14ac:dyDescent="0.25">
      <c r="A916" s="10">
        <v>38952</v>
      </c>
      <c r="B916">
        <v>-368.99258500000019</v>
      </c>
      <c r="C916">
        <v>207.23393300000001</v>
      </c>
      <c r="D916">
        <v>0</v>
      </c>
      <c r="E916">
        <v>0</v>
      </c>
      <c r="F916">
        <v>0</v>
      </c>
      <c r="G916">
        <v>-92.865020999999984</v>
      </c>
      <c r="H916">
        <v>411.22228499999977</v>
      </c>
      <c r="I916">
        <v>0</v>
      </c>
      <c r="J916">
        <v>0</v>
      </c>
      <c r="K916">
        <v>0.97</v>
      </c>
      <c r="L916">
        <v>-896.66</v>
      </c>
      <c r="M916">
        <v>0</v>
      </c>
      <c r="N916">
        <v>0</v>
      </c>
      <c r="O916">
        <v>1.1062179999998989</v>
      </c>
      <c r="P916">
        <v>67587.320185899996</v>
      </c>
    </row>
    <row r="917" spans="1:16" x14ac:dyDescent="0.25">
      <c r="A917" s="10">
        <v>38953</v>
      </c>
      <c r="B917">
        <v>-54.556903999997772</v>
      </c>
      <c r="C917">
        <v>225.865094</v>
      </c>
      <c r="D917">
        <v>-199.99069800000001</v>
      </c>
      <c r="E917">
        <v>0</v>
      </c>
      <c r="F917">
        <v>0</v>
      </c>
      <c r="G917">
        <v>-1.0196969898099719</v>
      </c>
      <c r="H917">
        <v>-90.795429000001604</v>
      </c>
      <c r="I917">
        <v>0</v>
      </c>
      <c r="J917">
        <v>0</v>
      </c>
      <c r="K917">
        <v>0.73</v>
      </c>
      <c r="L917">
        <v>7.88</v>
      </c>
      <c r="M917">
        <v>0</v>
      </c>
      <c r="N917">
        <v>0</v>
      </c>
      <c r="O917">
        <v>2.7738259898138078</v>
      </c>
      <c r="P917">
        <v>67532.763281899999</v>
      </c>
    </row>
    <row r="918" spans="1:16" x14ac:dyDescent="0.25">
      <c r="A918" s="10">
        <v>38954</v>
      </c>
      <c r="B918">
        <v>-339.45883399999002</v>
      </c>
      <c r="C918">
        <v>191.39662200000001</v>
      </c>
      <c r="D918">
        <v>0</v>
      </c>
      <c r="E918">
        <v>-750</v>
      </c>
      <c r="F918">
        <v>0</v>
      </c>
      <c r="G918">
        <v>-20.496075999999938</v>
      </c>
      <c r="H918">
        <v>232.75915300000091</v>
      </c>
      <c r="I918">
        <v>0</v>
      </c>
      <c r="J918">
        <v>0</v>
      </c>
      <c r="K918">
        <v>1.5</v>
      </c>
      <c r="L918">
        <v>4.92</v>
      </c>
      <c r="M918">
        <v>0</v>
      </c>
      <c r="N918">
        <v>0</v>
      </c>
      <c r="O918">
        <v>0.46146700000900859</v>
      </c>
      <c r="P918">
        <v>67193.304447900009</v>
      </c>
    </row>
    <row r="919" spans="1:16" x14ac:dyDescent="0.25">
      <c r="A919" s="10">
        <v>38957</v>
      </c>
      <c r="B919">
        <v>-37.633381999999592</v>
      </c>
      <c r="C919">
        <v>1.0529409999999999</v>
      </c>
      <c r="D919">
        <v>0</v>
      </c>
      <c r="E919">
        <v>0</v>
      </c>
      <c r="F919">
        <v>0</v>
      </c>
      <c r="G919">
        <v>200.59688099999991</v>
      </c>
      <c r="H919">
        <v>-242.10742999999999</v>
      </c>
      <c r="I919">
        <v>0</v>
      </c>
      <c r="J919">
        <v>0</v>
      </c>
      <c r="K919">
        <v>0.44</v>
      </c>
      <c r="L919">
        <v>0</v>
      </c>
      <c r="M919">
        <v>0</v>
      </c>
      <c r="N919">
        <v>0</v>
      </c>
      <c r="O919">
        <v>2.384226000000496</v>
      </c>
      <c r="P919">
        <v>67155.671065900009</v>
      </c>
    </row>
    <row r="920" spans="1:16" x14ac:dyDescent="0.25">
      <c r="A920" s="10">
        <v>38958</v>
      </c>
      <c r="B920">
        <v>-474.94679899999772</v>
      </c>
      <c r="C920">
        <v>154.016255</v>
      </c>
      <c r="D920">
        <v>0</v>
      </c>
      <c r="E920">
        <v>0</v>
      </c>
      <c r="F920">
        <v>0</v>
      </c>
      <c r="G920">
        <v>-173.034381</v>
      </c>
      <c r="H920">
        <v>-462.90798900000033</v>
      </c>
      <c r="I920">
        <v>0</v>
      </c>
      <c r="J920">
        <v>0</v>
      </c>
      <c r="K920">
        <v>1.00885</v>
      </c>
      <c r="L920">
        <v>0</v>
      </c>
      <c r="M920">
        <v>0</v>
      </c>
      <c r="N920">
        <v>0</v>
      </c>
      <c r="O920">
        <v>5.9704660000025456</v>
      </c>
      <c r="P920">
        <v>66680.724266900012</v>
      </c>
    </row>
    <row r="921" spans="1:16" x14ac:dyDescent="0.25">
      <c r="A921" s="10">
        <v>38959</v>
      </c>
      <c r="B921">
        <v>-273.94385100001841</v>
      </c>
      <c r="C921">
        <v>156.28232</v>
      </c>
      <c r="D921">
        <v>0</v>
      </c>
      <c r="E921">
        <v>0</v>
      </c>
      <c r="F921">
        <v>0</v>
      </c>
      <c r="G921">
        <v>93.691926000000009</v>
      </c>
      <c r="H921">
        <v>109.8158890000004</v>
      </c>
      <c r="I921">
        <v>0</v>
      </c>
      <c r="J921">
        <v>0</v>
      </c>
      <c r="K921">
        <v>1.01</v>
      </c>
      <c r="L921">
        <v>-642.09</v>
      </c>
      <c r="M921">
        <v>0</v>
      </c>
      <c r="N921">
        <v>0</v>
      </c>
      <c r="O921">
        <v>7.3460139999811824</v>
      </c>
      <c r="P921">
        <v>66406.780415899993</v>
      </c>
    </row>
    <row r="922" spans="1:16" x14ac:dyDescent="0.25">
      <c r="A922" s="10">
        <v>38960</v>
      </c>
      <c r="B922">
        <v>-790.03753999999049</v>
      </c>
      <c r="C922">
        <v>50.291156000000001</v>
      </c>
      <c r="D922">
        <v>-250.00000000553999</v>
      </c>
      <c r="E922">
        <v>250.00000000553999</v>
      </c>
      <c r="F922">
        <v>0</v>
      </c>
      <c r="G922">
        <v>-7.4730720000000588</v>
      </c>
      <c r="H922">
        <v>-828.52318900000046</v>
      </c>
      <c r="I922">
        <v>0</v>
      </c>
      <c r="J922">
        <v>0</v>
      </c>
      <c r="K922">
        <v>1.05</v>
      </c>
      <c r="L922">
        <v>0</v>
      </c>
      <c r="M922">
        <v>0</v>
      </c>
      <c r="N922">
        <v>0</v>
      </c>
      <c r="O922">
        <v>-5.3824349999899823</v>
      </c>
      <c r="P922">
        <v>65616.742875900003</v>
      </c>
    </row>
    <row r="923" spans="1:16" x14ac:dyDescent="0.25">
      <c r="A923" s="10">
        <v>38961</v>
      </c>
      <c r="B923">
        <v>2066.1899580000031</v>
      </c>
      <c r="C923">
        <v>157.12204500000001</v>
      </c>
      <c r="D923">
        <v>0</v>
      </c>
      <c r="E923">
        <v>0</v>
      </c>
      <c r="F923">
        <v>0</v>
      </c>
      <c r="G923">
        <v>6.1668659999999988</v>
      </c>
      <c r="H923">
        <v>1849.882887615001</v>
      </c>
      <c r="I923">
        <v>0</v>
      </c>
      <c r="J923">
        <v>0</v>
      </c>
      <c r="K923">
        <v>1.23</v>
      </c>
      <c r="L923">
        <v>40.729999999999997</v>
      </c>
      <c r="M923">
        <v>0</v>
      </c>
      <c r="N923">
        <v>0</v>
      </c>
      <c r="O923">
        <v>11.058159385002</v>
      </c>
      <c r="P923">
        <v>67682.932833900006</v>
      </c>
    </row>
    <row r="924" spans="1:16" x14ac:dyDescent="0.25">
      <c r="A924" s="10">
        <v>38964</v>
      </c>
      <c r="B924">
        <v>145.84422699999411</v>
      </c>
      <c r="C924">
        <v>1.1450499999999999</v>
      </c>
      <c r="D924">
        <v>0</v>
      </c>
      <c r="E924">
        <v>0</v>
      </c>
      <c r="F924">
        <v>0</v>
      </c>
      <c r="G924">
        <v>2.7792589999999988</v>
      </c>
      <c r="H924">
        <v>475.42151199999898</v>
      </c>
      <c r="I924">
        <v>0</v>
      </c>
      <c r="J924">
        <v>-253.11</v>
      </c>
      <c r="K924">
        <v>-20.040000000000202</v>
      </c>
      <c r="L924">
        <v>0</v>
      </c>
      <c r="M924">
        <v>0</v>
      </c>
      <c r="N924">
        <v>0</v>
      </c>
      <c r="O924">
        <v>-60.351594000004638</v>
      </c>
      <c r="P924">
        <v>67828.7770609</v>
      </c>
    </row>
    <row r="925" spans="1:16" x14ac:dyDescent="0.25">
      <c r="A925" s="10">
        <v>38965</v>
      </c>
      <c r="B925">
        <v>252.44281199999401</v>
      </c>
      <c r="C925">
        <v>156.615928</v>
      </c>
      <c r="D925">
        <v>0</v>
      </c>
      <c r="E925">
        <v>0</v>
      </c>
      <c r="F925">
        <v>0</v>
      </c>
      <c r="G925">
        <v>-7.1391569999999973</v>
      </c>
      <c r="H925">
        <v>51.800439999999981</v>
      </c>
      <c r="I925">
        <v>0</v>
      </c>
      <c r="J925">
        <v>0</v>
      </c>
      <c r="K925">
        <v>0.41</v>
      </c>
      <c r="L925">
        <v>0</v>
      </c>
      <c r="M925">
        <v>0</v>
      </c>
      <c r="N925">
        <v>0</v>
      </c>
      <c r="O925">
        <v>50.75560099999408</v>
      </c>
      <c r="P925">
        <v>68081.219872899994</v>
      </c>
    </row>
    <row r="926" spans="1:16" x14ac:dyDescent="0.25">
      <c r="A926" s="10">
        <v>38966</v>
      </c>
      <c r="B926">
        <v>-151.97491299999811</v>
      </c>
      <c r="C926">
        <v>101.967979</v>
      </c>
      <c r="D926">
        <v>0</v>
      </c>
      <c r="E926">
        <v>0</v>
      </c>
      <c r="F926">
        <v>0</v>
      </c>
      <c r="G926">
        <v>-2.713143000000001</v>
      </c>
      <c r="H926">
        <v>261.97186799999957</v>
      </c>
      <c r="I926">
        <v>0</v>
      </c>
      <c r="J926">
        <v>0</v>
      </c>
      <c r="K926">
        <v>0.79</v>
      </c>
      <c r="L926">
        <v>-511.76</v>
      </c>
      <c r="M926">
        <v>0</v>
      </c>
      <c r="N926">
        <v>0</v>
      </c>
      <c r="O926">
        <v>-2.231616999997811</v>
      </c>
      <c r="P926">
        <v>67929.244959899996</v>
      </c>
    </row>
    <row r="927" spans="1:16" x14ac:dyDescent="0.25">
      <c r="A927" s="10">
        <v>38967</v>
      </c>
      <c r="B927">
        <v>208.1934949999995</v>
      </c>
      <c r="C927">
        <v>-10.685</v>
      </c>
      <c r="D927">
        <v>0</v>
      </c>
      <c r="E927">
        <v>0</v>
      </c>
      <c r="F927">
        <v>0</v>
      </c>
      <c r="G927">
        <v>-107.64863099999999</v>
      </c>
      <c r="H927">
        <v>315.23873100000128</v>
      </c>
      <c r="I927">
        <v>0</v>
      </c>
      <c r="J927">
        <v>0</v>
      </c>
      <c r="K927">
        <v>1.17</v>
      </c>
      <c r="L927">
        <v>22.7</v>
      </c>
      <c r="M927">
        <v>0</v>
      </c>
      <c r="N927">
        <v>0</v>
      </c>
      <c r="O927">
        <v>-12.581605000001771</v>
      </c>
      <c r="P927">
        <v>68137.438454899995</v>
      </c>
    </row>
    <row r="928" spans="1:16" x14ac:dyDescent="0.25">
      <c r="A928" s="10">
        <v>38968</v>
      </c>
      <c r="B928">
        <v>229.3862970000045</v>
      </c>
      <c r="C928">
        <v>190.78899999999999</v>
      </c>
      <c r="D928">
        <v>0</v>
      </c>
      <c r="E928">
        <v>-350</v>
      </c>
      <c r="F928">
        <v>0</v>
      </c>
      <c r="G928">
        <v>-131.44684899999999</v>
      </c>
      <c r="H928">
        <v>476.66977299999962</v>
      </c>
      <c r="I928">
        <v>0</v>
      </c>
      <c r="J928">
        <v>0</v>
      </c>
      <c r="K928">
        <v>0.48</v>
      </c>
      <c r="L928">
        <v>50.13</v>
      </c>
      <c r="M928">
        <v>0</v>
      </c>
      <c r="N928">
        <v>0</v>
      </c>
      <c r="O928">
        <v>-7.2356269999951337</v>
      </c>
      <c r="P928">
        <v>68366.8247519</v>
      </c>
    </row>
    <row r="929" spans="1:16" x14ac:dyDescent="0.25">
      <c r="A929" s="10">
        <v>38971</v>
      </c>
      <c r="B929">
        <v>337.6711950000024</v>
      </c>
      <c r="C929">
        <v>137.65430000000001</v>
      </c>
      <c r="D929">
        <v>0</v>
      </c>
      <c r="E929">
        <v>0</v>
      </c>
      <c r="F929">
        <v>0</v>
      </c>
      <c r="G929">
        <v>10.26345000000001</v>
      </c>
      <c r="H929">
        <v>164.40005499999961</v>
      </c>
      <c r="I929">
        <v>0</v>
      </c>
      <c r="J929">
        <v>0</v>
      </c>
      <c r="K929">
        <v>0.47</v>
      </c>
      <c r="L929">
        <v>2.4700000000000002</v>
      </c>
      <c r="M929">
        <v>0</v>
      </c>
      <c r="N929">
        <v>0</v>
      </c>
      <c r="O929">
        <v>22.413390000002771</v>
      </c>
      <c r="P929">
        <v>68704.495946900002</v>
      </c>
    </row>
    <row r="930" spans="1:16" x14ac:dyDescent="0.25">
      <c r="A930" s="10">
        <v>38972</v>
      </c>
      <c r="B930">
        <v>39.467840999990202</v>
      </c>
      <c r="C930">
        <v>152.385931</v>
      </c>
      <c r="D930">
        <v>0</v>
      </c>
      <c r="E930">
        <v>0</v>
      </c>
      <c r="F930">
        <v>0</v>
      </c>
      <c r="G930">
        <v>52.116607000000037</v>
      </c>
      <c r="H930">
        <v>-158.9033800000002</v>
      </c>
      <c r="I930">
        <v>0</v>
      </c>
      <c r="J930">
        <v>0</v>
      </c>
      <c r="K930">
        <v>0.37</v>
      </c>
      <c r="L930">
        <v>0</v>
      </c>
      <c r="M930">
        <v>0</v>
      </c>
      <c r="N930">
        <v>0</v>
      </c>
      <c r="O930">
        <v>-6.5013170000096387</v>
      </c>
      <c r="P930">
        <v>68743.963787899993</v>
      </c>
    </row>
    <row r="931" spans="1:16" x14ac:dyDescent="0.25">
      <c r="A931" s="10">
        <v>38973</v>
      </c>
      <c r="B931">
        <v>207.02169600001091</v>
      </c>
      <c r="C931">
        <v>-2.5594099999999989</v>
      </c>
      <c r="D931">
        <v>0</v>
      </c>
      <c r="E931">
        <v>0</v>
      </c>
      <c r="F931">
        <v>0</v>
      </c>
      <c r="G931">
        <v>38.686406000000012</v>
      </c>
      <c r="H931">
        <v>210.81917799999971</v>
      </c>
      <c r="I931">
        <v>0</v>
      </c>
      <c r="J931">
        <v>0</v>
      </c>
      <c r="K931">
        <v>0.45</v>
      </c>
      <c r="L931">
        <v>-40.229999999999997</v>
      </c>
      <c r="M931">
        <v>0</v>
      </c>
      <c r="N931">
        <v>0</v>
      </c>
      <c r="O931">
        <v>-0.14447799998888169</v>
      </c>
      <c r="P931">
        <v>68950.985483900004</v>
      </c>
    </row>
    <row r="932" spans="1:16" x14ac:dyDescent="0.25">
      <c r="A932" s="10">
        <v>38974</v>
      </c>
      <c r="B932">
        <v>418.13173399999528</v>
      </c>
      <c r="C932">
        <v>195.81079399999999</v>
      </c>
      <c r="D932">
        <v>0</v>
      </c>
      <c r="E932">
        <v>0</v>
      </c>
      <c r="F932">
        <v>0</v>
      </c>
      <c r="G932">
        <v>-53.666687999999994</v>
      </c>
      <c r="H932">
        <v>274.75529500000039</v>
      </c>
      <c r="I932">
        <v>0</v>
      </c>
      <c r="J932">
        <v>0</v>
      </c>
      <c r="K932">
        <v>0.55000000000000004</v>
      </c>
      <c r="L932">
        <v>0</v>
      </c>
      <c r="M932">
        <v>0</v>
      </c>
      <c r="N932">
        <v>0</v>
      </c>
      <c r="O932">
        <v>0.68233299999496921</v>
      </c>
      <c r="P932">
        <v>69369.117217899999</v>
      </c>
    </row>
    <row r="933" spans="1:16" x14ac:dyDescent="0.25">
      <c r="A933" s="10">
        <v>38975</v>
      </c>
      <c r="B933">
        <v>500.21455000000441</v>
      </c>
      <c r="C933">
        <v>182.250282</v>
      </c>
      <c r="D933">
        <v>0</v>
      </c>
      <c r="E933">
        <v>0</v>
      </c>
      <c r="F933">
        <v>0</v>
      </c>
      <c r="G933">
        <v>0.5160320000000036</v>
      </c>
      <c r="H933">
        <v>253.92911799999999</v>
      </c>
      <c r="I933">
        <v>0</v>
      </c>
      <c r="J933">
        <v>0</v>
      </c>
      <c r="K933">
        <v>0.39</v>
      </c>
      <c r="L933">
        <v>61.74</v>
      </c>
      <c r="M933">
        <v>0</v>
      </c>
      <c r="N933">
        <v>0</v>
      </c>
      <c r="O933">
        <v>1.389118000004373</v>
      </c>
      <c r="P933">
        <v>69869.331767900003</v>
      </c>
    </row>
    <row r="934" spans="1:16" x14ac:dyDescent="0.25">
      <c r="A934" s="10">
        <v>38978</v>
      </c>
      <c r="B934">
        <v>3.0411250000036669</v>
      </c>
      <c r="C934">
        <v>147.12618800000001</v>
      </c>
      <c r="D934">
        <v>0</v>
      </c>
      <c r="E934">
        <v>0</v>
      </c>
      <c r="F934">
        <v>0</v>
      </c>
      <c r="G934">
        <v>-8.5101110000000055</v>
      </c>
      <c r="H934">
        <v>-132.82093099999969</v>
      </c>
      <c r="I934">
        <v>0</v>
      </c>
      <c r="J934">
        <v>0</v>
      </c>
      <c r="K934">
        <v>0.32</v>
      </c>
      <c r="L934">
        <v>0</v>
      </c>
      <c r="M934">
        <v>0</v>
      </c>
      <c r="N934">
        <v>0</v>
      </c>
      <c r="O934">
        <v>-3.0740209999966051</v>
      </c>
      <c r="P934">
        <v>69872.372892900006</v>
      </c>
    </row>
    <row r="935" spans="1:16" x14ac:dyDescent="0.25">
      <c r="A935" s="10">
        <v>38979</v>
      </c>
      <c r="B935">
        <v>9.239279000001078</v>
      </c>
      <c r="C935">
        <v>122.888065</v>
      </c>
      <c r="D935">
        <v>0</v>
      </c>
      <c r="E935">
        <v>0</v>
      </c>
      <c r="F935">
        <v>0</v>
      </c>
      <c r="G935">
        <v>82.520250999999988</v>
      </c>
      <c r="H935">
        <v>-198.97305899999989</v>
      </c>
      <c r="I935">
        <v>0</v>
      </c>
      <c r="J935">
        <v>0</v>
      </c>
      <c r="K935">
        <v>0.55000000000000004</v>
      </c>
      <c r="L935">
        <v>1.98</v>
      </c>
      <c r="M935">
        <v>0</v>
      </c>
      <c r="N935">
        <v>0</v>
      </c>
      <c r="O935">
        <v>0.27402200000098631</v>
      </c>
      <c r="P935">
        <v>69881.612171900008</v>
      </c>
    </row>
    <row r="936" spans="1:16" x14ac:dyDescent="0.25">
      <c r="A936" s="10">
        <v>38980</v>
      </c>
      <c r="B936">
        <v>-106.99925999999689</v>
      </c>
      <c r="C936">
        <v>93.406786999999994</v>
      </c>
      <c r="D936">
        <v>0</v>
      </c>
      <c r="E936">
        <v>0</v>
      </c>
      <c r="F936">
        <v>0</v>
      </c>
      <c r="G936">
        <v>-40.392253999999987</v>
      </c>
      <c r="H936">
        <v>20.414107999999938</v>
      </c>
      <c r="I936">
        <v>0</v>
      </c>
      <c r="J936">
        <v>0</v>
      </c>
      <c r="K936">
        <v>0.44</v>
      </c>
      <c r="L936">
        <v>-200.57</v>
      </c>
      <c r="M936">
        <v>0</v>
      </c>
      <c r="N936">
        <v>0</v>
      </c>
      <c r="O936">
        <v>19.702099000003141</v>
      </c>
      <c r="P936">
        <v>69774.612911900011</v>
      </c>
    </row>
    <row r="937" spans="1:16" x14ac:dyDescent="0.25">
      <c r="A937" s="10">
        <v>38981</v>
      </c>
      <c r="B937">
        <v>-86.310526000000806</v>
      </c>
      <c r="C937">
        <v>-34.560918000000001</v>
      </c>
      <c r="D937">
        <v>0</v>
      </c>
      <c r="E937">
        <v>0</v>
      </c>
      <c r="F937">
        <v>0</v>
      </c>
      <c r="G937">
        <v>-61.051298699999982</v>
      </c>
      <c r="H937">
        <v>7.3528298999999606</v>
      </c>
      <c r="I937">
        <v>0</v>
      </c>
      <c r="J937">
        <v>0</v>
      </c>
      <c r="K937">
        <v>0.09</v>
      </c>
      <c r="L937">
        <v>0</v>
      </c>
      <c r="M937">
        <v>0</v>
      </c>
      <c r="N937">
        <v>0</v>
      </c>
      <c r="O937">
        <v>1.8588607999992059</v>
      </c>
      <c r="P937">
        <v>69688.30238590001</v>
      </c>
    </row>
    <row r="938" spans="1:16" x14ac:dyDescent="0.25">
      <c r="A938" s="10">
        <v>38982</v>
      </c>
      <c r="B938">
        <v>59.743257999987833</v>
      </c>
      <c r="C938">
        <v>174.49401700000001</v>
      </c>
      <c r="D938">
        <v>0</v>
      </c>
      <c r="E938">
        <v>-170</v>
      </c>
      <c r="F938">
        <v>0</v>
      </c>
      <c r="G938">
        <v>-13.16036530000002</v>
      </c>
      <c r="H938">
        <v>66.711068000000068</v>
      </c>
      <c r="I938">
        <v>0</v>
      </c>
      <c r="J938">
        <v>0</v>
      </c>
      <c r="K938">
        <v>0.16</v>
      </c>
      <c r="L938">
        <v>0</v>
      </c>
      <c r="M938">
        <v>0</v>
      </c>
      <c r="N938">
        <v>0</v>
      </c>
      <c r="O938">
        <v>1.538538299987805</v>
      </c>
      <c r="P938">
        <v>69748.045643899997</v>
      </c>
    </row>
    <row r="939" spans="1:16" x14ac:dyDescent="0.25">
      <c r="A939" s="10">
        <v>38985</v>
      </c>
      <c r="B939">
        <v>625.91719300000102</v>
      </c>
      <c r="C939">
        <v>203.249347</v>
      </c>
      <c r="D939">
        <v>0</v>
      </c>
      <c r="E939">
        <v>0</v>
      </c>
      <c r="F939">
        <v>0</v>
      </c>
      <c r="G939">
        <v>32.370483999999983</v>
      </c>
      <c r="H939">
        <v>390.2735389999998</v>
      </c>
      <c r="I939">
        <v>0</v>
      </c>
      <c r="J939">
        <v>0</v>
      </c>
      <c r="K939">
        <v>0.32</v>
      </c>
      <c r="L939">
        <v>0</v>
      </c>
      <c r="M939">
        <v>0</v>
      </c>
      <c r="N939">
        <v>0</v>
      </c>
      <c r="O939">
        <v>-0.29617699999875641</v>
      </c>
      <c r="P939">
        <v>70373.962836899998</v>
      </c>
    </row>
    <row r="940" spans="1:16" x14ac:dyDescent="0.25">
      <c r="A940" s="10">
        <v>38986</v>
      </c>
      <c r="B940">
        <v>285.93132899999921</v>
      </c>
      <c r="C940">
        <v>12.292837</v>
      </c>
      <c r="D940">
        <v>0</v>
      </c>
      <c r="E940">
        <v>0</v>
      </c>
      <c r="F940">
        <v>0</v>
      </c>
      <c r="G940">
        <v>-17.303802999999991</v>
      </c>
      <c r="H940">
        <v>288.39596800000032</v>
      </c>
      <c r="I940">
        <v>0</v>
      </c>
      <c r="J940">
        <v>0</v>
      </c>
      <c r="K940">
        <v>0.39</v>
      </c>
      <c r="L940">
        <v>0</v>
      </c>
      <c r="M940">
        <v>0</v>
      </c>
      <c r="N940">
        <v>0</v>
      </c>
      <c r="O940">
        <v>2.1563269999989529</v>
      </c>
      <c r="P940">
        <v>70659.894165899997</v>
      </c>
    </row>
    <row r="941" spans="1:16" x14ac:dyDescent="0.25">
      <c r="A941" s="10">
        <v>38987</v>
      </c>
      <c r="B941">
        <v>-586.31671199999982</v>
      </c>
      <c r="C941">
        <v>-12.000598999999999</v>
      </c>
      <c r="D941">
        <v>0</v>
      </c>
      <c r="E941">
        <v>0</v>
      </c>
      <c r="F941">
        <v>0</v>
      </c>
      <c r="G941">
        <v>11.755163999999979</v>
      </c>
      <c r="H941">
        <v>-383.92575299999999</v>
      </c>
      <c r="I941">
        <v>0</v>
      </c>
      <c r="J941">
        <v>0</v>
      </c>
      <c r="K941">
        <v>0.44</v>
      </c>
      <c r="L941">
        <v>-210.68</v>
      </c>
      <c r="M941">
        <v>0</v>
      </c>
      <c r="N941">
        <v>0</v>
      </c>
      <c r="O941">
        <v>8.0944760000002134</v>
      </c>
      <c r="P941">
        <v>70073.577453899998</v>
      </c>
    </row>
    <row r="942" spans="1:16" x14ac:dyDescent="0.25">
      <c r="A942" s="10">
        <v>38988</v>
      </c>
      <c r="B942">
        <v>794.27856800000882</v>
      </c>
      <c r="C942">
        <v>0.75394600000000001</v>
      </c>
      <c r="D942">
        <v>0</v>
      </c>
      <c r="E942">
        <v>530</v>
      </c>
      <c r="F942">
        <v>0</v>
      </c>
      <c r="G942">
        <v>207.285493</v>
      </c>
      <c r="H942">
        <v>4.5246009999996204</v>
      </c>
      <c r="I942">
        <v>0</v>
      </c>
      <c r="J942">
        <v>0</v>
      </c>
      <c r="K942">
        <v>0</v>
      </c>
      <c r="L942">
        <v>49.57</v>
      </c>
      <c r="M942">
        <v>0</v>
      </c>
      <c r="N942">
        <v>0</v>
      </c>
      <c r="O942">
        <v>2.144528000009132</v>
      </c>
      <c r="P942">
        <v>70867.856021900006</v>
      </c>
    </row>
    <row r="943" spans="1:16" x14ac:dyDescent="0.25">
      <c r="A943" s="10">
        <v>38989</v>
      </c>
      <c r="B943">
        <v>-1440.4705830000021</v>
      </c>
      <c r="C943">
        <v>15.969967</v>
      </c>
      <c r="D943">
        <v>0</v>
      </c>
      <c r="E943">
        <v>0</v>
      </c>
      <c r="F943">
        <v>0</v>
      </c>
      <c r="G943">
        <v>-201.71589499999999</v>
      </c>
      <c r="H943">
        <v>-1305.8345119999999</v>
      </c>
      <c r="I943">
        <v>0</v>
      </c>
      <c r="J943">
        <v>0</v>
      </c>
      <c r="K943">
        <v>0.36</v>
      </c>
      <c r="L943">
        <v>56.65</v>
      </c>
      <c r="M943">
        <v>0</v>
      </c>
      <c r="N943">
        <v>0</v>
      </c>
      <c r="O943">
        <v>-5.9001430000023447</v>
      </c>
      <c r="P943">
        <v>69427.385438900004</v>
      </c>
    </row>
    <row r="944" spans="1:16" x14ac:dyDescent="0.25">
      <c r="A944" s="10">
        <v>38992</v>
      </c>
      <c r="B944">
        <v>862.141307999991</v>
      </c>
      <c r="C944">
        <v>66.516389000000004</v>
      </c>
      <c r="D944">
        <v>0</v>
      </c>
      <c r="E944">
        <v>-395.1</v>
      </c>
      <c r="F944">
        <v>0</v>
      </c>
      <c r="G944">
        <v>99.471073000000047</v>
      </c>
      <c r="H944">
        <v>1087.7890110000001</v>
      </c>
      <c r="I944">
        <v>0</v>
      </c>
      <c r="J944">
        <v>0</v>
      </c>
      <c r="K944">
        <v>0.67999999999999994</v>
      </c>
      <c r="L944">
        <v>0</v>
      </c>
      <c r="M944">
        <v>0</v>
      </c>
      <c r="N944">
        <v>0</v>
      </c>
      <c r="O944">
        <v>2.7848349999906761</v>
      </c>
      <c r="P944">
        <v>70289.526746899995</v>
      </c>
    </row>
    <row r="945" spans="1:16" x14ac:dyDescent="0.25">
      <c r="A945" s="10">
        <v>38993</v>
      </c>
      <c r="B945">
        <v>-31.091151999993301</v>
      </c>
      <c r="C945">
        <v>113.26266800000001</v>
      </c>
      <c r="D945">
        <v>0</v>
      </c>
      <c r="E945">
        <v>0</v>
      </c>
      <c r="F945">
        <v>0</v>
      </c>
      <c r="G945">
        <v>-0.95375199999999438</v>
      </c>
      <c r="H945">
        <v>-27.63485400000036</v>
      </c>
      <c r="I945">
        <v>0</v>
      </c>
      <c r="J945">
        <v>-105.52</v>
      </c>
      <c r="K945">
        <v>-18.08000000000002</v>
      </c>
      <c r="L945">
        <v>1.93</v>
      </c>
      <c r="M945">
        <v>0</v>
      </c>
      <c r="N945">
        <v>0</v>
      </c>
      <c r="O945">
        <v>5.9047860000071113</v>
      </c>
      <c r="P945">
        <v>70258.435594900002</v>
      </c>
    </row>
    <row r="946" spans="1:16" x14ac:dyDescent="0.25">
      <c r="A946" s="10">
        <v>38994</v>
      </c>
      <c r="B946">
        <v>-2.5607219999948261</v>
      </c>
      <c r="C946">
        <v>138.45099999999999</v>
      </c>
      <c r="D946">
        <v>0</v>
      </c>
      <c r="E946">
        <v>0</v>
      </c>
      <c r="F946">
        <v>0</v>
      </c>
      <c r="G946">
        <v>-4.1647760000000034</v>
      </c>
      <c r="H946">
        <v>-598.43161199999986</v>
      </c>
      <c r="I946">
        <v>0</v>
      </c>
      <c r="J946">
        <v>0</v>
      </c>
      <c r="K946">
        <v>0.4</v>
      </c>
      <c r="L946">
        <v>524.53</v>
      </c>
      <c r="M946">
        <v>0</v>
      </c>
      <c r="N946">
        <v>0</v>
      </c>
      <c r="O946">
        <v>-63.345333999994921</v>
      </c>
      <c r="P946">
        <v>70255.874872900007</v>
      </c>
    </row>
    <row r="947" spans="1:16" x14ac:dyDescent="0.25">
      <c r="A947" s="10">
        <v>38995</v>
      </c>
      <c r="B947">
        <v>478.99862600000029</v>
      </c>
      <c r="C947">
        <v>169.31910300000001</v>
      </c>
      <c r="D947">
        <v>0</v>
      </c>
      <c r="E947">
        <v>0</v>
      </c>
      <c r="F947">
        <v>0</v>
      </c>
      <c r="G947">
        <v>-4.9451010000000011</v>
      </c>
      <c r="H947">
        <v>252.74909899999969</v>
      </c>
      <c r="I947">
        <v>0</v>
      </c>
      <c r="J947">
        <v>0</v>
      </c>
      <c r="K947">
        <v>0.34</v>
      </c>
      <c r="L947">
        <v>1.93</v>
      </c>
      <c r="M947">
        <v>0</v>
      </c>
      <c r="N947">
        <v>0</v>
      </c>
      <c r="O947">
        <v>59.605525000000668</v>
      </c>
      <c r="P947">
        <v>70734.873498900008</v>
      </c>
    </row>
    <row r="948" spans="1:16" x14ac:dyDescent="0.25">
      <c r="A948" s="10">
        <v>38996</v>
      </c>
      <c r="B948">
        <v>547.89684100000875</v>
      </c>
      <c r="C948">
        <v>170.24933100000001</v>
      </c>
      <c r="D948">
        <v>-499.99999999982703</v>
      </c>
      <c r="E948">
        <v>999.99999999965394</v>
      </c>
      <c r="F948">
        <v>0</v>
      </c>
      <c r="G948">
        <v>-110.99966399982689</v>
      </c>
      <c r="H948">
        <v>-17.943141999999629</v>
      </c>
      <c r="I948">
        <v>0</v>
      </c>
      <c r="J948">
        <v>0</v>
      </c>
      <c r="K948">
        <v>0.44</v>
      </c>
      <c r="L948">
        <v>3.84</v>
      </c>
      <c r="M948">
        <v>0</v>
      </c>
      <c r="N948">
        <v>0</v>
      </c>
      <c r="O948">
        <v>2.310316000008243</v>
      </c>
      <c r="P948">
        <v>71282.770339900017</v>
      </c>
    </row>
    <row r="949" spans="1:16" x14ac:dyDescent="0.25">
      <c r="A949" s="10">
        <v>38999</v>
      </c>
      <c r="B949">
        <v>-672.76572700001998</v>
      </c>
      <c r="C949">
        <v>1.7090000000000001</v>
      </c>
      <c r="D949">
        <v>0</v>
      </c>
      <c r="E949">
        <v>-516</v>
      </c>
      <c r="F949">
        <v>0</v>
      </c>
      <c r="G949">
        <v>-119.059459</v>
      </c>
      <c r="H949">
        <v>-39.512471999999427</v>
      </c>
      <c r="I949">
        <v>0</v>
      </c>
      <c r="J949">
        <v>0</v>
      </c>
      <c r="K949">
        <v>0.46</v>
      </c>
      <c r="L949">
        <v>0</v>
      </c>
      <c r="M949">
        <v>0</v>
      </c>
      <c r="N949">
        <v>0</v>
      </c>
      <c r="O949">
        <v>-0.36279600002063489</v>
      </c>
      <c r="P949">
        <v>70610.004612899997</v>
      </c>
    </row>
    <row r="950" spans="1:16" x14ac:dyDescent="0.25">
      <c r="A950" s="10">
        <v>39000</v>
      </c>
      <c r="B950">
        <v>262.83062399999511</v>
      </c>
      <c r="C950">
        <v>144.639385</v>
      </c>
      <c r="D950">
        <v>0</v>
      </c>
      <c r="E950">
        <v>0</v>
      </c>
      <c r="F950">
        <v>0</v>
      </c>
      <c r="G950">
        <v>56.904586999999992</v>
      </c>
      <c r="H950">
        <v>56.151680999999833</v>
      </c>
      <c r="I950">
        <v>0</v>
      </c>
      <c r="J950">
        <v>0</v>
      </c>
      <c r="K950">
        <v>-1.1399999999999999</v>
      </c>
      <c r="L950">
        <v>0</v>
      </c>
      <c r="M950">
        <v>0</v>
      </c>
      <c r="N950">
        <v>0</v>
      </c>
      <c r="O950">
        <v>6.2749709999952188</v>
      </c>
      <c r="P950">
        <v>70872.835236899991</v>
      </c>
    </row>
    <row r="951" spans="1:16" x14ac:dyDescent="0.25">
      <c r="A951" s="10">
        <v>39001</v>
      </c>
      <c r="B951">
        <v>-335.64394599999662</v>
      </c>
      <c r="C951">
        <v>155.1036</v>
      </c>
      <c r="D951">
        <v>0</v>
      </c>
      <c r="E951">
        <v>0</v>
      </c>
      <c r="F951">
        <v>0</v>
      </c>
      <c r="G951">
        <v>43.307273999999992</v>
      </c>
      <c r="H951">
        <v>259.1783019999998</v>
      </c>
      <c r="I951">
        <v>0</v>
      </c>
      <c r="J951">
        <v>0</v>
      </c>
      <c r="K951">
        <v>0.40200000000000002</v>
      </c>
      <c r="L951">
        <v>-791.77275800000098</v>
      </c>
      <c r="M951">
        <v>0</v>
      </c>
      <c r="N951">
        <v>0</v>
      </c>
      <c r="O951">
        <v>-1.862363999995353</v>
      </c>
      <c r="P951">
        <v>70537.191290899995</v>
      </c>
    </row>
    <row r="952" spans="1:16" x14ac:dyDescent="0.25">
      <c r="A952" s="10">
        <v>39002</v>
      </c>
      <c r="B952">
        <v>82.402325200004199</v>
      </c>
      <c r="C952">
        <v>183.168845</v>
      </c>
      <c r="D952">
        <v>0</v>
      </c>
      <c r="E952">
        <v>0</v>
      </c>
      <c r="F952">
        <v>0</v>
      </c>
      <c r="G952">
        <v>-7.0397659999999931</v>
      </c>
      <c r="H952">
        <v>-140.63259999999991</v>
      </c>
      <c r="I952">
        <v>0</v>
      </c>
      <c r="J952">
        <v>0</v>
      </c>
      <c r="K952">
        <v>0.42</v>
      </c>
      <c r="L952">
        <v>53.32</v>
      </c>
      <c r="M952">
        <v>0</v>
      </c>
      <c r="N952">
        <v>0</v>
      </c>
      <c r="O952">
        <v>-6.8341537999959137</v>
      </c>
      <c r="P952">
        <v>70619.593616099999</v>
      </c>
    </row>
    <row r="953" spans="1:16" x14ac:dyDescent="0.25">
      <c r="A953" s="10">
        <v>39003</v>
      </c>
      <c r="B953">
        <v>295.32748279999942</v>
      </c>
      <c r="C953">
        <v>223.05255500000001</v>
      </c>
      <c r="D953">
        <v>0</v>
      </c>
      <c r="E953">
        <v>0</v>
      </c>
      <c r="F953">
        <v>0</v>
      </c>
      <c r="G953">
        <v>-101.674609</v>
      </c>
      <c r="H953">
        <v>172.41811400000009</v>
      </c>
      <c r="I953">
        <v>0</v>
      </c>
      <c r="J953">
        <v>0</v>
      </c>
      <c r="K953">
        <v>0.5</v>
      </c>
      <c r="L953">
        <v>0</v>
      </c>
      <c r="M953">
        <v>0</v>
      </c>
      <c r="N953">
        <v>0</v>
      </c>
      <c r="O953">
        <v>1.031422799999405</v>
      </c>
      <c r="P953">
        <v>70914.921098899998</v>
      </c>
    </row>
    <row r="954" spans="1:16" x14ac:dyDescent="0.25">
      <c r="A954" s="10">
        <v>39007</v>
      </c>
      <c r="B954">
        <v>194.84988799999689</v>
      </c>
      <c r="C954">
        <v>225.90699900000001</v>
      </c>
      <c r="D954">
        <v>0</v>
      </c>
      <c r="E954">
        <v>0</v>
      </c>
      <c r="F954">
        <v>0</v>
      </c>
      <c r="G954">
        <v>1.127493999999982</v>
      </c>
      <c r="H954">
        <v>-32.178918999999951</v>
      </c>
      <c r="I954">
        <v>0</v>
      </c>
      <c r="J954">
        <v>0</v>
      </c>
      <c r="K954">
        <v>0.84</v>
      </c>
      <c r="L954">
        <v>0</v>
      </c>
      <c r="M954">
        <v>0</v>
      </c>
      <c r="N954">
        <v>0</v>
      </c>
      <c r="O954">
        <v>-0.84568600000315541</v>
      </c>
      <c r="P954">
        <v>71109.770986899995</v>
      </c>
    </row>
    <row r="955" spans="1:16" x14ac:dyDescent="0.25">
      <c r="A955" s="10">
        <v>39008</v>
      </c>
      <c r="B955">
        <v>18.200038000010299</v>
      </c>
      <c r="C955">
        <v>267.567926</v>
      </c>
      <c r="D955">
        <v>0</v>
      </c>
      <c r="E955">
        <v>0</v>
      </c>
      <c r="F955">
        <v>0</v>
      </c>
      <c r="G955">
        <v>47.332089999999987</v>
      </c>
      <c r="H955">
        <v>329.02124700000007</v>
      </c>
      <c r="I955">
        <v>0</v>
      </c>
      <c r="J955">
        <v>0</v>
      </c>
      <c r="K955">
        <v>10.57</v>
      </c>
      <c r="L955">
        <v>-658.29</v>
      </c>
      <c r="M955">
        <v>0</v>
      </c>
      <c r="N955">
        <v>0</v>
      </c>
      <c r="O955">
        <v>21.998775000010031</v>
      </c>
      <c r="P955">
        <v>71127.971024900005</v>
      </c>
    </row>
    <row r="956" spans="1:16" x14ac:dyDescent="0.25">
      <c r="A956" s="10">
        <v>39009</v>
      </c>
      <c r="B956">
        <v>-75.968515999993201</v>
      </c>
      <c r="C956">
        <v>148.84683899999999</v>
      </c>
      <c r="D956">
        <v>0</v>
      </c>
      <c r="E956">
        <v>0</v>
      </c>
      <c r="F956">
        <v>0</v>
      </c>
      <c r="G956">
        <v>86.571564000000023</v>
      </c>
      <c r="H956">
        <v>-384.34862600000002</v>
      </c>
      <c r="I956">
        <v>0</v>
      </c>
      <c r="J956">
        <v>0</v>
      </c>
      <c r="K956">
        <v>0.61</v>
      </c>
      <c r="L956">
        <v>78.5</v>
      </c>
      <c r="M956">
        <v>0</v>
      </c>
      <c r="N956">
        <v>0</v>
      </c>
      <c r="O956">
        <v>-6.1482929999932621</v>
      </c>
      <c r="P956">
        <v>71052.002508900012</v>
      </c>
    </row>
    <row r="957" spans="1:16" x14ac:dyDescent="0.25">
      <c r="A957" s="10">
        <v>39010</v>
      </c>
      <c r="B957">
        <v>-333.20248500001588</v>
      </c>
      <c r="C957">
        <v>183.00238200000001</v>
      </c>
      <c r="D957">
        <v>0</v>
      </c>
      <c r="E957">
        <v>0</v>
      </c>
      <c r="F957">
        <v>0</v>
      </c>
      <c r="G957">
        <v>-10.508127</v>
      </c>
      <c r="H957">
        <v>-523.59752899999921</v>
      </c>
      <c r="I957">
        <v>0</v>
      </c>
      <c r="J957">
        <v>0</v>
      </c>
      <c r="K957">
        <v>0.47</v>
      </c>
      <c r="L957">
        <v>15.9</v>
      </c>
      <c r="M957">
        <v>0</v>
      </c>
      <c r="N957">
        <v>0</v>
      </c>
      <c r="O957">
        <v>1.530788999983258</v>
      </c>
      <c r="P957">
        <v>70718.800023899996</v>
      </c>
    </row>
    <row r="958" spans="1:16" x14ac:dyDescent="0.25">
      <c r="A958" s="10">
        <v>39013</v>
      </c>
      <c r="B958">
        <v>-1086.09516099999</v>
      </c>
      <c r="C958">
        <v>216.44870599999999</v>
      </c>
      <c r="D958">
        <v>0</v>
      </c>
      <c r="E958">
        <v>-1090</v>
      </c>
      <c r="F958">
        <v>0</v>
      </c>
      <c r="G958">
        <v>-142.92567600000001</v>
      </c>
      <c r="H958">
        <v>-69.790101999999479</v>
      </c>
      <c r="I958">
        <v>0</v>
      </c>
      <c r="J958">
        <v>0</v>
      </c>
      <c r="K958">
        <v>0.53</v>
      </c>
      <c r="L958">
        <v>0</v>
      </c>
      <c r="M958">
        <v>0</v>
      </c>
      <c r="N958">
        <v>0</v>
      </c>
      <c r="O958">
        <v>-0.35808899999085042</v>
      </c>
      <c r="P958">
        <v>69632.704862900006</v>
      </c>
    </row>
    <row r="959" spans="1:16" x14ac:dyDescent="0.25">
      <c r="A959" s="10">
        <v>39014</v>
      </c>
      <c r="B959">
        <v>238.75420799999819</v>
      </c>
      <c r="C959">
        <v>178.336692</v>
      </c>
      <c r="D959">
        <v>0</v>
      </c>
      <c r="E959">
        <v>0</v>
      </c>
      <c r="F959">
        <v>0</v>
      </c>
      <c r="G959">
        <v>14.892972999999991</v>
      </c>
      <c r="H959">
        <v>46.190017000000353</v>
      </c>
      <c r="I959">
        <v>0</v>
      </c>
      <c r="J959">
        <v>0</v>
      </c>
      <c r="K959">
        <v>0.51</v>
      </c>
      <c r="L959">
        <v>0</v>
      </c>
      <c r="M959">
        <v>0</v>
      </c>
      <c r="N959">
        <v>0</v>
      </c>
      <c r="O959">
        <v>-1.1754740000020829</v>
      </c>
      <c r="P959">
        <v>69871.459070900004</v>
      </c>
    </row>
    <row r="960" spans="1:16" x14ac:dyDescent="0.25">
      <c r="A960" s="10">
        <v>39015</v>
      </c>
      <c r="B960">
        <v>-709.92424500000186</v>
      </c>
      <c r="C960">
        <v>122.47675700000001</v>
      </c>
      <c r="D960">
        <v>0</v>
      </c>
      <c r="E960">
        <v>0</v>
      </c>
      <c r="F960">
        <v>0</v>
      </c>
      <c r="G960">
        <v>68.181773000000021</v>
      </c>
      <c r="H960">
        <v>-175.44384200000059</v>
      </c>
      <c r="I960">
        <v>0</v>
      </c>
      <c r="J960">
        <v>0</v>
      </c>
      <c r="K960">
        <v>0.14899999999999999</v>
      </c>
      <c r="L960">
        <v>-734.56</v>
      </c>
      <c r="M960">
        <v>0</v>
      </c>
      <c r="N960">
        <v>0</v>
      </c>
      <c r="O960">
        <v>9.2720669999986427</v>
      </c>
      <c r="P960">
        <v>69161.534825900002</v>
      </c>
    </row>
    <row r="961" spans="1:16" x14ac:dyDescent="0.25">
      <c r="A961" s="10">
        <v>39016</v>
      </c>
      <c r="B961">
        <v>-926.29763099999457</v>
      </c>
      <c r="C961">
        <v>163.099752</v>
      </c>
      <c r="D961">
        <v>0</v>
      </c>
      <c r="E961">
        <v>0</v>
      </c>
      <c r="F961">
        <v>0</v>
      </c>
      <c r="G961">
        <v>-7.1997700000000231</v>
      </c>
      <c r="H961">
        <v>-1023.04543</v>
      </c>
      <c r="I961">
        <v>0</v>
      </c>
      <c r="J961">
        <v>0</v>
      </c>
      <c r="K961">
        <v>0.15</v>
      </c>
      <c r="L961">
        <v>10.23</v>
      </c>
      <c r="M961">
        <v>0</v>
      </c>
      <c r="N961">
        <v>0</v>
      </c>
      <c r="O961">
        <v>-69.532182999994347</v>
      </c>
      <c r="P961">
        <v>68235.237194900008</v>
      </c>
    </row>
    <row r="962" spans="1:16" x14ac:dyDescent="0.25">
      <c r="A962" s="10">
        <v>39017</v>
      </c>
      <c r="B962">
        <v>344.06516300000652</v>
      </c>
      <c r="C962">
        <v>115.571674</v>
      </c>
      <c r="D962">
        <v>0</v>
      </c>
      <c r="E962">
        <v>1000</v>
      </c>
      <c r="F962">
        <v>0</v>
      </c>
      <c r="G962">
        <v>-142.83244402</v>
      </c>
      <c r="H962">
        <v>-646.37221700000009</v>
      </c>
      <c r="I962">
        <v>0</v>
      </c>
      <c r="J962">
        <v>0</v>
      </c>
      <c r="K962">
        <v>0.71</v>
      </c>
      <c r="L962">
        <v>9.74</v>
      </c>
      <c r="M962">
        <v>0</v>
      </c>
      <c r="N962">
        <v>0</v>
      </c>
      <c r="O962">
        <v>7.2481500200066193</v>
      </c>
      <c r="P962">
        <v>68579.302357900015</v>
      </c>
    </row>
    <row r="963" spans="1:16" x14ac:dyDescent="0.25">
      <c r="A963" s="10">
        <v>39020</v>
      </c>
      <c r="B963">
        <v>-263.54503700001749</v>
      </c>
      <c r="C963">
        <v>49.722000000000001</v>
      </c>
      <c r="D963">
        <v>0</v>
      </c>
      <c r="E963">
        <v>0</v>
      </c>
      <c r="F963">
        <v>0</v>
      </c>
      <c r="G963">
        <v>113.005465</v>
      </c>
      <c r="H963">
        <v>-428.8254280000001</v>
      </c>
      <c r="I963">
        <v>0</v>
      </c>
      <c r="J963">
        <v>0</v>
      </c>
      <c r="K963">
        <v>1.06</v>
      </c>
      <c r="L963">
        <v>0.57999999999999996</v>
      </c>
      <c r="M963">
        <v>0</v>
      </c>
      <c r="N963">
        <v>0</v>
      </c>
      <c r="O963">
        <v>0.91292599998251944</v>
      </c>
      <c r="P963">
        <v>68315.757320899997</v>
      </c>
    </row>
    <row r="964" spans="1:16" x14ac:dyDescent="0.25">
      <c r="A964" s="10">
        <v>39021</v>
      </c>
      <c r="B964">
        <v>-423.23901800000812</v>
      </c>
      <c r="C964">
        <v>189.58268899999999</v>
      </c>
      <c r="D964">
        <v>0</v>
      </c>
      <c r="E964">
        <v>0</v>
      </c>
      <c r="F964">
        <v>0</v>
      </c>
      <c r="G964">
        <v>-18.502856000000001</v>
      </c>
      <c r="H964">
        <v>-595.56034700000146</v>
      </c>
      <c r="I964">
        <v>0</v>
      </c>
      <c r="J964">
        <v>0</v>
      </c>
      <c r="K964">
        <v>0.70382800000000001</v>
      </c>
      <c r="L964">
        <v>0</v>
      </c>
      <c r="M964">
        <v>0</v>
      </c>
      <c r="N964">
        <v>0</v>
      </c>
      <c r="O964">
        <v>0.5376679999933458</v>
      </c>
      <c r="P964">
        <v>67892.518302899989</v>
      </c>
    </row>
    <row r="965" spans="1:16" x14ac:dyDescent="0.25">
      <c r="A965" s="10">
        <v>39022</v>
      </c>
      <c r="B965">
        <v>1309.3309900000161</v>
      </c>
      <c r="C965">
        <v>218.709822</v>
      </c>
      <c r="D965">
        <v>0</v>
      </c>
      <c r="E965">
        <v>0</v>
      </c>
      <c r="F965">
        <v>0</v>
      </c>
      <c r="G965">
        <v>6.7851919999999986</v>
      </c>
      <c r="H965">
        <v>1451.52009</v>
      </c>
      <c r="I965">
        <v>0</v>
      </c>
      <c r="J965">
        <v>0</v>
      </c>
      <c r="K965">
        <v>0.59</v>
      </c>
      <c r="L965">
        <v>-370.37</v>
      </c>
      <c r="M965">
        <v>0</v>
      </c>
      <c r="N965">
        <v>0</v>
      </c>
      <c r="O965">
        <v>2.095886000016435</v>
      </c>
      <c r="P965">
        <v>69201.849292900006</v>
      </c>
    </row>
    <row r="966" spans="1:16" x14ac:dyDescent="0.25">
      <c r="A966" s="10">
        <v>39023</v>
      </c>
      <c r="B966">
        <v>675.79763799998932</v>
      </c>
      <c r="C966">
        <v>244.17916099999999</v>
      </c>
      <c r="D966">
        <v>0</v>
      </c>
      <c r="E966">
        <v>0</v>
      </c>
      <c r="F966">
        <v>0</v>
      </c>
      <c r="G966">
        <v>-184.383747</v>
      </c>
      <c r="H966">
        <v>738.03677300000027</v>
      </c>
      <c r="I966">
        <v>0</v>
      </c>
      <c r="J966">
        <v>-107.28</v>
      </c>
      <c r="K966">
        <v>-16.689999999999941</v>
      </c>
      <c r="L966">
        <v>1.95</v>
      </c>
      <c r="M966">
        <v>0</v>
      </c>
      <c r="N966">
        <v>0</v>
      </c>
      <c r="O966">
        <v>-1.454900001101578E-2</v>
      </c>
      <c r="P966">
        <v>69877.646930899995</v>
      </c>
    </row>
    <row r="967" spans="1:16" x14ac:dyDescent="0.25">
      <c r="A967" s="10">
        <v>39024</v>
      </c>
      <c r="B967">
        <v>697.25241400000243</v>
      </c>
      <c r="C967">
        <v>177.56906699999999</v>
      </c>
      <c r="D967">
        <v>0</v>
      </c>
      <c r="E967">
        <v>0</v>
      </c>
      <c r="F967">
        <v>0</v>
      </c>
      <c r="G967">
        <v>180.13192799999999</v>
      </c>
      <c r="H967">
        <v>330.13422000000043</v>
      </c>
      <c r="I967">
        <v>0</v>
      </c>
      <c r="J967">
        <v>0</v>
      </c>
      <c r="K967">
        <v>1.1200000000000001</v>
      </c>
      <c r="L967">
        <v>6.43</v>
      </c>
      <c r="M967">
        <v>0</v>
      </c>
      <c r="N967">
        <v>0</v>
      </c>
      <c r="O967">
        <v>1.8671990000020611</v>
      </c>
      <c r="P967">
        <v>70574.899344899997</v>
      </c>
    </row>
    <row r="968" spans="1:16" x14ac:dyDescent="0.25">
      <c r="A968" s="10">
        <v>39028</v>
      </c>
      <c r="B968">
        <v>88.050315000014933</v>
      </c>
      <c r="C968">
        <v>374.51062100000001</v>
      </c>
      <c r="D968">
        <v>0</v>
      </c>
      <c r="E968">
        <v>-450</v>
      </c>
      <c r="F968">
        <v>0</v>
      </c>
      <c r="G968">
        <v>-11.420566000000001</v>
      </c>
      <c r="H968">
        <v>237.4511789999992</v>
      </c>
      <c r="I968">
        <v>0</v>
      </c>
      <c r="J968">
        <v>0</v>
      </c>
      <c r="K968">
        <v>1.98</v>
      </c>
      <c r="L968">
        <v>0</v>
      </c>
      <c r="M968">
        <v>0</v>
      </c>
      <c r="N968">
        <v>0</v>
      </c>
      <c r="O968">
        <v>-64.470918999984292</v>
      </c>
      <c r="P968">
        <v>70662.949659900012</v>
      </c>
    </row>
    <row r="969" spans="1:16" x14ac:dyDescent="0.25">
      <c r="A969" s="10">
        <v>39029</v>
      </c>
      <c r="B969">
        <v>-245.0569200000173</v>
      </c>
      <c r="C969">
        <v>395.971069</v>
      </c>
      <c r="D969">
        <v>0</v>
      </c>
      <c r="E969">
        <v>0</v>
      </c>
      <c r="F969">
        <v>0</v>
      </c>
      <c r="G969">
        <v>-447.224898</v>
      </c>
      <c r="H969">
        <v>95.039826000000176</v>
      </c>
      <c r="I969">
        <v>0</v>
      </c>
      <c r="J969">
        <v>0</v>
      </c>
      <c r="K969">
        <v>0.27</v>
      </c>
      <c r="L969">
        <v>-346</v>
      </c>
      <c r="M969">
        <v>0</v>
      </c>
      <c r="N969">
        <v>0</v>
      </c>
      <c r="O969">
        <v>56.887082999982553</v>
      </c>
      <c r="P969">
        <v>70417.892739899995</v>
      </c>
    </row>
    <row r="970" spans="1:16" x14ac:dyDescent="0.25">
      <c r="A970" s="10">
        <v>39030</v>
      </c>
      <c r="B970">
        <v>968.57685800001491</v>
      </c>
      <c r="C970">
        <v>260.72631100000001</v>
      </c>
      <c r="D970">
        <v>0</v>
      </c>
      <c r="E970">
        <v>0</v>
      </c>
      <c r="F970">
        <v>0</v>
      </c>
      <c r="G970">
        <v>327.12568399999998</v>
      </c>
      <c r="H970">
        <v>325.90275500000013</v>
      </c>
      <c r="I970">
        <v>0</v>
      </c>
      <c r="J970">
        <v>0</v>
      </c>
      <c r="K970">
        <v>0.27</v>
      </c>
      <c r="L970">
        <v>55.7</v>
      </c>
      <c r="M970">
        <v>0</v>
      </c>
      <c r="N970">
        <v>0</v>
      </c>
      <c r="O970">
        <v>-1.147891999985168</v>
      </c>
      <c r="P970">
        <v>71386.46959790001</v>
      </c>
    </row>
    <row r="971" spans="1:16" x14ac:dyDescent="0.25">
      <c r="A971" s="10">
        <v>39031</v>
      </c>
      <c r="B971">
        <v>1043.601641720001</v>
      </c>
      <c r="C971">
        <v>130.04543200000001</v>
      </c>
      <c r="D971">
        <v>0</v>
      </c>
      <c r="E971">
        <v>600</v>
      </c>
      <c r="F971">
        <v>0</v>
      </c>
      <c r="G971">
        <v>-19.28119400000001</v>
      </c>
      <c r="H971">
        <v>277.73162299999967</v>
      </c>
      <c r="I971">
        <v>0</v>
      </c>
      <c r="J971">
        <v>0</v>
      </c>
      <c r="K971">
        <v>0</v>
      </c>
      <c r="L971">
        <v>68.72</v>
      </c>
      <c r="M971">
        <v>0</v>
      </c>
      <c r="N971">
        <v>0</v>
      </c>
      <c r="O971">
        <v>-13.61421927999886</v>
      </c>
      <c r="P971">
        <v>72430.071239620011</v>
      </c>
    </row>
    <row r="972" spans="1:16" x14ac:dyDescent="0.25">
      <c r="A972" s="10">
        <v>39034</v>
      </c>
      <c r="B972">
        <v>-1519.790174720009</v>
      </c>
      <c r="C972">
        <v>211.140366</v>
      </c>
      <c r="D972">
        <v>0</v>
      </c>
      <c r="E972">
        <v>-1842</v>
      </c>
      <c r="F972">
        <v>0</v>
      </c>
      <c r="G972">
        <v>-10.49117399999993</v>
      </c>
      <c r="H972">
        <v>89.727307999999994</v>
      </c>
      <c r="I972">
        <v>0</v>
      </c>
      <c r="J972">
        <v>0</v>
      </c>
      <c r="K972">
        <v>0.51</v>
      </c>
      <c r="L972">
        <v>30</v>
      </c>
      <c r="M972">
        <v>0</v>
      </c>
      <c r="N972">
        <v>0</v>
      </c>
      <c r="O972">
        <v>1.323325279991268</v>
      </c>
      <c r="P972">
        <v>70910.281064900002</v>
      </c>
    </row>
    <row r="973" spans="1:16" x14ac:dyDescent="0.25">
      <c r="A973" s="10">
        <v>39035</v>
      </c>
      <c r="B973">
        <v>245.86784199999241</v>
      </c>
      <c r="C973">
        <v>208.603328</v>
      </c>
      <c r="D973">
        <v>0</v>
      </c>
      <c r="E973">
        <v>0</v>
      </c>
      <c r="F973">
        <v>0</v>
      </c>
      <c r="G973">
        <v>6.9008769999999942</v>
      </c>
      <c r="H973">
        <v>17.48068899999998</v>
      </c>
      <c r="I973">
        <v>0</v>
      </c>
      <c r="J973">
        <v>0</v>
      </c>
      <c r="K973">
        <v>12.87</v>
      </c>
      <c r="L973">
        <v>0</v>
      </c>
      <c r="M973">
        <v>0</v>
      </c>
      <c r="N973">
        <v>0</v>
      </c>
      <c r="O973">
        <v>1.294799999237739E-2</v>
      </c>
      <c r="P973">
        <v>71156.148906899994</v>
      </c>
    </row>
    <row r="974" spans="1:16" x14ac:dyDescent="0.25">
      <c r="A974" s="10">
        <v>39036</v>
      </c>
      <c r="B974">
        <v>396.60383500001609</v>
      </c>
      <c r="C974">
        <v>296.45250700000003</v>
      </c>
      <c r="D974">
        <v>0</v>
      </c>
      <c r="E974">
        <v>0</v>
      </c>
      <c r="F974">
        <v>0</v>
      </c>
      <c r="G974">
        <v>-85.199715999999995</v>
      </c>
      <c r="H974">
        <v>-99.954981000000316</v>
      </c>
      <c r="I974">
        <v>0</v>
      </c>
      <c r="J974">
        <v>0</v>
      </c>
      <c r="K974">
        <v>1.9E-2</v>
      </c>
      <c r="L974">
        <v>264.77</v>
      </c>
      <c r="M974">
        <v>0</v>
      </c>
      <c r="N974">
        <v>0</v>
      </c>
      <c r="O974">
        <v>20.51702500001641</v>
      </c>
      <c r="P974">
        <v>71552.752741900011</v>
      </c>
    </row>
    <row r="975" spans="1:16" x14ac:dyDescent="0.25">
      <c r="A975" s="10">
        <v>39037</v>
      </c>
      <c r="B975">
        <v>-115.43308600000471</v>
      </c>
      <c r="C975">
        <v>156.82109600000001</v>
      </c>
      <c r="D975">
        <v>0</v>
      </c>
      <c r="E975">
        <v>0</v>
      </c>
      <c r="F975">
        <v>0</v>
      </c>
      <c r="G975">
        <v>79.642049999999998</v>
      </c>
      <c r="H975">
        <v>-353.69701200000009</v>
      </c>
      <c r="I975">
        <v>0</v>
      </c>
      <c r="J975">
        <v>0</v>
      </c>
      <c r="K975">
        <v>0.3</v>
      </c>
      <c r="L975">
        <v>0</v>
      </c>
      <c r="M975">
        <v>0</v>
      </c>
      <c r="N975">
        <v>0</v>
      </c>
      <c r="O975">
        <v>1.500779999995359</v>
      </c>
      <c r="P975">
        <v>71437.319655900006</v>
      </c>
    </row>
    <row r="976" spans="1:16" x14ac:dyDescent="0.25">
      <c r="A976" s="10">
        <v>39038</v>
      </c>
      <c r="B976">
        <v>1301.5770009999969</v>
      </c>
      <c r="C976">
        <v>63.798882999999996</v>
      </c>
      <c r="D976">
        <v>0</v>
      </c>
      <c r="E976">
        <v>1700</v>
      </c>
      <c r="F976">
        <v>0</v>
      </c>
      <c r="G976">
        <v>-55.360436000000092</v>
      </c>
      <c r="H976">
        <v>-403.9682029999999</v>
      </c>
      <c r="I976">
        <v>0</v>
      </c>
      <c r="J976">
        <v>0</v>
      </c>
      <c r="K976">
        <v>0.28000000000000003</v>
      </c>
      <c r="L976">
        <v>-5.86</v>
      </c>
      <c r="M976">
        <v>0</v>
      </c>
      <c r="N976">
        <v>0</v>
      </c>
      <c r="O976">
        <v>2.6867569999974421</v>
      </c>
      <c r="P976">
        <v>72738.896656900004</v>
      </c>
    </row>
    <row r="977" spans="1:16" x14ac:dyDescent="0.25">
      <c r="A977" s="10">
        <v>39041</v>
      </c>
      <c r="B977">
        <v>267.67416999999858</v>
      </c>
      <c r="C977">
        <v>154.034347</v>
      </c>
      <c r="D977">
        <v>0</v>
      </c>
      <c r="E977">
        <v>0</v>
      </c>
      <c r="F977">
        <v>0</v>
      </c>
      <c r="G977">
        <v>96.620999999999981</v>
      </c>
      <c r="H977">
        <v>16.292238000000001</v>
      </c>
      <c r="I977">
        <v>0</v>
      </c>
      <c r="J977">
        <v>0</v>
      </c>
      <c r="K977">
        <v>0.64</v>
      </c>
      <c r="L977">
        <v>0</v>
      </c>
      <c r="M977">
        <v>0</v>
      </c>
      <c r="N977">
        <v>0</v>
      </c>
      <c r="O977">
        <v>8.6584999998567586E-2</v>
      </c>
      <c r="P977">
        <v>73006.570826900002</v>
      </c>
    </row>
    <row r="978" spans="1:16" x14ac:dyDescent="0.25">
      <c r="A978" s="10">
        <v>39042</v>
      </c>
      <c r="B978">
        <v>-116.0445190000025</v>
      </c>
      <c r="C978">
        <v>187.47130100000001</v>
      </c>
      <c r="D978">
        <v>0</v>
      </c>
      <c r="E978">
        <v>0</v>
      </c>
      <c r="F978">
        <v>0</v>
      </c>
      <c r="G978">
        <v>-31.241012000000001</v>
      </c>
      <c r="H978">
        <v>-278.50392999999991</v>
      </c>
      <c r="I978">
        <v>0</v>
      </c>
      <c r="J978">
        <v>0</v>
      </c>
      <c r="K978">
        <v>0.51</v>
      </c>
      <c r="L978">
        <v>4.9000000000000004</v>
      </c>
      <c r="M978">
        <v>0</v>
      </c>
      <c r="N978">
        <v>0</v>
      </c>
      <c r="O978">
        <v>0.81912199999732138</v>
      </c>
      <c r="P978">
        <v>72890.5263079</v>
      </c>
    </row>
    <row r="979" spans="1:16" x14ac:dyDescent="0.25">
      <c r="A979" s="10">
        <v>39043</v>
      </c>
      <c r="B979">
        <v>-80.475481000001565</v>
      </c>
      <c r="C979">
        <v>209.37270899999999</v>
      </c>
      <c r="D979">
        <v>0</v>
      </c>
      <c r="E979">
        <v>0</v>
      </c>
      <c r="F979">
        <v>0</v>
      </c>
      <c r="G979">
        <v>-86.804128000000006</v>
      </c>
      <c r="H979">
        <v>-122.1830990000003</v>
      </c>
      <c r="I979">
        <v>0</v>
      </c>
      <c r="J979">
        <v>0</v>
      </c>
      <c r="K979">
        <v>0.47</v>
      </c>
      <c r="L979">
        <v>-83.57</v>
      </c>
      <c r="M979">
        <v>0</v>
      </c>
      <c r="N979">
        <v>0</v>
      </c>
      <c r="O979">
        <v>2.2390369999987612</v>
      </c>
      <c r="P979">
        <v>72810.050826899998</v>
      </c>
    </row>
    <row r="980" spans="1:16" x14ac:dyDescent="0.25">
      <c r="A980" s="10">
        <v>39044</v>
      </c>
      <c r="B980">
        <v>263.55469099999777</v>
      </c>
      <c r="C980">
        <v>2.2241580000000001</v>
      </c>
      <c r="D980">
        <v>0</v>
      </c>
      <c r="E980">
        <v>0</v>
      </c>
      <c r="F980">
        <v>0</v>
      </c>
      <c r="G980">
        <v>32.868544999999997</v>
      </c>
      <c r="H980">
        <v>191.42056400000001</v>
      </c>
      <c r="I980">
        <v>0</v>
      </c>
      <c r="J980">
        <v>0</v>
      </c>
      <c r="K980">
        <v>0.45</v>
      </c>
      <c r="L980">
        <v>37.19</v>
      </c>
      <c r="M980">
        <v>0</v>
      </c>
      <c r="N980">
        <v>0</v>
      </c>
      <c r="O980">
        <v>-0.59857600000225375</v>
      </c>
      <c r="P980">
        <v>73073.605517899996</v>
      </c>
    </row>
    <row r="981" spans="1:16" x14ac:dyDescent="0.25">
      <c r="A981" s="10">
        <v>39045</v>
      </c>
      <c r="B981">
        <v>264.47916000001692</v>
      </c>
      <c r="C981">
        <v>167.68457000000001</v>
      </c>
      <c r="D981">
        <v>0</v>
      </c>
      <c r="E981">
        <v>0</v>
      </c>
      <c r="F981">
        <v>0</v>
      </c>
      <c r="G981">
        <v>9.3352109999999922</v>
      </c>
      <c r="H981">
        <v>87.398824000000332</v>
      </c>
      <c r="I981">
        <v>0</v>
      </c>
      <c r="J981">
        <v>0</v>
      </c>
      <c r="K981">
        <v>0.43</v>
      </c>
      <c r="L981">
        <v>0</v>
      </c>
      <c r="M981">
        <v>0</v>
      </c>
      <c r="N981">
        <v>0</v>
      </c>
      <c r="O981">
        <v>-0.36944499998344332</v>
      </c>
      <c r="P981">
        <v>73338.084677900013</v>
      </c>
    </row>
    <row r="982" spans="1:16" x14ac:dyDescent="0.25">
      <c r="A982" s="10">
        <v>39048</v>
      </c>
      <c r="B982">
        <v>-944.6845980000071</v>
      </c>
      <c r="C982">
        <v>144.9933</v>
      </c>
      <c r="D982">
        <v>0</v>
      </c>
      <c r="E982">
        <v>-1100</v>
      </c>
      <c r="F982">
        <v>0</v>
      </c>
      <c r="G982">
        <v>-26.145897999999899</v>
      </c>
      <c r="H982">
        <v>34.419593999999961</v>
      </c>
      <c r="I982">
        <v>0</v>
      </c>
      <c r="J982">
        <v>0</v>
      </c>
      <c r="K982">
        <v>0.79</v>
      </c>
      <c r="L982">
        <v>0</v>
      </c>
      <c r="M982">
        <v>0</v>
      </c>
      <c r="N982">
        <v>0</v>
      </c>
      <c r="O982">
        <v>1.2584059999928381</v>
      </c>
      <c r="P982">
        <v>72393.400079900006</v>
      </c>
    </row>
    <row r="983" spans="1:16" x14ac:dyDescent="0.25">
      <c r="A983" s="10">
        <v>39049</v>
      </c>
      <c r="B983">
        <v>54.058227999994308</v>
      </c>
      <c r="C983">
        <v>240.26502600000001</v>
      </c>
      <c r="D983">
        <v>0</v>
      </c>
      <c r="E983">
        <v>0</v>
      </c>
      <c r="F983">
        <v>0</v>
      </c>
      <c r="G983">
        <v>15.208612</v>
      </c>
      <c r="H983">
        <v>-212.7491050000003</v>
      </c>
      <c r="I983">
        <v>0</v>
      </c>
      <c r="J983">
        <v>0</v>
      </c>
      <c r="K983">
        <v>0.63</v>
      </c>
      <c r="L983">
        <v>4.9000000000000004</v>
      </c>
      <c r="M983">
        <v>0</v>
      </c>
      <c r="N983">
        <v>0</v>
      </c>
      <c r="O983">
        <v>5.8036949999946401</v>
      </c>
      <c r="P983">
        <v>72447.4583079</v>
      </c>
    </row>
    <row r="984" spans="1:16" x14ac:dyDescent="0.25">
      <c r="A984" s="10">
        <v>39050</v>
      </c>
      <c r="B984">
        <v>-1228.3177529999959</v>
      </c>
      <c r="C984">
        <v>136.023518</v>
      </c>
      <c r="D984">
        <v>0</v>
      </c>
      <c r="E984">
        <v>0</v>
      </c>
      <c r="F984">
        <v>0</v>
      </c>
      <c r="G984">
        <v>-336.55941599999989</v>
      </c>
      <c r="H984">
        <v>-718.65414000000055</v>
      </c>
      <c r="I984">
        <v>0</v>
      </c>
      <c r="J984">
        <v>0</v>
      </c>
      <c r="K984">
        <v>0.85</v>
      </c>
      <c r="L984">
        <v>-333.27</v>
      </c>
      <c r="M984">
        <v>0</v>
      </c>
      <c r="N984">
        <v>0</v>
      </c>
      <c r="O984">
        <v>23.29228500000454</v>
      </c>
      <c r="P984">
        <v>71219.140554900005</v>
      </c>
    </row>
    <row r="985" spans="1:16" x14ac:dyDescent="0.25">
      <c r="A985" s="10">
        <v>39051</v>
      </c>
      <c r="B985">
        <v>1819.869487999996</v>
      </c>
      <c r="C985">
        <v>322.21661</v>
      </c>
      <c r="D985">
        <v>0</v>
      </c>
      <c r="E985">
        <v>1200</v>
      </c>
      <c r="F985">
        <v>0</v>
      </c>
      <c r="G985">
        <v>269.93595199999999</v>
      </c>
      <c r="H985">
        <v>28.741512000000512</v>
      </c>
      <c r="I985">
        <v>0</v>
      </c>
      <c r="J985">
        <v>0</v>
      </c>
      <c r="K985">
        <v>0.65</v>
      </c>
      <c r="L985">
        <v>0</v>
      </c>
      <c r="M985">
        <v>0</v>
      </c>
      <c r="N985">
        <v>0</v>
      </c>
      <c r="O985">
        <v>-1.6745860000044099</v>
      </c>
      <c r="P985">
        <v>73039.010042900001</v>
      </c>
    </row>
    <row r="986" spans="1:16" x14ac:dyDescent="0.25">
      <c r="A986" s="10">
        <v>39052</v>
      </c>
      <c r="B986">
        <v>807.67562999999802</v>
      </c>
      <c r="C986">
        <v>187.37175400000001</v>
      </c>
      <c r="D986">
        <v>-1141.1657399999999</v>
      </c>
      <c r="E986">
        <v>0</v>
      </c>
      <c r="F986">
        <v>0</v>
      </c>
      <c r="G986">
        <v>3.5220990000000261</v>
      </c>
      <c r="H986">
        <v>1701.3669440000001</v>
      </c>
      <c r="I986">
        <v>0</v>
      </c>
      <c r="J986">
        <v>0</v>
      </c>
      <c r="K986">
        <v>0.45</v>
      </c>
      <c r="L986">
        <v>51.03</v>
      </c>
      <c r="M986">
        <v>0</v>
      </c>
      <c r="N986">
        <v>0</v>
      </c>
      <c r="O986">
        <v>5.100572999998235</v>
      </c>
      <c r="P986">
        <v>73846.685672899999</v>
      </c>
    </row>
    <row r="987" spans="1:16" x14ac:dyDescent="0.25">
      <c r="A987" s="10">
        <v>39055</v>
      </c>
      <c r="B987">
        <v>-336.22467399999738</v>
      </c>
      <c r="C987">
        <v>81.251999999999995</v>
      </c>
      <c r="D987">
        <v>0</v>
      </c>
      <c r="E987">
        <v>0</v>
      </c>
      <c r="F987">
        <v>0</v>
      </c>
      <c r="G987">
        <v>5.589748999999987</v>
      </c>
      <c r="H987">
        <v>-228.32883500000031</v>
      </c>
      <c r="I987">
        <v>0</v>
      </c>
      <c r="J987">
        <v>-109.33</v>
      </c>
      <c r="K987">
        <v>-19.659999999999979</v>
      </c>
      <c r="L987">
        <v>0</v>
      </c>
      <c r="M987">
        <v>0</v>
      </c>
      <c r="N987">
        <v>0</v>
      </c>
      <c r="O987">
        <v>-65.747587999997222</v>
      </c>
      <c r="P987">
        <v>73510.460998900002</v>
      </c>
    </row>
    <row r="988" spans="1:16" x14ac:dyDescent="0.25">
      <c r="A988" s="10">
        <v>39056</v>
      </c>
      <c r="B988">
        <v>809.11595300000056</v>
      </c>
      <c r="C988">
        <v>365.86474399999997</v>
      </c>
      <c r="D988">
        <v>0</v>
      </c>
      <c r="E988">
        <v>0</v>
      </c>
      <c r="F988">
        <v>0</v>
      </c>
      <c r="G988">
        <v>-7.7332870000000469</v>
      </c>
      <c r="H988">
        <v>394.3240839999994</v>
      </c>
      <c r="I988">
        <v>0</v>
      </c>
      <c r="J988">
        <v>0</v>
      </c>
      <c r="K988">
        <v>0.41</v>
      </c>
      <c r="L988">
        <v>0</v>
      </c>
      <c r="M988">
        <v>0</v>
      </c>
      <c r="N988">
        <v>0</v>
      </c>
      <c r="O988">
        <v>56.250412000001262</v>
      </c>
      <c r="P988">
        <v>74319.576951900002</v>
      </c>
    </row>
    <row r="989" spans="1:16" x14ac:dyDescent="0.25">
      <c r="A989" s="10">
        <v>39057</v>
      </c>
      <c r="B989">
        <v>-31.915974000003079</v>
      </c>
      <c r="C989">
        <v>251.778223</v>
      </c>
      <c r="D989">
        <v>0</v>
      </c>
      <c r="E989">
        <v>-1135.0999999999999</v>
      </c>
      <c r="F989">
        <v>0</v>
      </c>
      <c r="G989">
        <v>-93.925887350000153</v>
      </c>
      <c r="H989">
        <v>536.37283200000002</v>
      </c>
      <c r="I989">
        <v>0</v>
      </c>
      <c r="J989">
        <v>0</v>
      </c>
      <c r="K989">
        <v>0.88</v>
      </c>
      <c r="L989">
        <v>415.24</v>
      </c>
      <c r="M989">
        <v>0</v>
      </c>
      <c r="N989">
        <v>0</v>
      </c>
      <c r="O989">
        <v>-7.16114165000306</v>
      </c>
      <c r="P989">
        <v>74287.660977899999</v>
      </c>
    </row>
    <row r="990" spans="1:16" x14ac:dyDescent="0.25">
      <c r="A990" s="10">
        <v>39058</v>
      </c>
      <c r="B990">
        <v>448.01641706001823</v>
      </c>
      <c r="C990">
        <v>191.45249999999999</v>
      </c>
      <c r="D990">
        <v>0</v>
      </c>
      <c r="E990">
        <v>0</v>
      </c>
      <c r="F990">
        <v>0</v>
      </c>
      <c r="G990">
        <v>-6.0092679999999064</v>
      </c>
      <c r="H990">
        <v>227.4166735199997</v>
      </c>
      <c r="I990">
        <v>0</v>
      </c>
      <c r="J990">
        <v>0</v>
      </c>
      <c r="K990">
        <v>1.91</v>
      </c>
      <c r="L990">
        <v>23.02</v>
      </c>
      <c r="M990">
        <v>0</v>
      </c>
      <c r="N990">
        <v>0</v>
      </c>
      <c r="O990">
        <v>10.226511540018461</v>
      </c>
      <c r="P990">
        <v>74735.677394960017</v>
      </c>
    </row>
    <row r="991" spans="1:16" x14ac:dyDescent="0.25">
      <c r="A991" s="10">
        <v>39062</v>
      </c>
      <c r="B991">
        <v>378.32715993998852</v>
      </c>
      <c r="C991">
        <v>202.43533400000001</v>
      </c>
      <c r="D991">
        <v>0</v>
      </c>
      <c r="E991">
        <v>0</v>
      </c>
      <c r="F991">
        <v>0</v>
      </c>
      <c r="G991">
        <v>35.676219999999979</v>
      </c>
      <c r="H991">
        <v>85.549827859999823</v>
      </c>
      <c r="I991">
        <v>0</v>
      </c>
      <c r="J991">
        <v>0</v>
      </c>
      <c r="K991">
        <v>0.12000000000000451</v>
      </c>
      <c r="L991">
        <v>50.9</v>
      </c>
      <c r="M991">
        <v>0</v>
      </c>
      <c r="N991">
        <v>0</v>
      </c>
      <c r="O991">
        <v>3.6457780799887591</v>
      </c>
      <c r="P991">
        <v>75114.004554900006</v>
      </c>
    </row>
    <row r="992" spans="1:16" x14ac:dyDescent="0.25">
      <c r="A992" s="10">
        <v>39063</v>
      </c>
      <c r="B992">
        <v>364.1059999999996</v>
      </c>
      <c r="C992">
        <v>316.53499299999999</v>
      </c>
      <c r="D992">
        <v>0</v>
      </c>
      <c r="E992">
        <v>0</v>
      </c>
      <c r="F992">
        <v>0</v>
      </c>
      <c r="G992">
        <v>-14.890219999999999</v>
      </c>
      <c r="H992">
        <v>60.918185999999878</v>
      </c>
      <c r="I992">
        <v>0</v>
      </c>
      <c r="J992">
        <v>0</v>
      </c>
      <c r="K992">
        <v>7.0000000000000007E-2</v>
      </c>
      <c r="L992">
        <v>0</v>
      </c>
      <c r="M992">
        <v>0</v>
      </c>
      <c r="N992">
        <v>0</v>
      </c>
      <c r="O992">
        <v>1.4730409999996801</v>
      </c>
      <c r="P992">
        <v>75478.110554900006</v>
      </c>
    </row>
    <row r="993" spans="1:16" x14ac:dyDescent="0.25">
      <c r="A993" s="10">
        <v>39064</v>
      </c>
      <c r="B993">
        <v>437.18499585999223</v>
      </c>
      <c r="C993">
        <v>202.81832199999999</v>
      </c>
      <c r="D993">
        <v>0</v>
      </c>
      <c r="E993">
        <v>0</v>
      </c>
      <c r="F993">
        <v>0</v>
      </c>
      <c r="G993">
        <v>-6.709226000000001</v>
      </c>
      <c r="H993">
        <v>13.888131999999811</v>
      </c>
      <c r="I993">
        <v>0</v>
      </c>
      <c r="J993">
        <v>0</v>
      </c>
      <c r="K993">
        <v>0.05</v>
      </c>
      <c r="L993">
        <v>237.93</v>
      </c>
      <c r="M993">
        <v>0</v>
      </c>
      <c r="N993">
        <v>0</v>
      </c>
      <c r="O993">
        <v>-10.792232140007689</v>
      </c>
      <c r="P993">
        <v>75915.295550759998</v>
      </c>
    </row>
    <row r="994" spans="1:16" x14ac:dyDescent="0.25">
      <c r="A994" s="10">
        <v>39065</v>
      </c>
      <c r="B994">
        <v>-76.424549859992069</v>
      </c>
      <c r="C994">
        <v>204.30659299999999</v>
      </c>
      <c r="D994">
        <v>0</v>
      </c>
      <c r="E994">
        <v>0</v>
      </c>
      <c r="F994">
        <v>550</v>
      </c>
      <c r="G994">
        <v>-712.94658400000003</v>
      </c>
      <c r="H994">
        <v>-119.23177199999991</v>
      </c>
      <c r="I994">
        <v>0</v>
      </c>
      <c r="J994">
        <v>0</v>
      </c>
      <c r="K994">
        <v>0.05</v>
      </c>
      <c r="L994">
        <v>0</v>
      </c>
      <c r="M994">
        <v>0</v>
      </c>
      <c r="N994">
        <v>0</v>
      </c>
      <c r="O994">
        <v>1.3972131400078069</v>
      </c>
      <c r="P994">
        <v>75838.871000900006</v>
      </c>
    </row>
    <row r="995" spans="1:16" x14ac:dyDescent="0.25">
      <c r="A995" s="10">
        <v>39066</v>
      </c>
      <c r="B995">
        <v>305.30736500000057</v>
      </c>
      <c r="C995">
        <v>385.39476100000002</v>
      </c>
      <c r="D995">
        <v>0</v>
      </c>
      <c r="E995">
        <v>0</v>
      </c>
      <c r="F995">
        <v>0</v>
      </c>
      <c r="G995">
        <v>-19.355625</v>
      </c>
      <c r="H995">
        <v>-63.044965999999931</v>
      </c>
      <c r="I995">
        <v>0</v>
      </c>
      <c r="J995">
        <v>0</v>
      </c>
      <c r="K995">
        <v>0.03</v>
      </c>
      <c r="L995">
        <v>0</v>
      </c>
      <c r="M995">
        <v>0</v>
      </c>
      <c r="N995">
        <v>0</v>
      </c>
      <c r="O995">
        <v>2.2831950000005459</v>
      </c>
      <c r="P995">
        <v>76144.178365900007</v>
      </c>
    </row>
    <row r="996" spans="1:16" x14ac:dyDescent="0.25">
      <c r="A996" s="10">
        <v>39069</v>
      </c>
      <c r="B996">
        <v>254.6310569999915</v>
      </c>
      <c r="C996">
        <v>312.30125600000002</v>
      </c>
      <c r="D996">
        <v>0</v>
      </c>
      <c r="E996">
        <v>0</v>
      </c>
      <c r="F996">
        <v>0</v>
      </c>
      <c r="G996">
        <v>-12.458565</v>
      </c>
      <c r="H996">
        <v>-44.744687999999996</v>
      </c>
      <c r="I996">
        <v>0</v>
      </c>
      <c r="J996">
        <v>0</v>
      </c>
      <c r="K996">
        <v>0.11</v>
      </c>
      <c r="L996">
        <v>-1.75</v>
      </c>
      <c r="M996">
        <v>0</v>
      </c>
      <c r="N996">
        <v>0</v>
      </c>
      <c r="O996">
        <v>1.1730539999915659</v>
      </c>
      <c r="P996">
        <v>76398.809422899998</v>
      </c>
    </row>
    <row r="997" spans="1:16" x14ac:dyDescent="0.25">
      <c r="A997" s="10">
        <v>39070</v>
      </c>
      <c r="B997">
        <v>499.41116499999782</v>
      </c>
      <c r="C997">
        <v>246.59609699999999</v>
      </c>
      <c r="D997">
        <v>0</v>
      </c>
      <c r="E997">
        <v>0</v>
      </c>
      <c r="F997">
        <v>0</v>
      </c>
      <c r="G997">
        <v>167.50800000000001</v>
      </c>
      <c r="H997">
        <v>195.0883860000001</v>
      </c>
      <c r="I997">
        <v>0</v>
      </c>
      <c r="J997">
        <v>-107.68000000000011</v>
      </c>
      <c r="K997">
        <v>0.11</v>
      </c>
      <c r="L997">
        <v>7.37</v>
      </c>
      <c r="M997">
        <v>0</v>
      </c>
      <c r="N997">
        <v>0</v>
      </c>
      <c r="O997">
        <v>-9.5813180000023408</v>
      </c>
      <c r="P997">
        <v>76898.220587899996</v>
      </c>
    </row>
    <row r="998" spans="1:16" x14ac:dyDescent="0.25">
      <c r="A998" s="10">
        <v>39071</v>
      </c>
      <c r="B998">
        <v>499.22910700000648</v>
      </c>
      <c r="C998">
        <v>452.38063199999999</v>
      </c>
      <c r="D998">
        <v>0</v>
      </c>
      <c r="E998">
        <v>0</v>
      </c>
      <c r="F998">
        <v>0</v>
      </c>
      <c r="G998">
        <v>190.30499999999989</v>
      </c>
      <c r="H998">
        <v>-99.679707000000008</v>
      </c>
      <c r="I998">
        <v>0</v>
      </c>
      <c r="J998">
        <v>0</v>
      </c>
      <c r="K998">
        <v>7.0000000000000007E-2</v>
      </c>
      <c r="L998">
        <v>-25.08</v>
      </c>
      <c r="M998">
        <v>0</v>
      </c>
      <c r="N998">
        <v>0</v>
      </c>
      <c r="O998">
        <v>-18.766817999993421</v>
      </c>
      <c r="P998">
        <v>77397.449694900002</v>
      </c>
    </row>
    <row r="999" spans="1:16" x14ac:dyDescent="0.25">
      <c r="A999" s="10">
        <v>39072</v>
      </c>
      <c r="B999">
        <v>2333.8723989999999</v>
      </c>
      <c r="C999">
        <v>407.23776199999998</v>
      </c>
      <c r="D999">
        <v>0</v>
      </c>
      <c r="E999">
        <v>2550</v>
      </c>
      <c r="F999">
        <v>0</v>
      </c>
      <c r="G999">
        <v>-921.68837700000006</v>
      </c>
      <c r="H999">
        <v>205.17991200000009</v>
      </c>
      <c r="I999">
        <v>0</v>
      </c>
      <c r="J999">
        <v>0</v>
      </c>
      <c r="K999">
        <v>0</v>
      </c>
      <c r="L999">
        <v>82.59</v>
      </c>
      <c r="M999">
        <v>0</v>
      </c>
      <c r="N999">
        <v>0</v>
      </c>
      <c r="O999">
        <v>10.55310199999971</v>
      </c>
      <c r="P999">
        <v>79731.322093900002</v>
      </c>
    </row>
    <row r="1000" spans="1:16" x14ac:dyDescent="0.25">
      <c r="A1000" s="10">
        <v>39073</v>
      </c>
      <c r="B1000">
        <v>-99.446693999998487</v>
      </c>
      <c r="C1000">
        <v>312.77499999999998</v>
      </c>
      <c r="D1000">
        <v>0</v>
      </c>
      <c r="E1000">
        <v>0</v>
      </c>
      <c r="F1000">
        <v>0</v>
      </c>
      <c r="G1000">
        <v>-16.131540000000001</v>
      </c>
      <c r="H1000">
        <v>161.57003500000019</v>
      </c>
      <c r="I1000">
        <v>0</v>
      </c>
      <c r="J1000">
        <v>-592.66000000000008</v>
      </c>
      <c r="K1000">
        <v>0</v>
      </c>
      <c r="L1000">
        <v>37.590000000000003</v>
      </c>
      <c r="M1000">
        <v>0</v>
      </c>
      <c r="N1000">
        <v>0</v>
      </c>
      <c r="O1000">
        <v>-2.5901889999986092</v>
      </c>
      <c r="P1000">
        <v>79631.875399900004</v>
      </c>
    </row>
    <row r="1001" spans="1:16" x14ac:dyDescent="0.25">
      <c r="A1001" s="10">
        <v>39077</v>
      </c>
      <c r="B1001">
        <v>183.958937000003</v>
      </c>
      <c r="C1001">
        <v>243.34931</v>
      </c>
      <c r="D1001">
        <v>0</v>
      </c>
      <c r="E1001">
        <v>0</v>
      </c>
      <c r="F1001">
        <v>0</v>
      </c>
      <c r="G1001">
        <v>7.9467139999999983</v>
      </c>
      <c r="H1001">
        <v>117.5982659999997</v>
      </c>
      <c r="I1001">
        <v>0</v>
      </c>
      <c r="J1001">
        <v>-188.75</v>
      </c>
      <c r="K1001">
        <v>0.16</v>
      </c>
      <c r="L1001">
        <v>0</v>
      </c>
      <c r="M1001">
        <v>0</v>
      </c>
      <c r="N1001">
        <v>0</v>
      </c>
      <c r="O1001">
        <v>3.6546470000032572</v>
      </c>
      <c r="P1001">
        <v>79815.834336900007</v>
      </c>
    </row>
    <row r="1002" spans="1:16" x14ac:dyDescent="0.25">
      <c r="A1002" s="10">
        <v>39078</v>
      </c>
      <c r="B1002">
        <v>-267.13980400000531</v>
      </c>
      <c r="C1002">
        <v>427.72358200000002</v>
      </c>
      <c r="D1002">
        <v>0</v>
      </c>
      <c r="E1002">
        <v>0</v>
      </c>
      <c r="F1002">
        <v>0</v>
      </c>
      <c r="G1002">
        <v>21.060530000000011</v>
      </c>
      <c r="H1002">
        <v>37.47399200000018</v>
      </c>
      <c r="I1002">
        <v>0</v>
      </c>
      <c r="J1002">
        <v>-593.36000000000013</v>
      </c>
      <c r="K1002">
        <v>0.06</v>
      </c>
      <c r="L1002">
        <v>-160.44999999999999</v>
      </c>
      <c r="M1002">
        <v>0</v>
      </c>
      <c r="N1002">
        <v>0</v>
      </c>
      <c r="O1002">
        <v>0.35209199999462731</v>
      </c>
      <c r="P1002">
        <v>79548.694532900001</v>
      </c>
    </row>
    <row r="1003" spans="1:16" x14ac:dyDescent="0.25">
      <c r="A1003" s="10">
        <v>39079</v>
      </c>
      <c r="B1003">
        <v>116.000509000005</v>
      </c>
      <c r="C1003">
        <v>450.99099999999999</v>
      </c>
      <c r="D1003">
        <v>0</v>
      </c>
      <c r="E1003">
        <v>2000</v>
      </c>
      <c r="F1003">
        <v>0</v>
      </c>
      <c r="G1003">
        <v>-1982.8109999999999</v>
      </c>
      <c r="H1003">
        <v>-166.49209700000009</v>
      </c>
      <c r="I1003">
        <v>0</v>
      </c>
      <c r="J1003">
        <v>-242.79</v>
      </c>
      <c r="K1003">
        <v>0.05</v>
      </c>
      <c r="L1003">
        <v>55.5</v>
      </c>
      <c r="M1003">
        <v>0</v>
      </c>
      <c r="N1003">
        <v>0</v>
      </c>
      <c r="O1003">
        <v>1.5526060000052271</v>
      </c>
      <c r="P1003">
        <v>79664.695041900006</v>
      </c>
    </row>
    <row r="1004" spans="1:16" x14ac:dyDescent="0.25">
      <c r="A1004" s="10">
        <v>39080</v>
      </c>
      <c r="B1004">
        <v>401.61375330000021</v>
      </c>
      <c r="C1004">
        <v>389.98899999999998</v>
      </c>
      <c r="D1004">
        <v>0</v>
      </c>
      <c r="E1004">
        <v>0</v>
      </c>
      <c r="F1004">
        <v>0</v>
      </c>
      <c r="G1004">
        <v>5.134334999999993</v>
      </c>
      <c r="H1004">
        <v>-100.3426689999997</v>
      </c>
      <c r="I1004">
        <v>0</v>
      </c>
      <c r="J1004">
        <v>0</v>
      </c>
      <c r="K1004">
        <v>0.08</v>
      </c>
      <c r="L1004">
        <v>109.48</v>
      </c>
      <c r="M1004">
        <v>0</v>
      </c>
      <c r="N1004">
        <v>0</v>
      </c>
      <c r="O1004">
        <v>-2.726912700000184</v>
      </c>
      <c r="P1004">
        <v>80066.308795200006</v>
      </c>
    </row>
    <row r="1005" spans="1:16" x14ac:dyDescent="0.25">
      <c r="A1005" s="10">
        <v>39084</v>
      </c>
      <c r="B1005">
        <v>54.616933700002747</v>
      </c>
      <c r="C1005">
        <v>442.08595000000003</v>
      </c>
      <c r="D1005">
        <v>0</v>
      </c>
      <c r="E1005">
        <v>0</v>
      </c>
      <c r="F1005">
        <v>0</v>
      </c>
      <c r="G1005">
        <v>-192.164007</v>
      </c>
      <c r="H1005">
        <v>-189.21934900000019</v>
      </c>
      <c r="I1005">
        <v>0</v>
      </c>
      <c r="J1005">
        <v>0</v>
      </c>
      <c r="K1005">
        <v>0.15</v>
      </c>
      <c r="L1005">
        <v>0</v>
      </c>
      <c r="M1005">
        <v>0</v>
      </c>
      <c r="N1005">
        <v>0</v>
      </c>
      <c r="O1005">
        <v>-6.2356602999970203</v>
      </c>
      <c r="P1005">
        <v>80120.925728900009</v>
      </c>
    </row>
    <row r="1006" spans="1:16" x14ac:dyDescent="0.25">
      <c r="A1006" s="10">
        <v>39085</v>
      </c>
      <c r="B1006">
        <v>-290.8883940000087</v>
      </c>
      <c r="C1006">
        <v>448.83383700000002</v>
      </c>
      <c r="D1006">
        <v>0</v>
      </c>
      <c r="E1006">
        <v>0</v>
      </c>
      <c r="F1006">
        <v>0</v>
      </c>
      <c r="G1006">
        <v>-56.90865500000001</v>
      </c>
      <c r="H1006">
        <v>-367.27038599999992</v>
      </c>
      <c r="I1006">
        <v>0</v>
      </c>
      <c r="J1006">
        <v>-111.21</v>
      </c>
      <c r="K1006">
        <v>-17.739999999999782</v>
      </c>
      <c r="L1006">
        <v>-194.92</v>
      </c>
      <c r="M1006">
        <v>0</v>
      </c>
      <c r="N1006">
        <v>0</v>
      </c>
      <c r="O1006">
        <v>8.3268099999910419</v>
      </c>
      <c r="P1006">
        <v>79830.0373349</v>
      </c>
    </row>
    <row r="1007" spans="1:16" x14ac:dyDescent="0.25">
      <c r="A1007" s="10">
        <v>39086</v>
      </c>
      <c r="B1007">
        <v>-276.35936599998922</v>
      </c>
      <c r="C1007">
        <v>198.27024599999999</v>
      </c>
      <c r="D1007">
        <v>0</v>
      </c>
      <c r="E1007">
        <v>0</v>
      </c>
      <c r="F1007">
        <v>0</v>
      </c>
      <c r="G1007">
        <v>45.424768000000007</v>
      </c>
      <c r="H1007">
        <v>-468.69684599999943</v>
      </c>
      <c r="I1007">
        <v>0</v>
      </c>
      <c r="J1007">
        <v>0</v>
      </c>
      <c r="K1007">
        <v>0.23</v>
      </c>
      <c r="L1007">
        <v>1.92</v>
      </c>
      <c r="M1007">
        <v>0</v>
      </c>
      <c r="N1007">
        <v>0</v>
      </c>
      <c r="O1007">
        <v>-53.507533999989853</v>
      </c>
      <c r="P1007">
        <v>79553.67796890001</v>
      </c>
    </row>
    <row r="1008" spans="1:16" x14ac:dyDescent="0.25">
      <c r="A1008" s="10">
        <v>39087</v>
      </c>
      <c r="B1008">
        <v>-604.95609900000272</v>
      </c>
      <c r="C1008">
        <v>238.87663900000001</v>
      </c>
      <c r="D1008">
        <v>0</v>
      </c>
      <c r="E1008">
        <v>0</v>
      </c>
      <c r="F1008">
        <v>0</v>
      </c>
      <c r="G1008">
        <v>-5.5700429999999983</v>
      </c>
      <c r="H1008">
        <v>-888.54977199999985</v>
      </c>
      <c r="I1008">
        <v>0</v>
      </c>
      <c r="J1008">
        <v>0</v>
      </c>
      <c r="K1008">
        <v>0.19</v>
      </c>
      <c r="L1008">
        <v>0</v>
      </c>
      <c r="M1008">
        <v>0</v>
      </c>
      <c r="N1008">
        <v>0</v>
      </c>
      <c r="O1008">
        <v>50.097076999997057</v>
      </c>
      <c r="P1008">
        <v>78948.721869900008</v>
      </c>
    </row>
    <row r="1009" spans="1:16" x14ac:dyDescent="0.25">
      <c r="A1009" s="10">
        <v>39090</v>
      </c>
      <c r="B1009">
        <v>-277.25681799999438</v>
      </c>
      <c r="C1009">
        <v>175.384038</v>
      </c>
      <c r="D1009">
        <v>0</v>
      </c>
      <c r="E1009">
        <v>0</v>
      </c>
      <c r="F1009">
        <v>0</v>
      </c>
      <c r="G1009">
        <v>-77.834215999999998</v>
      </c>
      <c r="H1009">
        <v>-391.59200800000008</v>
      </c>
      <c r="I1009">
        <v>0</v>
      </c>
      <c r="J1009">
        <v>0</v>
      </c>
      <c r="K1009">
        <v>0.48</v>
      </c>
      <c r="L1009">
        <v>1.87</v>
      </c>
      <c r="M1009">
        <v>0</v>
      </c>
      <c r="N1009">
        <v>0</v>
      </c>
      <c r="O1009">
        <v>14.435368000005679</v>
      </c>
      <c r="P1009">
        <v>78671.465051900013</v>
      </c>
    </row>
    <row r="1010" spans="1:16" x14ac:dyDescent="0.25">
      <c r="A1010" s="10">
        <v>39091</v>
      </c>
      <c r="B1010">
        <v>272.71313099999702</v>
      </c>
      <c r="C1010">
        <v>177.60547399999999</v>
      </c>
      <c r="D1010">
        <v>0</v>
      </c>
      <c r="E1010">
        <v>0</v>
      </c>
      <c r="F1010">
        <v>0</v>
      </c>
      <c r="G1010">
        <v>-7.2868240000000046</v>
      </c>
      <c r="H1010">
        <v>94.700749999999971</v>
      </c>
      <c r="I1010">
        <v>0</v>
      </c>
      <c r="J1010">
        <v>0</v>
      </c>
      <c r="K1010">
        <v>0.18</v>
      </c>
      <c r="L1010">
        <v>1.9</v>
      </c>
      <c r="M1010">
        <v>0</v>
      </c>
      <c r="N1010">
        <v>0</v>
      </c>
      <c r="O1010">
        <v>5.6137309999970171</v>
      </c>
      <c r="P1010">
        <v>78944.17818290001</v>
      </c>
    </row>
    <row r="1011" spans="1:16" x14ac:dyDescent="0.25">
      <c r="A1011" s="10">
        <v>39092</v>
      </c>
      <c r="B1011">
        <v>-50.782436000008317</v>
      </c>
      <c r="C1011">
        <v>303.899</v>
      </c>
      <c r="D1011">
        <v>0</v>
      </c>
      <c r="E1011">
        <v>0</v>
      </c>
      <c r="F1011">
        <v>0</v>
      </c>
      <c r="G1011">
        <v>47.432605000000002</v>
      </c>
      <c r="H1011">
        <v>-54.130433860000267</v>
      </c>
      <c r="I1011">
        <v>0</v>
      </c>
      <c r="J1011">
        <v>0</v>
      </c>
      <c r="K1011">
        <v>0.34</v>
      </c>
      <c r="L1011">
        <v>-351.04</v>
      </c>
      <c r="M1011">
        <v>0</v>
      </c>
      <c r="N1011">
        <v>0</v>
      </c>
      <c r="O1011">
        <v>2.7163928599919132</v>
      </c>
      <c r="P1011">
        <v>78893.395746900002</v>
      </c>
    </row>
    <row r="1012" spans="1:16" x14ac:dyDescent="0.25">
      <c r="A1012" s="10">
        <v>39093</v>
      </c>
      <c r="B1012">
        <v>-82.58385900000556</v>
      </c>
      <c r="C1012">
        <v>346.79399999999998</v>
      </c>
      <c r="D1012">
        <v>0</v>
      </c>
      <c r="E1012">
        <v>0</v>
      </c>
      <c r="F1012">
        <v>0</v>
      </c>
      <c r="G1012">
        <v>-7.42212099999999</v>
      </c>
      <c r="H1012">
        <v>-394.22573100000051</v>
      </c>
      <c r="I1012">
        <v>0</v>
      </c>
      <c r="J1012">
        <v>0</v>
      </c>
      <c r="K1012">
        <v>0.47</v>
      </c>
      <c r="L1012">
        <v>-30.65</v>
      </c>
      <c r="M1012">
        <v>0</v>
      </c>
      <c r="N1012">
        <v>0</v>
      </c>
      <c r="O1012">
        <v>2.4499929999949188</v>
      </c>
      <c r="P1012">
        <v>78810.811887899996</v>
      </c>
    </row>
    <row r="1013" spans="1:16" x14ac:dyDescent="0.25">
      <c r="A1013" s="10">
        <v>39094</v>
      </c>
      <c r="B1013">
        <v>259.5592800000158</v>
      </c>
      <c r="C1013">
        <v>162.54854900000001</v>
      </c>
      <c r="D1013">
        <v>0</v>
      </c>
      <c r="E1013">
        <v>0</v>
      </c>
      <c r="F1013">
        <v>0</v>
      </c>
      <c r="G1013">
        <v>-57.366990999999977</v>
      </c>
      <c r="H1013">
        <v>115.008323</v>
      </c>
      <c r="I1013">
        <v>0</v>
      </c>
      <c r="J1013">
        <v>0</v>
      </c>
      <c r="K1013">
        <v>13.917662</v>
      </c>
      <c r="L1013">
        <v>24.62</v>
      </c>
      <c r="M1013">
        <v>0</v>
      </c>
      <c r="N1013">
        <v>0</v>
      </c>
      <c r="O1013">
        <v>0.8317370000157962</v>
      </c>
      <c r="P1013">
        <v>79070.371167900012</v>
      </c>
    </row>
    <row r="1014" spans="1:16" x14ac:dyDescent="0.25">
      <c r="A1014" s="10">
        <v>39097</v>
      </c>
      <c r="B1014">
        <v>132.44120299999511</v>
      </c>
      <c r="C1014">
        <v>0.94428900000000004</v>
      </c>
      <c r="D1014">
        <v>0</v>
      </c>
      <c r="E1014">
        <v>0</v>
      </c>
      <c r="F1014">
        <v>0</v>
      </c>
      <c r="G1014">
        <v>36.319834999999998</v>
      </c>
      <c r="H1014">
        <v>82.748035000000073</v>
      </c>
      <c r="I1014">
        <v>0</v>
      </c>
      <c r="J1014">
        <v>0</v>
      </c>
      <c r="K1014">
        <v>13.85</v>
      </c>
      <c r="L1014">
        <v>-2</v>
      </c>
      <c r="M1014">
        <v>0</v>
      </c>
      <c r="N1014">
        <v>0</v>
      </c>
      <c r="O1014">
        <v>0.57904399999500811</v>
      </c>
      <c r="P1014">
        <v>79202.812370900006</v>
      </c>
    </row>
    <row r="1015" spans="1:16" x14ac:dyDescent="0.25">
      <c r="A1015" s="10">
        <v>39098</v>
      </c>
      <c r="B1015">
        <v>-630.20068300000287</v>
      </c>
      <c r="C1015">
        <v>234.08714900000001</v>
      </c>
      <c r="D1015">
        <v>0</v>
      </c>
      <c r="E1015">
        <v>0</v>
      </c>
      <c r="F1015">
        <v>0</v>
      </c>
      <c r="G1015">
        <v>-40.098886000000007</v>
      </c>
      <c r="H1015">
        <v>-824.63395099999934</v>
      </c>
      <c r="I1015">
        <v>0</v>
      </c>
      <c r="J1015">
        <v>0</v>
      </c>
      <c r="K1015">
        <v>0.34</v>
      </c>
      <c r="L1015">
        <v>0</v>
      </c>
      <c r="M1015">
        <v>0</v>
      </c>
      <c r="N1015">
        <v>0</v>
      </c>
      <c r="O1015">
        <v>0.1050049999964813</v>
      </c>
      <c r="P1015">
        <v>78572.611687900004</v>
      </c>
    </row>
    <row r="1016" spans="1:16" x14ac:dyDescent="0.25">
      <c r="A1016" s="10">
        <v>39099</v>
      </c>
      <c r="B1016">
        <v>-1598.0527779999979</v>
      </c>
      <c r="C1016">
        <v>203.680206</v>
      </c>
      <c r="D1016">
        <v>0</v>
      </c>
      <c r="E1016">
        <v>0</v>
      </c>
      <c r="F1016">
        <v>0</v>
      </c>
      <c r="G1016">
        <v>-8.5386469999999974</v>
      </c>
      <c r="H1016">
        <v>352.25031100000069</v>
      </c>
      <c r="I1016">
        <v>0</v>
      </c>
      <c r="J1016">
        <v>0</v>
      </c>
      <c r="K1016">
        <v>0.55000000000000004</v>
      </c>
      <c r="L1016">
        <v>-2146.69</v>
      </c>
      <c r="M1016">
        <v>0</v>
      </c>
      <c r="N1016">
        <v>0</v>
      </c>
      <c r="O1016">
        <v>0.69535200000168518</v>
      </c>
      <c r="P1016">
        <v>76974.558909900006</v>
      </c>
    </row>
    <row r="1017" spans="1:16" x14ac:dyDescent="0.25">
      <c r="A1017" s="10">
        <v>39100</v>
      </c>
      <c r="B1017">
        <v>-634.87669800000731</v>
      </c>
      <c r="C1017">
        <v>105.071623</v>
      </c>
      <c r="D1017">
        <v>0</v>
      </c>
      <c r="E1017">
        <v>0</v>
      </c>
      <c r="F1017">
        <v>0</v>
      </c>
      <c r="G1017">
        <v>-501.67477600000001</v>
      </c>
      <c r="H1017">
        <v>-302.62590600000112</v>
      </c>
      <c r="I1017">
        <v>0</v>
      </c>
      <c r="J1017">
        <v>0</v>
      </c>
      <c r="K1017">
        <v>0</v>
      </c>
      <c r="L1017">
        <v>63.260000000000012</v>
      </c>
      <c r="M1017">
        <v>0</v>
      </c>
      <c r="N1017">
        <v>0</v>
      </c>
      <c r="O1017">
        <v>1.0923609999938391</v>
      </c>
      <c r="P1017">
        <v>76339.682211899999</v>
      </c>
    </row>
    <row r="1018" spans="1:16" x14ac:dyDescent="0.25">
      <c r="A1018" s="10">
        <v>39101</v>
      </c>
      <c r="B1018">
        <v>637.6436740000064</v>
      </c>
      <c r="C1018">
        <v>262.31035600000001</v>
      </c>
      <c r="D1018">
        <v>0</v>
      </c>
      <c r="E1018">
        <v>0</v>
      </c>
      <c r="F1018">
        <v>0</v>
      </c>
      <c r="G1018">
        <v>-369.18418500000001</v>
      </c>
      <c r="H1018">
        <v>585.11758999999984</v>
      </c>
      <c r="I1018">
        <v>0</v>
      </c>
      <c r="J1018">
        <v>0</v>
      </c>
      <c r="K1018">
        <v>1.120000000000005</v>
      </c>
      <c r="L1018">
        <v>157.4</v>
      </c>
      <c r="M1018">
        <v>0</v>
      </c>
      <c r="N1018">
        <v>0</v>
      </c>
      <c r="O1018">
        <v>0.87991300000658157</v>
      </c>
      <c r="P1018">
        <v>76977.325885900005</v>
      </c>
    </row>
    <row r="1019" spans="1:16" x14ac:dyDescent="0.25">
      <c r="A1019" s="10">
        <v>39104</v>
      </c>
      <c r="B1019">
        <v>1140.5405009999961</v>
      </c>
      <c r="C1019">
        <v>43.276000000000003</v>
      </c>
      <c r="D1019">
        <v>0</v>
      </c>
      <c r="E1019">
        <v>-1800</v>
      </c>
      <c r="F1019">
        <v>0</v>
      </c>
      <c r="G1019">
        <v>2680.8389999999999</v>
      </c>
      <c r="H1019">
        <v>163.1281890000005</v>
      </c>
      <c r="I1019">
        <v>0</v>
      </c>
      <c r="J1019">
        <v>0</v>
      </c>
      <c r="K1019">
        <v>1.3299999999999981</v>
      </c>
      <c r="L1019">
        <v>51.63</v>
      </c>
      <c r="M1019">
        <v>0</v>
      </c>
      <c r="N1019">
        <v>0</v>
      </c>
      <c r="O1019">
        <v>0.33731199999510858</v>
      </c>
      <c r="P1019">
        <v>78117.866386900001</v>
      </c>
    </row>
    <row r="1020" spans="1:16" x14ac:dyDescent="0.25">
      <c r="A1020" s="10">
        <v>39105</v>
      </c>
      <c r="B1020">
        <v>-696.18368699999746</v>
      </c>
      <c r="C1020">
        <v>147.57005799999999</v>
      </c>
      <c r="D1020">
        <v>0</v>
      </c>
      <c r="E1020">
        <v>0</v>
      </c>
      <c r="F1020">
        <v>0</v>
      </c>
      <c r="G1020">
        <v>-12.722036999999981</v>
      </c>
      <c r="H1020">
        <v>-831.16072200000008</v>
      </c>
      <c r="I1020">
        <v>0</v>
      </c>
      <c r="J1020">
        <v>0</v>
      </c>
      <c r="K1020">
        <v>0.81</v>
      </c>
      <c r="L1020">
        <v>0</v>
      </c>
      <c r="M1020">
        <v>0</v>
      </c>
      <c r="N1020">
        <v>0</v>
      </c>
      <c r="O1020">
        <v>-0.68098599999734688</v>
      </c>
      <c r="P1020">
        <v>77421.682699900004</v>
      </c>
    </row>
    <row r="1021" spans="1:16" x14ac:dyDescent="0.25">
      <c r="A1021" s="10">
        <v>39106</v>
      </c>
      <c r="B1021">
        <v>-1035.8183070000091</v>
      </c>
      <c r="C1021">
        <v>183.37856300000001</v>
      </c>
      <c r="D1021">
        <v>0</v>
      </c>
      <c r="E1021">
        <v>0</v>
      </c>
      <c r="F1021">
        <v>0</v>
      </c>
      <c r="G1021">
        <v>5.1152139999999813</v>
      </c>
      <c r="H1021">
        <v>-791.83614300000045</v>
      </c>
      <c r="I1021">
        <v>0</v>
      </c>
      <c r="J1021">
        <v>0</v>
      </c>
      <c r="K1021">
        <v>0.72</v>
      </c>
      <c r="L1021">
        <v>-375.45</v>
      </c>
      <c r="M1021">
        <v>0</v>
      </c>
      <c r="N1021">
        <v>0</v>
      </c>
      <c r="O1021">
        <v>-57.745941000008322</v>
      </c>
      <c r="P1021">
        <v>76385.864392899995</v>
      </c>
    </row>
    <row r="1022" spans="1:16" x14ac:dyDescent="0.25">
      <c r="A1022" s="10">
        <v>39107</v>
      </c>
      <c r="B1022">
        <v>862.01161000000127</v>
      </c>
      <c r="C1022">
        <v>126.817589</v>
      </c>
      <c r="D1022">
        <v>0</v>
      </c>
      <c r="E1022">
        <v>0</v>
      </c>
      <c r="F1022">
        <v>0</v>
      </c>
      <c r="G1022">
        <v>-20.44192399999999</v>
      </c>
      <c r="H1022">
        <v>716.54487900000004</v>
      </c>
      <c r="I1022">
        <v>0</v>
      </c>
      <c r="J1022">
        <v>0</v>
      </c>
      <c r="K1022">
        <v>1.17</v>
      </c>
      <c r="L1022">
        <v>9.5399999999999991</v>
      </c>
      <c r="M1022">
        <v>0</v>
      </c>
      <c r="N1022">
        <v>0</v>
      </c>
      <c r="O1022">
        <v>28.381066000001258</v>
      </c>
      <c r="P1022">
        <v>77247.876002899997</v>
      </c>
    </row>
    <row r="1023" spans="1:16" x14ac:dyDescent="0.25">
      <c r="A1023" s="10">
        <v>39108</v>
      </c>
      <c r="B1023">
        <v>-253.29852699999171</v>
      </c>
      <c r="C1023">
        <v>0.59458900000000003</v>
      </c>
      <c r="D1023">
        <v>0</v>
      </c>
      <c r="E1023">
        <v>0</v>
      </c>
      <c r="F1023">
        <v>0</v>
      </c>
      <c r="G1023">
        <v>117.96274699999999</v>
      </c>
      <c r="H1023">
        <v>-394.47900000000033</v>
      </c>
      <c r="I1023">
        <v>0</v>
      </c>
      <c r="J1023">
        <v>0</v>
      </c>
      <c r="K1023">
        <v>0.25</v>
      </c>
      <c r="L1023">
        <v>8.68</v>
      </c>
      <c r="M1023">
        <v>0</v>
      </c>
      <c r="N1023">
        <v>0</v>
      </c>
      <c r="O1023">
        <v>13.69313700000856</v>
      </c>
      <c r="P1023">
        <v>76994.577475900005</v>
      </c>
    </row>
    <row r="1024" spans="1:16" x14ac:dyDescent="0.25">
      <c r="A1024" s="10">
        <v>39111</v>
      </c>
      <c r="B1024">
        <v>-271.46078799999668</v>
      </c>
      <c r="C1024">
        <v>0.57999999999999996</v>
      </c>
      <c r="D1024">
        <v>0</v>
      </c>
      <c r="E1024">
        <v>0</v>
      </c>
      <c r="F1024">
        <v>0</v>
      </c>
      <c r="G1024">
        <v>118.09</v>
      </c>
      <c r="H1024">
        <v>-456.64164199999959</v>
      </c>
      <c r="I1024">
        <v>0</v>
      </c>
      <c r="J1024">
        <v>0</v>
      </c>
      <c r="K1024">
        <v>0.88</v>
      </c>
      <c r="L1024">
        <v>24.68</v>
      </c>
      <c r="M1024">
        <v>0</v>
      </c>
      <c r="N1024">
        <v>0</v>
      </c>
      <c r="O1024">
        <v>40.950854000002828</v>
      </c>
      <c r="P1024">
        <v>76723.116687900008</v>
      </c>
    </row>
    <row r="1025" spans="1:16" x14ac:dyDescent="0.25">
      <c r="A1025" s="10">
        <v>39112</v>
      </c>
      <c r="B1025">
        <v>-955.98852600000077</v>
      </c>
      <c r="C1025">
        <v>17.002509</v>
      </c>
      <c r="D1025">
        <v>0</v>
      </c>
      <c r="E1025">
        <v>0</v>
      </c>
      <c r="F1025">
        <v>0</v>
      </c>
      <c r="G1025">
        <v>-170.71899999999999</v>
      </c>
      <c r="H1025">
        <v>-786.98100000000068</v>
      </c>
      <c r="I1025">
        <v>0</v>
      </c>
      <c r="J1025">
        <v>0</v>
      </c>
      <c r="K1025">
        <v>1.28</v>
      </c>
      <c r="L1025">
        <v>0</v>
      </c>
      <c r="M1025">
        <v>0</v>
      </c>
      <c r="N1025">
        <v>0</v>
      </c>
      <c r="O1025">
        <v>-16.571035000000052</v>
      </c>
      <c r="P1025">
        <v>75767.128161900007</v>
      </c>
    </row>
    <row r="1026" spans="1:16" x14ac:dyDescent="0.25">
      <c r="A1026" s="10">
        <v>39113</v>
      </c>
      <c r="B1026">
        <v>562.26492599998915</v>
      </c>
      <c r="C1026">
        <v>67.615133</v>
      </c>
      <c r="D1026">
        <v>0</v>
      </c>
      <c r="E1026">
        <v>0</v>
      </c>
      <c r="F1026">
        <v>0</v>
      </c>
      <c r="G1026">
        <v>-22.162230999999998</v>
      </c>
      <c r="H1026">
        <v>774.72173900000053</v>
      </c>
      <c r="I1026">
        <v>0</v>
      </c>
      <c r="J1026">
        <v>0</v>
      </c>
      <c r="K1026">
        <v>1.4434530000000001</v>
      </c>
      <c r="L1026">
        <v>-280.91000000000003</v>
      </c>
      <c r="M1026">
        <v>0</v>
      </c>
      <c r="N1026">
        <v>0</v>
      </c>
      <c r="O1026">
        <v>21.556831999988621</v>
      </c>
      <c r="P1026">
        <v>76329.393087899996</v>
      </c>
    </row>
    <row r="1027" spans="1:16" x14ac:dyDescent="0.25">
      <c r="A1027" s="10">
        <v>39114</v>
      </c>
      <c r="B1027">
        <v>-284.61004059099702</v>
      </c>
      <c r="C1027">
        <v>167.91900000000001</v>
      </c>
      <c r="D1027">
        <v>0</v>
      </c>
      <c r="E1027">
        <v>1700</v>
      </c>
      <c r="F1027">
        <v>0</v>
      </c>
      <c r="G1027">
        <v>-1718.52835</v>
      </c>
      <c r="H1027">
        <v>-430.50276599999961</v>
      </c>
      <c r="I1027">
        <v>0</v>
      </c>
      <c r="J1027">
        <v>0</v>
      </c>
      <c r="K1027">
        <v>1.26</v>
      </c>
      <c r="L1027">
        <v>0</v>
      </c>
      <c r="M1027">
        <v>0</v>
      </c>
      <c r="N1027">
        <v>0</v>
      </c>
      <c r="O1027">
        <v>-4.7579245909973906</v>
      </c>
      <c r="P1027">
        <v>76044.783047309</v>
      </c>
    </row>
    <row r="1028" spans="1:16" x14ac:dyDescent="0.25">
      <c r="A1028" s="10">
        <v>39115</v>
      </c>
      <c r="B1028">
        <v>1415.4531434510141</v>
      </c>
      <c r="C1028">
        <v>248.878806</v>
      </c>
      <c r="D1028">
        <v>0</v>
      </c>
      <c r="E1028">
        <v>0</v>
      </c>
      <c r="F1028">
        <v>0</v>
      </c>
      <c r="G1028">
        <v>-162.60697400000001</v>
      </c>
      <c r="H1028">
        <v>1441.028278100001</v>
      </c>
      <c r="I1028">
        <v>0</v>
      </c>
      <c r="J1028">
        <v>-111.24000000000019</v>
      </c>
      <c r="K1028">
        <v>-11.03000000000009</v>
      </c>
      <c r="L1028">
        <v>9.93</v>
      </c>
      <c r="M1028">
        <v>0</v>
      </c>
      <c r="N1028">
        <v>0</v>
      </c>
      <c r="O1028">
        <v>0.49303335101353701</v>
      </c>
      <c r="P1028">
        <v>77460.236190760013</v>
      </c>
    </row>
    <row r="1029" spans="1:16" x14ac:dyDescent="0.25">
      <c r="A1029" s="10">
        <v>39118</v>
      </c>
      <c r="B1029">
        <v>1249.5794131399889</v>
      </c>
      <c r="C1029">
        <v>215.303</v>
      </c>
      <c r="D1029">
        <v>0</v>
      </c>
      <c r="E1029">
        <v>0</v>
      </c>
      <c r="F1029">
        <v>0</v>
      </c>
      <c r="G1029">
        <v>1217.9832167207519</v>
      </c>
      <c r="H1029">
        <v>-116.325726</v>
      </c>
      <c r="I1029">
        <v>0</v>
      </c>
      <c r="J1029">
        <v>-3.490000000000236</v>
      </c>
      <c r="K1029">
        <v>-6.7119999999997813</v>
      </c>
      <c r="L1029">
        <v>0</v>
      </c>
      <c r="M1029">
        <v>0</v>
      </c>
      <c r="N1029">
        <v>0</v>
      </c>
      <c r="O1029">
        <v>-57.179077580763533</v>
      </c>
      <c r="P1029">
        <v>78709.815603900002</v>
      </c>
    </row>
    <row r="1030" spans="1:16" x14ac:dyDescent="0.25">
      <c r="A1030" s="10">
        <v>39119</v>
      </c>
      <c r="B1030">
        <v>-334.09886399999982</v>
      </c>
      <c r="C1030">
        <v>252.0615</v>
      </c>
      <c r="D1030">
        <v>0</v>
      </c>
      <c r="E1030">
        <v>0</v>
      </c>
      <c r="F1030">
        <v>0</v>
      </c>
      <c r="G1030">
        <v>-83.61142199999999</v>
      </c>
      <c r="H1030">
        <v>-576.37125100000048</v>
      </c>
      <c r="I1030">
        <v>0</v>
      </c>
      <c r="J1030">
        <v>0</v>
      </c>
      <c r="K1030">
        <v>0.39400000000000002</v>
      </c>
      <c r="L1030">
        <v>15.6</v>
      </c>
      <c r="M1030">
        <v>0</v>
      </c>
      <c r="N1030">
        <v>0</v>
      </c>
      <c r="O1030">
        <v>57.828309000000637</v>
      </c>
      <c r="P1030">
        <v>78375.716739900003</v>
      </c>
    </row>
    <row r="1031" spans="1:16" x14ac:dyDescent="0.25">
      <c r="A1031" s="10">
        <v>39120</v>
      </c>
      <c r="B1031">
        <v>-1125.0115259000161</v>
      </c>
      <c r="C1031">
        <v>224.48942099999999</v>
      </c>
      <c r="D1031">
        <v>0</v>
      </c>
      <c r="E1031">
        <v>0</v>
      </c>
      <c r="F1031">
        <v>0</v>
      </c>
      <c r="G1031">
        <v>-4.0451933500000026</v>
      </c>
      <c r="H1031">
        <v>114.5302149999998</v>
      </c>
      <c r="I1031">
        <v>0</v>
      </c>
      <c r="J1031">
        <v>0</v>
      </c>
      <c r="K1031">
        <v>1.06</v>
      </c>
      <c r="L1031">
        <v>-1463.63</v>
      </c>
      <c r="M1031">
        <v>0</v>
      </c>
      <c r="N1031">
        <v>0</v>
      </c>
      <c r="O1031">
        <v>2.5840314499839399</v>
      </c>
      <c r="P1031">
        <v>77250.705213999987</v>
      </c>
    </row>
    <row r="1032" spans="1:16" x14ac:dyDescent="0.25">
      <c r="A1032" s="10">
        <v>39121</v>
      </c>
      <c r="B1032">
        <v>28.0907650000151</v>
      </c>
      <c r="C1032">
        <v>153.12</v>
      </c>
      <c r="D1032">
        <v>0</v>
      </c>
      <c r="E1032">
        <v>0</v>
      </c>
      <c r="F1032">
        <v>0</v>
      </c>
      <c r="G1032">
        <v>-4.0216310000000099</v>
      </c>
      <c r="H1032">
        <v>-132.7029999999977</v>
      </c>
      <c r="I1032">
        <v>0</v>
      </c>
      <c r="J1032">
        <v>0</v>
      </c>
      <c r="K1032">
        <v>1.0561701299999999</v>
      </c>
      <c r="L1032">
        <v>6.1400000000000023</v>
      </c>
      <c r="M1032">
        <v>0</v>
      </c>
      <c r="N1032">
        <v>0</v>
      </c>
      <c r="O1032">
        <v>4.4992258700128076</v>
      </c>
      <c r="P1032">
        <v>77278.795979000002</v>
      </c>
    </row>
    <row r="1033" spans="1:16" x14ac:dyDescent="0.25">
      <c r="A1033" s="10">
        <v>39122</v>
      </c>
      <c r="B1033">
        <v>-502.70567899999139</v>
      </c>
      <c r="C1033">
        <v>55.819626999999997</v>
      </c>
      <c r="D1033">
        <v>0</v>
      </c>
      <c r="E1033">
        <v>0</v>
      </c>
      <c r="F1033">
        <v>0</v>
      </c>
      <c r="G1033">
        <v>-11.576340000000011</v>
      </c>
      <c r="H1033">
        <v>-604.54485600000135</v>
      </c>
      <c r="I1033">
        <v>0</v>
      </c>
      <c r="J1033">
        <v>0</v>
      </c>
      <c r="K1033">
        <v>0.60751902000000002</v>
      </c>
      <c r="L1033">
        <v>56.85</v>
      </c>
      <c r="M1033">
        <v>0</v>
      </c>
      <c r="N1033">
        <v>0</v>
      </c>
      <c r="O1033">
        <v>0.13837098000989051</v>
      </c>
      <c r="P1033">
        <v>76776.090300000011</v>
      </c>
    </row>
    <row r="1034" spans="1:16" x14ac:dyDescent="0.25">
      <c r="A1034" s="10">
        <v>39125</v>
      </c>
      <c r="B1034">
        <v>234.11853199999379</v>
      </c>
      <c r="C1034">
        <v>225.61861500000001</v>
      </c>
      <c r="D1034">
        <v>0</v>
      </c>
      <c r="E1034">
        <v>-1600.08069086</v>
      </c>
      <c r="F1034">
        <v>0</v>
      </c>
      <c r="G1034">
        <v>1537.78629086</v>
      </c>
      <c r="H1034">
        <v>114.90700699999979</v>
      </c>
      <c r="I1034">
        <v>0</v>
      </c>
      <c r="J1034">
        <v>0</v>
      </c>
      <c r="K1034">
        <v>1.2299458999999999</v>
      </c>
      <c r="L1034">
        <v>65.790000000000006</v>
      </c>
      <c r="M1034">
        <v>0</v>
      </c>
      <c r="N1034">
        <v>0</v>
      </c>
      <c r="O1034">
        <v>-111.13263590000609</v>
      </c>
      <c r="P1034">
        <v>77010.208832000004</v>
      </c>
    </row>
    <row r="1035" spans="1:16" x14ac:dyDescent="0.25">
      <c r="A1035" s="10">
        <v>39126</v>
      </c>
      <c r="B1035">
        <v>-125.29974499999631</v>
      </c>
      <c r="C1035">
        <v>191.11472699999999</v>
      </c>
      <c r="D1035">
        <v>0</v>
      </c>
      <c r="E1035">
        <v>0</v>
      </c>
      <c r="F1035">
        <v>0</v>
      </c>
      <c r="G1035">
        <v>26.007839999999991</v>
      </c>
      <c r="H1035">
        <v>-345.03191599999991</v>
      </c>
      <c r="I1035">
        <v>0</v>
      </c>
      <c r="J1035">
        <v>0</v>
      </c>
      <c r="K1035">
        <v>1.07</v>
      </c>
      <c r="L1035">
        <v>4.97</v>
      </c>
      <c r="M1035">
        <v>0</v>
      </c>
      <c r="N1035">
        <v>0</v>
      </c>
      <c r="O1035">
        <v>-3.43039599999641</v>
      </c>
      <c r="P1035">
        <v>76884.909087000007</v>
      </c>
    </row>
    <row r="1036" spans="1:16" x14ac:dyDescent="0.25">
      <c r="A1036" s="10">
        <v>39127</v>
      </c>
      <c r="B1036">
        <v>-207.1073780000155</v>
      </c>
      <c r="C1036">
        <v>245.588776</v>
      </c>
      <c r="D1036">
        <v>0</v>
      </c>
      <c r="E1036">
        <v>0</v>
      </c>
      <c r="F1036">
        <v>0</v>
      </c>
      <c r="G1036">
        <v>-62.621816999999993</v>
      </c>
      <c r="H1036">
        <v>638.15422799999942</v>
      </c>
      <c r="I1036">
        <v>0</v>
      </c>
      <c r="J1036">
        <v>0</v>
      </c>
      <c r="K1036">
        <v>1.1000000000000001</v>
      </c>
      <c r="L1036">
        <v>-1060.58</v>
      </c>
      <c r="M1036">
        <v>0</v>
      </c>
      <c r="N1036">
        <v>0</v>
      </c>
      <c r="O1036">
        <v>31.251434999985019</v>
      </c>
      <c r="P1036">
        <v>76677.801708999992</v>
      </c>
    </row>
    <row r="1037" spans="1:16" x14ac:dyDescent="0.25">
      <c r="A1037" s="10">
        <v>39128</v>
      </c>
      <c r="B1037">
        <v>531.60414199999639</v>
      </c>
      <c r="C1037">
        <v>125.68</v>
      </c>
      <c r="D1037">
        <v>0</v>
      </c>
      <c r="E1037">
        <v>0</v>
      </c>
      <c r="F1037">
        <v>0</v>
      </c>
      <c r="G1037">
        <v>48.466079999999991</v>
      </c>
      <c r="H1037">
        <v>334.96791799999937</v>
      </c>
      <c r="I1037">
        <v>0</v>
      </c>
      <c r="J1037">
        <v>0</v>
      </c>
      <c r="K1037">
        <v>1.96</v>
      </c>
      <c r="L1037">
        <v>-11.97</v>
      </c>
      <c r="M1037">
        <v>0</v>
      </c>
      <c r="N1037">
        <v>0</v>
      </c>
      <c r="O1037">
        <v>32.500143999997121</v>
      </c>
      <c r="P1037">
        <v>77209.405850999989</v>
      </c>
    </row>
    <row r="1038" spans="1:16" x14ac:dyDescent="0.25">
      <c r="A1038" s="10">
        <v>39129</v>
      </c>
      <c r="B1038">
        <v>-762.2588459999821</v>
      </c>
      <c r="C1038">
        <v>16.567423000000002</v>
      </c>
      <c r="D1038">
        <v>0</v>
      </c>
      <c r="E1038">
        <v>1700</v>
      </c>
      <c r="F1038">
        <v>0</v>
      </c>
      <c r="G1038">
        <v>-1694.481929</v>
      </c>
      <c r="H1038">
        <v>-813.36579699999947</v>
      </c>
      <c r="I1038">
        <v>0</v>
      </c>
      <c r="J1038">
        <v>0</v>
      </c>
      <c r="K1038">
        <v>1.61</v>
      </c>
      <c r="L1038">
        <v>0</v>
      </c>
      <c r="M1038">
        <v>0</v>
      </c>
      <c r="N1038">
        <v>0</v>
      </c>
      <c r="O1038">
        <v>27.411457000017439</v>
      </c>
      <c r="P1038">
        <v>76447.147005000006</v>
      </c>
    </row>
    <row r="1039" spans="1:16" x14ac:dyDescent="0.25">
      <c r="A1039" s="10">
        <v>39132</v>
      </c>
      <c r="B1039">
        <v>356.92722899999342</v>
      </c>
      <c r="C1039">
        <v>1.0620000000000001</v>
      </c>
      <c r="D1039">
        <v>0</v>
      </c>
      <c r="E1039">
        <v>0</v>
      </c>
      <c r="F1039">
        <v>0</v>
      </c>
      <c r="G1039">
        <v>96.870975000000001</v>
      </c>
      <c r="H1039">
        <v>276.35428599999892</v>
      </c>
      <c r="I1039">
        <v>0</v>
      </c>
      <c r="J1039">
        <v>0</v>
      </c>
      <c r="K1039">
        <v>1.8</v>
      </c>
      <c r="L1039">
        <v>-19.510000000000002</v>
      </c>
      <c r="M1039">
        <v>0</v>
      </c>
      <c r="N1039">
        <v>0</v>
      </c>
      <c r="O1039">
        <v>0.34996799999447598</v>
      </c>
      <c r="P1039">
        <v>76804.074234</v>
      </c>
    </row>
    <row r="1040" spans="1:16" x14ac:dyDescent="0.25">
      <c r="A1040" s="10">
        <v>39133</v>
      </c>
      <c r="B1040">
        <v>619.97987100000273</v>
      </c>
      <c r="C1040">
        <v>80.143762999999993</v>
      </c>
      <c r="D1040">
        <v>0</v>
      </c>
      <c r="E1040">
        <v>0</v>
      </c>
      <c r="F1040">
        <v>0</v>
      </c>
      <c r="G1040">
        <v>-114.332694</v>
      </c>
      <c r="H1040">
        <v>608.43462499999987</v>
      </c>
      <c r="I1040">
        <v>0</v>
      </c>
      <c r="J1040">
        <v>0</v>
      </c>
      <c r="K1040">
        <v>17.54</v>
      </c>
      <c r="L1040">
        <v>0</v>
      </c>
      <c r="M1040">
        <v>0</v>
      </c>
      <c r="N1040">
        <v>0</v>
      </c>
      <c r="O1040">
        <v>28.194177000002949</v>
      </c>
      <c r="P1040">
        <v>77424.054105000003</v>
      </c>
    </row>
    <row r="1041" spans="1:16" x14ac:dyDescent="0.25">
      <c r="A1041" s="10">
        <v>39134</v>
      </c>
      <c r="B1041">
        <v>246.9915889999977</v>
      </c>
      <c r="C1041">
        <v>8.0409679999999994</v>
      </c>
      <c r="D1041">
        <v>0</v>
      </c>
      <c r="E1041">
        <v>0</v>
      </c>
      <c r="F1041">
        <v>0</v>
      </c>
      <c r="G1041">
        <v>-7.957037999999983</v>
      </c>
      <c r="H1041">
        <v>1025.5014309999999</v>
      </c>
      <c r="I1041">
        <v>0</v>
      </c>
      <c r="J1041">
        <v>0</v>
      </c>
      <c r="K1041">
        <v>0.64</v>
      </c>
      <c r="L1041">
        <v>-778.68999999999994</v>
      </c>
      <c r="M1041">
        <v>0</v>
      </c>
      <c r="N1041">
        <v>0</v>
      </c>
      <c r="O1041">
        <v>-0.54377200000214998</v>
      </c>
      <c r="P1041">
        <v>77671.045694</v>
      </c>
    </row>
    <row r="1042" spans="1:16" x14ac:dyDescent="0.25">
      <c r="A1042" s="10">
        <v>39135</v>
      </c>
      <c r="B1042">
        <v>-909.27834199999006</v>
      </c>
      <c r="C1042">
        <v>88.503557000000001</v>
      </c>
      <c r="D1042">
        <v>0</v>
      </c>
      <c r="E1042">
        <v>0</v>
      </c>
      <c r="F1042">
        <v>0</v>
      </c>
      <c r="G1042">
        <v>53.870083000000022</v>
      </c>
      <c r="H1042">
        <v>-1105.871404</v>
      </c>
      <c r="I1042">
        <v>0</v>
      </c>
      <c r="J1042">
        <v>0</v>
      </c>
      <c r="K1042">
        <v>0.712978</v>
      </c>
      <c r="L1042">
        <v>51.987785000000002</v>
      </c>
      <c r="M1042">
        <v>0</v>
      </c>
      <c r="N1042">
        <v>0</v>
      </c>
      <c r="O1042">
        <v>1.518659000010302</v>
      </c>
      <c r="P1042">
        <v>76761.76735200001</v>
      </c>
    </row>
    <row r="1043" spans="1:16" x14ac:dyDescent="0.25">
      <c r="A1043" s="10">
        <v>39136</v>
      </c>
      <c r="B1043">
        <v>-164.81808599999951</v>
      </c>
      <c r="C1043">
        <v>28.646350999999999</v>
      </c>
      <c r="D1043">
        <v>0</v>
      </c>
      <c r="E1043">
        <v>0</v>
      </c>
      <c r="F1043">
        <v>0</v>
      </c>
      <c r="G1043">
        <v>-7.802736990000021</v>
      </c>
      <c r="H1043">
        <v>-225.0002540000005</v>
      </c>
      <c r="I1043">
        <v>0</v>
      </c>
      <c r="J1043">
        <v>0</v>
      </c>
      <c r="K1043">
        <v>1.5641168000000001</v>
      </c>
      <c r="L1043">
        <v>35.423451</v>
      </c>
      <c r="M1043">
        <v>0</v>
      </c>
      <c r="N1043">
        <v>0</v>
      </c>
      <c r="O1043">
        <v>2.3509861900010089</v>
      </c>
      <c r="P1043">
        <v>76596.949266000011</v>
      </c>
    </row>
    <row r="1044" spans="1:16" x14ac:dyDescent="0.25">
      <c r="A1044" s="10">
        <v>39139</v>
      </c>
      <c r="B1044">
        <v>-440.17799500000518</v>
      </c>
      <c r="C1044">
        <v>29.589331000000001</v>
      </c>
      <c r="D1044">
        <v>0</v>
      </c>
      <c r="E1044">
        <v>0</v>
      </c>
      <c r="F1044">
        <v>0</v>
      </c>
      <c r="G1044">
        <v>5.7863490000000013</v>
      </c>
      <c r="H1044">
        <v>-479.64113499999979</v>
      </c>
      <c r="I1044">
        <v>0</v>
      </c>
      <c r="J1044">
        <v>0</v>
      </c>
      <c r="K1044">
        <v>1.49</v>
      </c>
      <c r="L1044">
        <v>-5.9600000000000009</v>
      </c>
      <c r="M1044">
        <v>0</v>
      </c>
      <c r="N1044">
        <v>0</v>
      </c>
      <c r="O1044">
        <v>8.5574599999945917</v>
      </c>
      <c r="P1044">
        <v>76156.771271000005</v>
      </c>
    </row>
    <row r="1045" spans="1:16" x14ac:dyDescent="0.25">
      <c r="A1045" s="10">
        <v>39140</v>
      </c>
      <c r="B1045">
        <v>-205.1660970000089</v>
      </c>
      <c r="C1045">
        <v>63.859537000000003</v>
      </c>
      <c r="D1045">
        <v>0</v>
      </c>
      <c r="E1045">
        <v>0</v>
      </c>
      <c r="F1045">
        <v>0</v>
      </c>
      <c r="G1045">
        <v>174.342906</v>
      </c>
      <c r="H1045">
        <v>-426.80795799999942</v>
      </c>
      <c r="I1045">
        <v>0</v>
      </c>
      <c r="J1045">
        <v>0</v>
      </c>
      <c r="K1045">
        <v>1.6</v>
      </c>
      <c r="L1045">
        <v>-10.81</v>
      </c>
      <c r="M1045">
        <v>0</v>
      </c>
      <c r="N1045">
        <v>0</v>
      </c>
      <c r="O1045">
        <v>-7.3505820000094673</v>
      </c>
      <c r="P1045">
        <v>75951.605173999997</v>
      </c>
    </row>
    <row r="1046" spans="1:16" x14ac:dyDescent="0.25">
      <c r="A1046" s="10">
        <v>39141</v>
      </c>
      <c r="B1046">
        <v>-623.60129099999858</v>
      </c>
      <c r="C1046">
        <v>203.62404000000001</v>
      </c>
      <c r="D1046">
        <v>0</v>
      </c>
      <c r="E1046">
        <v>0</v>
      </c>
      <c r="F1046">
        <v>1000</v>
      </c>
      <c r="G1046">
        <v>-991.56280700000002</v>
      </c>
      <c r="H1046">
        <v>-246.47534759999959</v>
      </c>
      <c r="I1046">
        <v>0</v>
      </c>
      <c r="J1046">
        <v>0</v>
      </c>
      <c r="K1046">
        <v>0.86399999999999999</v>
      </c>
      <c r="L1046">
        <v>-599.66700000000003</v>
      </c>
      <c r="M1046">
        <v>0</v>
      </c>
      <c r="N1046">
        <v>0</v>
      </c>
      <c r="O1046">
        <v>9.6158236000011357</v>
      </c>
      <c r="P1046">
        <v>75328.003882999998</v>
      </c>
    </row>
    <row r="1047" spans="1:16" x14ac:dyDescent="0.25">
      <c r="A1047" s="10">
        <v>39142</v>
      </c>
      <c r="B1047">
        <v>2665.990758000014</v>
      </c>
      <c r="C1047">
        <v>260.197</v>
      </c>
      <c r="D1047">
        <v>0</v>
      </c>
      <c r="E1047">
        <v>0</v>
      </c>
      <c r="F1047">
        <v>0</v>
      </c>
      <c r="G1047">
        <v>-41.80415499999998</v>
      </c>
      <c r="H1047">
        <v>2411.880239000001</v>
      </c>
      <c r="I1047">
        <v>0</v>
      </c>
      <c r="J1047">
        <v>0</v>
      </c>
      <c r="K1047">
        <v>1.2490000000000001</v>
      </c>
      <c r="L1047">
        <v>37.54</v>
      </c>
      <c r="M1047">
        <v>0</v>
      </c>
      <c r="N1047">
        <v>0</v>
      </c>
      <c r="O1047">
        <v>-3.0713259999870388</v>
      </c>
      <c r="P1047">
        <v>77993.994641000012</v>
      </c>
    </row>
    <row r="1048" spans="1:16" x14ac:dyDescent="0.25">
      <c r="A1048" s="10">
        <v>39143</v>
      </c>
      <c r="B1048">
        <v>-238.72448200000511</v>
      </c>
      <c r="C1048">
        <v>221.777524</v>
      </c>
      <c r="D1048">
        <v>0</v>
      </c>
      <c r="E1048">
        <v>-1800</v>
      </c>
      <c r="F1048">
        <v>0</v>
      </c>
      <c r="G1048">
        <v>1846.3972980000001</v>
      </c>
      <c r="H1048">
        <v>466.2098089999995</v>
      </c>
      <c r="I1048">
        <v>0</v>
      </c>
      <c r="J1048">
        <v>-989.61000000000013</v>
      </c>
      <c r="K1048">
        <v>-11.620000000000109</v>
      </c>
      <c r="L1048">
        <v>27.2</v>
      </c>
      <c r="M1048">
        <v>0</v>
      </c>
      <c r="N1048">
        <v>0</v>
      </c>
      <c r="O1048">
        <v>0.92088699999550272</v>
      </c>
      <c r="P1048">
        <v>77755.270159000007</v>
      </c>
    </row>
    <row r="1049" spans="1:16" x14ac:dyDescent="0.25">
      <c r="A1049" s="10">
        <v>39146</v>
      </c>
      <c r="B1049">
        <v>462.10967099999829</v>
      </c>
      <c r="C1049">
        <v>213.01480699999999</v>
      </c>
      <c r="D1049">
        <v>0</v>
      </c>
      <c r="E1049">
        <v>0</v>
      </c>
      <c r="F1049">
        <v>0</v>
      </c>
      <c r="G1049">
        <v>-3.4480779999999989</v>
      </c>
      <c r="H1049">
        <v>299.13709999999992</v>
      </c>
      <c r="I1049">
        <v>0</v>
      </c>
      <c r="J1049">
        <v>0</v>
      </c>
      <c r="K1049">
        <v>0</v>
      </c>
      <c r="L1049">
        <v>19.510000000000002</v>
      </c>
      <c r="M1049">
        <v>0</v>
      </c>
      <c r="N1049">
        <v>0</v>
      </c>
      <c r="O1049">
        <v>-66.104158000001576</v>
      </c>
      <c r="P1049">
        <v>78217.379830000005</v>
      </c>
    </row>
    <row r="1050" spans="1:16" x14ac:dyDescent="0.25">
      <c r="A1050" s="10">
        <v>39147</v>
      </c>
      <c r="B1050">
        <v>315.6775859999907</v>
      </c>
      <c r="C1050">
        <v>152.944818</v>
      </c>
      <c r="D1050">
        <v>0</v>
      </c>
      <c r="E1050">
        <v>0</v>
      </c>
      <c r="F1050">
        <v>0</v>
      </c>
      <c r="G1050">
        <v>-85.222065000000001</v>
      </c>
      <c r="H1050">
        <v>189.05073300000001</v>
      </c>
      <c r="I1050">
        <v>0</v>
      </c>
      <c r="J1050">
        <v>0</v>
      </c>
      <c r="K1050">
        <v>1</v>
      </c>
      <c r="L1050">
        <v>11.25</v>
      </c>
      <c r="M1050">
        <v>0</v>
      </c>
      <c r="N1050">
        <v>0</v>
      </c>
      <c r="O1050">
        <v>46.654099999990649</v>
      </c>
      <c r="P1050">
        <v>78533.057415999996</v>
      </c>
    </row>
    <row r="1051" spans="1:16" x14ac:dyDescent="0.25">
      <c r="A1051" s="10">
        <v>39148</v>
      </c>
      <c r="B1051">
        <v>-246.91005399999261</v>
      </c>
      <c r="C1051">
        <v>237.70099999999999</v>
      </c>
      <c r="D1051">
        <v>0</v>
      </c>
      <c r="E1051">
        <v>0</v>
      </c>
      <c r="F1051">
        <v>0</v>
      </c>
      <c r="G1051">
        <v>-3.3309869999999928</v>
      </c>
      <c r="H1051">
        <v>-103.6732709999997</v>
      </c>
      <c r="I1051">
        <v>0</v>
      </c>
      <c r="J1051">
        <v>0</v>
      </c>
      <c r="K1051">
        <v>1.1000000000000001</v>
      </c>
      <c r="L1051">
        <v>-381.94</v>
      </c>
      <c r="M1051">
        <v>0</v>
      </c>
      <c r="N1051">
        <v>0</v>
      </c>
      <c r="O1051">
        <v>3.2332040000070492</v>
      </c>
      <c r="P1051">
        <v>78286.147362000003</v>
      </c>
    </row>
    <row r="1052" spans="1:16" x14ac:dyDescent="0.25">
      <c r="A1052" s="10">
        <v>39149</v>
      </c>
      <c r="B1052">
        <v>-25.431746000002139</v>
      </c>
      <c r="C1052">
        <v>234.05777699999999</v>
      </c>
      <c r="D1052">
        <v>0</v>
      </c>
      <c r="E1052">
        <v>0</v>
      </c>
      <c r="F1052">
        <v>0</v>
      </c>
      <c r="G1052">
        <v>-14.226749999999999</v>
      </c>
      <c r="H1052">
        <v>-269.40147900000062</v>
      </c>
      <c r="I1052">
        <v>0</v>
      </c>
      <c r="J1052">
        <v>0</v>
      </c>
      <c r="K1052">
        <v>0.15</v>
      </c>
      <c r="L1052">
        <v>23.66</v>
      </c>
      <c r="M1052">
        <v>0</v>
      </c>
      <c r="N1052">
        <v>0</v>
      </c>
      <c r="O1052">
        <v>0.32870599999844069</v>
      </c>
      <c r="P1052">
        <v>78260.715616000001</v>
      </c>
    </row>
    <row r="1053" spans="1:16" x14ac:dyDescent="0.25">
      <c r="A1053" s="10">
        <v>39150</v>
      </c>
      <c r="B1053">
        <v>219.9319870000036</v>
      </c>
      <c r="C1053">
        <v>167.503884</v>
      </c>
      <c r="D1053">
        <v>0</v>
      </c>
      <c r="E1053">
        <v>1700</v>
      </c>
      <c r="F1053">
        <v>0</v>
      </c>
      <c r="G1053">
        <v>-1694.7569109999999</v>
      </c>
      <c r="H1053">
        <v>54.109255000000758</v>
      </c>
      <c r="I1053">
        <v>0</v>
      </c>
      <c r="J1053">
        <v>0</v>
      </c>
      <c r="K1053">
        <v>0.5</v>
      </c>
      <c r="L1053">
        <v>-9.9700000000000006</v>
      </c>
      <c r="M1053">
        <v>0</v>
      </c>
      <c r="N1053">
        <v>0</v>
      </c>
      <c r="O1053">
        <v>2.5457590000027892</v>
      </c>
      <c r="P1053">
        <v>78480.647603000005</v>
      </c>
    </row>
    <row r="1054" spans="1:16" x14ac:dyDescent="0.25">
      <c r="A1054" s="10">
        <v>39153</v>
      </c>
      <c r="B1054">
        <v>-9.1356110000052659</v>
      </c>
      <c r="C1054">
        <v>220.96</v>
      </c>
      <c r="D1054">
        <v>0</v>
      </c>
      <c r="E1054">
        <v>0</v>
      </c>
      <c r="F1054">
        <v>0</v>
      </c>
      <c r="G1054">
        <v>-5.4915517000000023</v>
      </c>
      <c r="H1054">
        <v>-211.60135700000049</v>
      </c>
      <c r="I1054">
        <v>0</v>
      </c>
      <c r="J1054">
        <v>0</v>
      </c>
      <c r="K1054">
        <v>0.63</v>
      </c>
      <c r="L1054">
        <v>0</v>
      </c>
      <c r="M1054">
        <v>0</v>
      </c>
      <c r="N1054">
        <v>0</v>
      </c>
      <c r="O1054">
        <v>-13.63270230000481</v>
      </c>
      <c r="P1054">
        <v>78471.511992</v>
      </c>
    </row>
    <row r="1055" spans="1:16" x14ac:dyDescent="0.25">
      <c r="A1055" s="10">
        <v>39154</v>
      </c>
      <c r="B1055">
        <v>99.205964000008336</v>
      </c>
      <c r="C1055">
        <v>219.632362</v>
      </c>
      <c r="D1055">
        <v>0</v>
      </c>
      <c r="E1055">
        <v>0</v>
      </c>
      <c r="F1055">
        <v>0</v>
      </c>
      <c r="G1055">
        <v>-39.351463300000013</v>
      </c>
      <c r="H1055">
        <v>-112.58676899999909</v>
      </c>
      <c r="I1055">
        <v>0</v>
      </c>
      <c r="J1055">
        <v>0</v>
      </c>
      <c r="K1055">
        <v>0.67</v>
      </c>
      <c r="L1055">
        <v>25.02</v>
      </c>
      <c r="M1055">
        <v>0</v>
      </c>
      <c r="N1055">
        <v>0</v>
      </c>
      <c r="O1055">
        <v>5.821834300007465</v>
      </c>
      <c r="P1055">
        <v>78570.717956000008</v>
      </c>
    </row>
    <row r="1056" spans="1:16" x14ac:dyDescent="0.25">
      <c r="A1056" s="10">
        <v>39155</v>
      </c>
      <c r="B1056">
        <v>-118.0839420000121</v>
      </c>
      <c r="C1056">
        <v>225.88800000000001</v>
      </c>
      <c r="D1056">
        <v>0</v>
      </c>
      <c r="E1056">
        <v>0</v>
      </c>
      <c r="F1056">
        <v>0</v>
      </c>
      <c r="G1056">
        <v>-2.8256619999999941</v>
      </c>
      <c r="H1056">
        <v>206.28095399999981</v>
      </c>
      <c r="I1056">
        <v>0</v>
      </c>
      <c r="J1056">
        <v>0</v>
      </c>
      <c r="K1056">
        <v>0.71</v>
      </c>
      <c r="L1056">
        <v>-548.53</v>
      </c>
      <c r="M1056">
        <v>0</v>
      </c>
      <c r="N1056">
        <v>0</v>
      </c>
      <c r="O1056">
        <v>0.39276599998811429</v>
      </c>
      <c r="P1056">
        <v>78452.634013999996</v>
      </c>
    </row>
    <row r="1057" spans="1:16" x14ac:dyDescent="0.25">
      <c r="A1057" s="10">
        <v>39156</v>
      </c>
      <c r="B1057">
        <v>585.42614800001331</v>
      </c>
      <c r="C1057">
        <v>272.76857700000011</v>
      </c>
      <c r="D1057">
        <v>0</v>
      </c>
      <c r="E1057">
        <v>0</v>
      </c>
      <c r="F1057">
        <v>0</v>
      </c>
      <c r="G1057">
        <v>-22.130802000000021</v>
      </c>
      <c r="H1057">
        <v>328.12762000000021</v>
      </c>
      <c r="I1057">
        <v>0</v>
      </c>
      <c r="J1057">
        <v>0</v>
      </c>
      <c r="K1057">
        <v>0.62</v>
      </c>
      <c r="L1057">
        <v>4.72</v>
      </c>
      <c r="M1057">
        <v>0</v>
      </c>
      <c r="N1057">
        <v>0</v>
      </c>
      <c r="O1057">
        <v>1.3207530000130421</v>
      </c>
      <c r="P1057">
        <v>79038.060162000009</v>
      </c>
    </row>
    <row r="1058" spans="1:16" x14ac:dyDescent="0.25">
      <c r="A1058" s="10">
        <v>39157</v>
      </c>
      <c r="B1058">
        <v>-284.15280199999671</v>
      </c>
      <c r="C1058">
        <v>345.72774199999998</v>
      </c>
      <c r="D1058">
        <v>0</v>
      </c>
      <c r="E1058">
        <v>0</v>
      </c>
      <c r="F1058">
        <v>0</v>
      </c>
      <c r="G1058">
        <v>-174.704499</v>
      </c>
      <c r="H1058">
        <v>-496.28486600000002</v>
      </c>
      <c r="I1058">
        <v>0</v>
      </c>
      <c r="J1058">
        <v>0</v>
      </c>
      <c r="K1058">
        <v>0.7</v>
      </c>
      <c r="L1058">
        <v>17.8</v>
      </c>
      <c r="M1058">
        <v>0</v>
      </c>
      <c r="N1058">
        <v>0</v>
      </c>
      <c r="O1058">
        <v>22.608821000003161</v>
      </c>
      <c r="P1058">
        <v>78753.907360000012</v>
      </c>
    </row>
    <row r="1059" spans="1:16" x14ac:dyDescent="0.25">
      <c r="A1059" s="10">
        <v>39160</v>
      </c>
      <c r="B1059">
        <v>-149.63572600000779</v>
      </c>
      <c r="C1059">
        <v>189.52799999999999</v>
      </c>
      <c r="D1059">
        <v>0</v>
      </c>
      <c r="E1059">
        <v>0</v>
      </c>
      <c r="F1059">
        <v>0</v>
      </c>
      <c r="G1059">
        <v>232.02562599999999</v>
      </c>
      <c r="H1059">
        <v>-572.67142200000035</v>
      </c>
      <c r="I1059">
        <v>0</v>
      </c>
      <c r="J1059">
        <v>0</v>
      </c>
      <c r="K1059">
        <v>1.0900000000000001</v>
      </c>
      <c r="L1059">
        <v>0</v>
      </c>
      <c r="M1059">
        <v>0</v>
      </c>
      <c r="N1059">
        <v>0</v>
      </c>
      <c r="O1059">
        <v>0.39206999999254322</v>
      </c>
      <c r="P1059">
        <v>78604.271634000004</v>
      </c>
    </row>
    <row r="1060" spans="1:16" x14ac:dyDescent="0.25">
      <c r="A1060" s="10">
        <v>39161</v>
      </c>
      <c r="B1060">
        <v>-224.51608299999481</v>
      </c>
      <c r="C1060">
        <v>228.29380900000001</v>
      </c>
      <c r="D1060">
        <v>0</v>
      </c>
      <c r="E1060">
        <v>0</v>
      </c>
      <c r="F1060">
        <v>0</v>
      </c>
      <c r="G1060">
        <v>-122.31042600000001</v>
      </c>
      <c r="H1060">
        <v>-371.77702600000072</v>
      </c>
      <c r="I1060">
        <v>0</v>
      </c>
      <c r="J1060">
        <v>0</v>
      </c>
      <c r="K1060">
        <v>0.7</v>
      </c>
      <c r="L1060">
        <v>40.119999999999997</v>
      </c>
      <c r="M1060">
        <v>0</v>
      </c>
      <c r="N1060">
        <v>0</v>
      </c>
      <c r="O1060">
        <v>0.45756000000585573</v>
      </c>
      <c r="P1060">
        <v>78379.755551000009</v>
      </c>
    </row>
    <row r="1061" spans="1:16" x14ac:dyDescent="0.25">
      <c r="A1061" s="10">
        <v>39162</v>
      </c>
      <c r="B1061">
        <v>-161.27845199999859</v>
      </c>
      <c r="C1061">
        <v>221.01499999999999</v>
      </c>
      <c r="D1061">
        <v>0</v>
      </c>
      <c r="E1061">
        <v>0</v>
      </c>
      <c r="F1061">
        <v>0</v>
      </c>
      <c r="G1061">
        <v>41.023464999999973</v>
      </c>
      <c r="H1061">
        <v>678.40188999999964</v>
      </c>
      <c r="I1061">
        <v>0</v>
      </c>
      <c r="J1061">
        <v>0</v>
      </c>
      <c r="K1061">
        <v>0.81</v>
      </c>
      <c r="L1061">
        <v>-1118.6199999999999</v>
      </c>
      <c r="M1061">
        <v>0</v>
      </c>
      <c r="N1061">
        <v>0</v>
      </c>
      <c r="O1061">
        <v>16.091193000001741</v>
      </c>
      <c r="P1061">
        <v>78218.477099000011</v>
      </c>
    </row>
    <row r="1062" spans="1:16" x14ac:dyDescent="0.25">
      <c r="A1062" s="10">
        <v>39163</v>
      </c>
      <c r="B1062">
        <v>-365.35812400000538</v>
      </c>
      <c r="C1062">
        <v>166.36799999999999</v>
      </c>
      <c r="D1062">
        <v>0</v>
      </c>
      <c r="E1062">
        <v>0</v>
      </c>
      <c r="F1062">
        <v>0</v>
      </c>
      <c r="G1062">
        <v>-8.190314999999984</v>
      </c>
      <c r="H1062">
        <v>-538.65794499999947</v>
      </c>
      <c r="I1062">
        <v>0</v>
      </c>
      <c r="J1062">
        <v>0</v>
      </c>
      <c r="K1062">
        <v>0.13999999999978169</v>
      </c>
      <c r="L1062">
        <v>15.01</v>
      </c>
      <c r="M1062">
        <v>0</v>
      </c>
      <c r="N1062">
        <v>0</v>
      </c>
      <c r="O1062">
        <v>-2.7864000005706661E-2</v>
      </c>
      <c r="P1062">
        <v>77853.118975000005</v>
      </c>
    </row>
    <row r="1063" spans="1:16" x14ac:dyDescent="0.25">
      <c r="A1063" s="10">
        <v>39164</v>
      </c>
      <c r="B1063">
        <v>134.1610249999944</v>
      </c>
      <c r="C1063">
        <v>248.3</v>
      </c>
      <c r="D1063">
        <v>0</v>
      </c>
      <c r="E1063">
        <v>-600</v>
      </c>
      <c r="F1063">
        <v>0</v>
      </c>
      <c r="G1063">
        <v>590.72327599999994</v>
      </c>
      <c r="H1063">
        <v>-109.6603230000001</v>
      </c>
      <c r="I1063">
        <v>0</v>
      </c>
      <c r="J1063">
        <v>0</v>
      </c>
      <c r="K1063">
        <v>0.9</v>
      </c>
      <c r="L1063">
        <v>2.68</v>
      </c>
      <c r="M1063">
        <v>0</v>
      </c>
      <c r="N1063">
        <v>0</v>
      </c>
      <c r="O1063">
        <v>1.2180719999944929</v>
      </c>
      <c r="P1063">
        <v>77987.28</v>
      </c>
    </row>
    <row r="1064" spans="1:16" x14ac:dyDescent="0.25">
      <c r="A1064" s="10">
        <v>39167</v>
      </c>
      <c r="B1064">
        <v>653.57387500000164</v>
      </c>
      <c r="C1064">
        <v>213.46169800000001</v>
      </c>
      <c r="D1064">
        <v>0</v>
      </c>
      <c r="E1064">
        <v>0</v>
      </c>
      <c r="F1064">
        <v>0</v>
      </c>
      <c r="G1064">
        <v>-1.171349999999983</v>
      </c>
      <c r="H1064">
        <v>437.42985099999993</v>
      </c>
      <c r="I1064">
        <v>0</v>
      </c>
      <c r="J1064">
        <v>0</v>
      </c>
      <c r="K1064">
        <v>1.51</v>
      </c>
      <c r="L1064">
        <v>0</v>
      </c>
      <c r="M1064">
        <v>0</v>
      </c>
      <c r="N1064">
        <v>0</v>
      </c>
      <c r="O1064">
        <v>2.343676000001778</v>
      </c>
      <c r="P1064">
        <v>78640.853875000001</v>
      </c>
    </row>
    <row r="1065" spans="1:16" x14ac:dyDescent="0.25">
      <c r="A1065" s="10">
        <v>39168</v>
      </c>
      <c r="B1065">
        <v>-48.21032899999431</v>
      </c>
      <c r="C1065">
        <v>253.15600000000001</v>
      </c>
      <c r="D1065">
        <v>0</v>
      </c>
      <c r="E1065">
        <v>0</v>
      </c>
      <c r="F1065">
        <v>0</v>
      </c>
      <c r="G1065">
        <v>221.95946499999999</v>
      </c>
      <c r="H1065">
        <v>-538.31461200000012</v>
      </c>
      <c r="I1065">
        <v>0</v>
      </c>
      <c r="J1065">
        <v>0</v>
      </c>
      <c r="K1065">
        <v>0.76</v>
      </c>
      <c r="L1065">
        <v>12.51</v>
      </c>
      <c r="M1065">
        <v>0</v>
      </c>
      <c r="N1065">
        <v>0</v>
      </c>
      <c r="O1065">
        <v>1.7188180000058471</v>
      </c>
      <c r="P1065">
        <v>78592.643546000007</v>
      </c>
    </row>
    <row r="1066" spans="1:16" x14ac:dyDescent="0.25">
      <c r="A1066" s="10">
        <v>39169</v>
      </c>
      <c r="B1066">
        <v>-287.65549000000442</v>
      </c>
      <c r="C1066">
        <v>253.89400000000001</v>
      </c>
      <c r="D1066">
        <v>0</v>
      </c>
      <c r="E1066">
        <v>0</v>
      </c>
      <c r="F1066">
        <v>0</v>
      </c>
      <c r="G1066">
        <v>0.59948400000000035</v>
      </c>
      <c r="H1066">
        <v>-120.543001</v>
      </c>
      <c r="I1066">
        <v>0</v>
      </c>
      <c r="J1066">
        <v>0</v>
      </c>
      <c r="K1066">
        <v>0.33999999999987263</v>
      </c>
      <c r="L1066">
        <v>-433.61</v>
      </c>
      <c r="M1066">
        <v>0</v>
      </c>
      <c r="N1066">
        <v>0</v>
      </c>
      <c r="O1066">
        <v>11.664026999995709</v>
      </c>
      <c r="P1066">
        <v>78304.988056000002</v>
      </c>
    </row>
    <row r="1067" spans="1:16" x14ac:dyDescent="0.25">
      <c r="A1067" s="10">
        <v>39170</v>
      </c>
      <c r="B1067">
        <v>6.4980840000062727</v>
      </c>
      <c r="C1067">
        <v>233.48283900000001</v>
      </c>
      <c r="D1067">
        <v>0</v>
      </c>
      <c r="E1067">
        <v>0</v>
      </c>
      <c r="F1067">
        <v>0</v>
      </c>
      <c r="G1067">
        <v>-89.996532000000016</v>
      </c>
      <c r="H1067">
        <v>-170.94166599999971</v>
      </c>
      <c r="I1067">
        <v>0</v>
      </c>
      <c r="J1067">
        <v>0</v>
      </c>
      <c r="K1067">
        <v>1.08</v>
      </c>
      <c r="L1067">
        <v>38.03</v>
      </c>
      <c r="M1067">
        <v>0</v>
      </c>
      <c r="N1067">
        <v>0</v>
      </c>
      <c r="O1067">
        <v>-5.1565569999940237</v>
      </c>
      <c r="P1067">
        <v>78311.486140000008</v>
      </c>
    </row>
    <row r="1068" spans="1:16" x14ac:dyDescent="0.25">
      <c r="A1068" s="10">
        <v>39171</v>
      </c>
      <c r="B1068">
        <v>485.39615699999553</v>
      </c>
      <c r="C1068">
        <v>266.9203</v>
      </c>
      <c r="D1068">
        <v>0</v>
      </c>
      <c r="E1068">
        <v>700</v>
      </c>
      <c r="F1068">
        <v>150</v>
      </c>
      <c r="G1068">
        <v>-1165.2769679999999</v>
      </c>
      <c r="H1068">
        <v>516.81039699999928</v>
      </c>
      <c r="I1068">
        <v>0</v>
      </c>
      <c r="J1068">
        <v>0</v>
      </c>
      <c r="K1068">
        <v>0.96</v>
      </c>
      <c r="L1068">
        <v>4.3600000000000003</v>
      </c>
      <c r="M1068">
        <v>0</v>
      </c>
      <c r="N1068">
        <v>0</v>
      </c>
      <c r="O1068">
        <v>11.62242799999615</v>
      </c>
      <c r="P1068">
        <v>78796.882297000004</v>
      </c>
    </row>
    <row r="1069" spans="1:16" x14ac:dyDescent="0.25">
      <c r="A1069" s="10">
        <v>39175</v>
      </c>
      <c r="B1069">
        <v>1678.539737999992</v>
      </c>
      <c r="C1069">
        <v>158.86655099999999</v>
      </c>
      <c r="D1069">
        <v>0</v>
      </c>
      <c r="E1069">
        <v>0</v>
      </c>
      <c r="F1069">
        <v>0</v>
      </c>
      <c r="G1069">
        <v>291.20215799999988</v>
      </c>
      <c r="H1069">
        <v>1241.339794</v>
      </c>
      <c r="I1069">
        <v>0</v>
      </c>
      <c r="J1069">
        <v>0</v>
      </c>
      <c r="K1069">
        <v>-0.32999999999978158</v>
      </c>
      <c r="L1069">
        <v>-7.98</v>
      </c>
      <c r="M1069">
        <v>0</v>
      </c>
      <c r="N1069">
        <v>0</v>
      </c>
      <c r="O1069">
        <v>-4.5587650000077797</v>
      </c>
      <c r="P1069">
        <v>80475.422034999996</v>
      </c>
    </row>
    <row r="1070" spans="1:16" x14ac:dyDescent="0.25">
      <c r="A1070" s="10">
        <v>39176</v>
      </c>
      <c r="B1070">
        <v>-3.6550969999954082</v>
      </c>
      <c r="C1070">
        <v>259.95499999999998</v>
      </c>
      <c r="D1070">
        <v>0</v>
      </c>
      <c r="E1070">
        <v>0</v>
      </c>
      <c r="F1070">
        <v>0</v>
      </c>
      <c r="G1070">
        <v>-96.508256999999986</v>
      </c>
      <c r="H1070">
        <v>301.24199999999968</v>
      </c>
      <c r="I1070">
        <v>0</v>
      </c>
      <c r="J1070">
        <v>-85.269999999999982</v>
      </c>
      <c r="K1070">
        <v>-9.85</v>
      </c>
      <c r="L1070">
        <v>-308.01</v>
      </c>
      <c r="M1070">
        <v>0</v>
      </c>
      <c r="N1070">
        <v>0</v>
      </c>
      <c r="O1070">
        <v>-65.213839999995116</v>
      </c>
      <c r="P1070">
        <v>80471.766938000001</v>
      </c>
    </row>
    <row r="1071" spans="1:16" x14ac:dyDescent="0.25">
      <c r="A1071" s="10">
        <v>39181</v>
      </c>
      <c r="B1071">
        <v>-81.486716999992495</v>
      </c>
      <c r="C1071">
        <v>335.928</v>
      </c>
      <c r="D1071">
        <v>0</v>
      </c>
      <c r="E1071">
        <v>0</v>
      </c>
      <c r="F1071">
        <v>0</v>
      </c>
      <c r="G1071">
        <v>-1.9513880000000161</v>
      </c>
      <c r="H1071">
        <v>-471.89778200000001</v>
      </c>
      <c r="I1071">
        <v>0</v>
      </c>
      <c r="J1071">
        <v>0</v>
      </c>
      <c r="K1071">
        <v>1.94</v>
      </c>
      <c r="L1071">
        <v>0</v>
      </c>
      <c r="M1071">
        <v>0</v>
      </c>
      <c r="N1071">
        <v>0</v>
      </c>
      <c r="O1071">
        <v>54.494453000007518</v>
      </c>
      <c r="P1071">
        <v>80390.280221000008</v>
      </c>
    </row>
    <row r="1072" spans="1:16" x14ac:dyDescent="0.25">
      <c r="A1072" s="10">
        <v>39182</v>
      </c>
      <c r="B1072">
        <v>82.90176999999666</v>
      </c>
      <c r="C1072">
        <v>294.678</v>
      </c>
      <c r="D1072">
        <v>0</v>
      </c>
      <c r="E1072">
        <v>0</v>
      </c>
      <c r="F1072">
        <v>0</v>
      </c>
      <c r="G1072">
        <v>-3.5206119999999861</v>
      </c>
      <c r="H1072">
        <v>-249.41199999999941</v>
      </c>
      <c r="I1072">
        <v>0</v>
      </c>
      <c r="J1072">
        <v>0</v>
      </c>
      <c r="K1072">
        <v>1.4</v>
      </c>
      <c r="L1072">
        <v>37.739999999999988</v>
      </c>
      <c r="M1072">
        <v>0</v>
      </c>
      <c r="N1072">
        <v>0</v>
      </c>
      <c r="O1072">
        <v>2.0163819999960002</v>
      </c>
      <c r="P1072">
        <v>80473.181991000005</v>
      </c>
    </row>
    <row r="1073" spans="1:16" x14ac:dyDescent="0.25">
      <c r="A1073" s="10">
        <v>39183</v>
      </c>
      <c r="B1073">
        <v>114.36794399999761</v>
      </c>
      <c r="C1073">
        <v>536.86963500000002</v>
      </c>
      <c r="D1073">
        <v>0</v>
      </c>
      <c r="E1073">
        <v>0</v>
      </c>
      <c r="F1073">
        <v>0</v>
      </c>
      <c r="G1073">
        <v>-29.275635000000019</v>
      </c>
      <c r="H1073">
        <v>-242.50300000000021</v>
      </c>
      <c r="I1073">
        <v>0</v>
      </c>
      <c r="J1073">
        <v>0</v>
      </c>
      <c r="K1073">
        <v>12.02</v>
      </c>
      <c r="L1073">
        <v>-169.58</v>
      </c>
      <c r="M1073">
        <v>0</v>
      </c>
      <c r="N1073">
        <v>0</v>
      </c>
      <c r="O1073">
        <v>6.8369439999978567</v>
      </c>
      <c r="P1073">
        <v>80587.549935000003</v>
      </c>
    </row>
    <row r="1074" spans="1:16" x14ac:dyDescent="0.25">
      <c r="A1074" s="10">
        <v>39184</v>
      </c>
      <c r="B1074">
        <v>-374.86970599999779</v>
      </c>
      <c r="C1074">
        <v>513.59950000000003</v>
      </c>
      <c r="D1074">
        <v>0</v>
      </c>
      <c r="E1074">
        <v>0</v>
      </c>
      <c r="F1074">
        <v>0</v>
      </c>
      <c r="G1074">
        <v>-23.996500999999981</v>
      </c>
      <c r="H1074">
        <v>-851.91838399999915</v>
      </c>
      <c r="I1074">
        <v>0</v>
      </c>
      <c r="J1074">
        <v>0</v>
      </c>
      <c r="K1074">
        <v>12.07</v>
      </c>
      <c r="L1074">
        <v>-5.16</v>
      </c>
      <c r="M1074">
        <v>0</v>
      </c>
      <c r="N1074">
        <v>0</v>
      </c>
      <c r="O1074">
        <v>-19.464320999998719</v>
      </c>
      <c r="P1074">
        <v>80212.680229000005</v>
      </c>
    </row>
    <row r="1075" spans="1:16" x14ac:dyDescent="0.25">
      <c r="A1075" s="10">
        <v>39185</v>
      </c>
      <c r="B1075">
        <v>105.8399059999935</v>
      </c>
      <c r="C1075">
        <v>24.981695999999999</v>
      </c>
      <c r="D1075">
        <v>0</v>
      </c>
      <c r="E1075">
        <v>0</v>
      </c>
      <c r="F1075">
        <v>0</v>
      </c>
      <c r="G1075">
        <v>-61.455350999999951</v>
      </c>
      <c r="H1075">
        <v>141.3756599999997</v>
      </c>
      <c r="I1075">
        <v>0</v>
      </c>
      <c r="J1075">
        <v>0</v>
      </c>
      <c r="K1075">
        <v>0.39</v>
      </c>
      <c r="L1075">
        <v>0</v>
      </c>
      <c r="M1075">
        <v>0</v>
      </c>
      <c r="N1075">
        <v>0</v>
      </c>
      <c r="O1075">
        <v>0.54790099999371478</v>
      </c>
      <c r="P1075">
        <v>80318.520134999999</v>
      </c>
    </row>
    <row r="1076" spans="1:16" x14ac:dyDescent="0.25">
      <c r="A1076" s="10">
        <v>39188</v>
      </c>
      <c r="B1076">
        <v>-136.13682200000071</v>
      </c>
      <c r="C1076">
        <v>243.08099999999999</v>
      </c>
      <c r="D1076">
        <v>0</v>
      </c>
      <c r="E1076">
        <v>0</v>
      </c>
      <c r="F1076">
        <v>0</v>
      </c>
      <c r="G1076">
        <v>84.679884999999985</v>
      </c>
      <c r="H1076">
        <v>-460.31601600000067</v>
      </c>
      <c r="I1076">
        <v>0</v>
      </c>
      <c r="J1076">
        <v>0</v>
      </c>
      <c r="K1076">
        <v>1.18</v>
      </c>
      <c r="L1076">
        <v>-4.99</v>
      </c>
      <c r="M1076">
        <v>0</v>
      </c>
      <c r="N1076">
        <v>0</v>
      </c>
      <c r="O1076">
        <v>0.2283090000000243</v>
      </c>
      <c r="P1076">
        <v>80182.383312999998</v>
      </c>
    </row>
    <row r="1077" spans="1:16" x14ac:dyDescent="0.25">
      <c r="A1077" s="10">
        <v>39189</v>
      </c>
      <c r="B1077">
        <v>-688.69310899999971</v>
      </c>
      <c r="C1077">
        <v>344.733</v>
      </c>
      <c r="D1077">
        <v>0</v>
      </c>
      <c r="E1077">
        <v>0</v>
      </c>
      <c r="F1077">
        <v>0</v>
      </c>
      <c r="G1077">
        <v>-128.59395000000009</v>
      </c>
      <c r="H1077">
        <v>-893.50241300000016</v>
      </c>
      <c r="I1077">
        <v>0</v>
      </c>
      <c r="J1077">
        <v>0</v>
      </c>
      <c r="K1077">
        <v>1.25</v>
      </c>
      <c r="L1077">
        <v>-11.89</v>
      </c>
      <c r="M1077">
        <v>0</v>
      </c>
      <c r="N1077">
        <v>0</v>
      </c>
      <c r="O1077">
        <v>-0.68974599999955899</v>
      </c>
      <c r="P1077">
        <v>79493.690203999999</v>
      </c>
    </row>
    <row r="1078" spans="1:16" x14ac:dyDescent="0.25">
      <c r="A1078" s="10">
        <v>39190</v>
      </c>
      <c r="B1078">
        <v>-199.17497900000271</v>
      </c>
      <c r="C1078">
        <v>440.862121</v>
      </c>
      <c r="D1078">
        <v>0</v>
      </c>
      <c r="E1078">
        <v>0</v>
      </c>
      <c r="F1078">
        <v>0</v>
      </c>
      <c r="G1078">
        <v>58.366721000000098</v>
      </c>
      <c r="H1078">
        <v>2.5856089999997489</v>
      </c>
      <c r="I1078">
        <v>0</v>
      </c>
      <c r="J1078">
        <v>0</v>
      </c>
      <c r="K1078">
        <v>0.94</v>
      </c>
      <c r="L1078">
        <v>-728.08999999999992</v>
      </c>
      <c r="M1078">
        <v>0</v>
      </c>
      <c r="N1078">
        <v>0</v>
      </c>
      <c r="O1078">
        <v>26.160569999997389</v>
      </c>
      <c r="P1078">
        <v>79294.515224999996</v>
      </c>
    </row>
    <row r="1079" spans="1:16" x14ac:dyDescent="0.25">
      <c r="A1079" s="10">
        <v>39191</v>
      </c>
      <c r="B1079">
        <v>329.36602800000412</v>
      </c>
      <c r="C1079">
        <v>142.99483000000001</v>
      </c>
      <c r="D1079">
        <v>0</v>
      </c>
      <c r="E1079">
        <v>0</v>
      </c>
      <c r="F1079">
        <v>0</v>
      </c>
      <c r="G1079">
        <v>120.39860899999999</v>
      </c>
      <c r="H1079">
        <v>24.817000000000011</v>
      </c>
      <c r="I1079">
        <v>0</v>
      </c>
      <c r="J1079">
        <v>0</v>
      </c>
      <c r="K1079">
        <v>0.87</v>
      </c>
      <c r="L1079">
        <v>36.89</v>
      </c>
      <c r="M1079">
        <v>0</v>
      </c>
      <c r="N1079">
        <v>0</v>
      </c>
      <c r="O1079">
        <v>3.3955890000041218</v>
      </c>
      <c r="P1079">
        <v>79623.881253</v>
      </c>
    </row>
    <row r="1080" spans="1:16" x14ac:dyDescent="0.25">
      <c r="A1080" s="10">
        <v>39192</v>
      </c>
      <c r="B1080">
        <v>-692.08210199998575</v>
      </c>
      <c r="C1080">
        <v>115.02938899999999</v>
      </c>
      <c r="D1080">
        <v>0</v>
      </c>
      <c r="E1080">
        <v>0</v>
      </c>
      <c r="F1080">
        <v>0</v>
      </c>
      <c r="G1080">
        <v>-132.42463599999999</v>
      </c>
      <c r="H1080">
        <v>-665.42708800000037</v>
      </c>
      <c r="I1080">
        <v>0</v>
      </c>
      <c r="J1080">
        <v>0</v>
      </c>
      <c r="K1080">
        <v>0.75</v>
      </c>
      <c r="L1080">
        <v>-9.5499999999999989</v>
      </c>
      <c r="M1080">
        <v>0</v>
      </c>
      <c r="N1080">
        <v>0</v>
      </c>
      <c r="O1080">
        <v>-0.45976699998547588</v>
      </c>
      <c r="P1080">
        <v>78931.799151000014</v>
      </c>
    </row>
    <row r="1081" spans="1:16" x14ac:dyDescent="0.25">
      <c r="A1081" s="10">
        <v>39195</v>
      </c>
      <c r="B1081">
        <v>-18.472871000005689</v>
      </c>
      <c r="C1081">
        <v>286.79599999999999</v>
      </c>
      <c r="D1081">
        <v>0</v>
      </c>
      <c r="E1081">
        <v>0</v>
      </c>
      <c r="F1081">
        <v>0</v>
      </c>
      <c r="G1081">
        <v>-29.11114199999998</v>
      </c>
      <c r="H1081">
        <v>-281.81304200000068</v>
      </c>
      <c r="I1081">
        <v>0</v>
      </c>
      <c r="J1081">
        <v>0</v>
      </c>
      <c r="K1081">
        <v>1.68</v>
      </c>
      <c r="L1081">
        <v>0</v>
      </c>
      <c r="M1081">
        <v>0</v>
      </c>
      <c r="N1081">
        <v>0</v>
      </c>
      <c r="O1081">
        <v>3.9753129999949679</v>
      </c>
      <c r="P1081">
        <v>78913.326280000008</v>
      </c>
    </row>
    <row r="1082" spans="1:16" x14ac:dyDescent="0.25">
      <c r="A1082" s="10">
        <v>39196</v>
      </c>
      <c r="B1082">
        <v>375.77837799998809</v>
      </c>
      <c r="C1082">
        <v>314.59581700000001</v>
      </c>
      <c r="D1082">
        <v>0</v>
      </c>
      <c r="E1082">
        <v>0</v>
      </c>
      <c r="F1082">
        <v>0</v>
      </c>
      <c r="G1082">
        <v>34.716457999999989</v>
      </c>
      <c r="H1082">
        <v>-47.474197000000459</v>
      </c>
      <c r="I1082">
        <v>0</v>
      </c>
      <c r="J1082">
        <v>0</v>
      </c>
      <c r="K1082">
        <v>1.7190000000000001</v>
      </c>
      <c r="L1082">
        <v>70.211343999999997</v>
      </c>
      <c r="M1082">
        <v>0</v>
      </c>
      <c r="N1082">
        <v>0</v>
      </c>
      <c r="O1082">
        <v>2.0099559999885628</v>
      </c>
      <c r="P1082">
        <v>79289.104657999997</v>
      </c>
    </row>
    <row r="1083" spans="1:16" x14ac:dyDescent="0.25">
      <c r="A1083" s="10">
        <v>39197</v>
      </c>
      <c r="B1083">
        <v>-549.30804699999885</v>
      </c>
      <c r="C1083">
        <v>304.68508100000003</v>
      </c>
      <c r="D1083">
        <v>0</v>
      </c>
      <c r="E1083">
        <v>0</v>
      </c>
      <c r="F1083">
        <v>0</v>
      </c>
      <c r="G1083">
        <v>-6.9234580000000143</v>
      </c>
      <c r="H1083">
        <v>-31.918155000000301</v>
      </c>
      <c r="I1083">
        <v>0</v>
      </c>
      <c r="J1083">
        <v>0</v>
      </c>
      <c r="K1083">
        <v>1.613</v>
      </c>
      <c r="L1083">
        <v>-874.31999999999994</v>
      </c>
      <c r="M1083">
        <v>0</v>
      </c>
      <c r="N1083">
        <v>0</v>
      </c>
      <c r="O1083">
        <v>57.555485000001447</v>
      </c>
      <c r="P1083">
        <v>78739.796610999998</v>
      </c>
    </row>
    <row r="1084" spans="1:16" x14ac:dyDescent="0.25">
      <c r="A1084" s="10">
        <v>39198</v>
      </c>
      <c r="B1084">
        <v>454.19770699999941</v>
      </c>
      <c r="C1084">
        <v>39.274999999999999</v>
      </c>
      <c r="D1084">
        <v>0</v>
      </c>
      <c r="E1084">
        <v>0</v>
      </c>
      <c r="F1084">
        <v>0</v>
      </c>
      <c r="G1084">
        <v>-7.1226019999999721</v>
      </c>
      <c r="H1084">
        <v>431.88254199999938</v>
      </c>
      <c r="I1084">
        <v>0</v>
      </c>
      <c r="J1084">
        <v>0</v>
      </c>
      <c r="K1084">
        <v>1.37</v>
      </c>
      <c r="L1084">
        <v>-20.75</v>
      </c>
      <c r="M1084">
        <v>0</v>
      </c>
      <c r="N1084">
        <v>0</v>
      </c>
      <c r="O1084">
        <v>9.5427670000000262</v>
      </c>
      <c r="P1084">
        <v>79193.994317999997</v>
      </c>
    </row>
    <row r="1085" spans="1:16" x14ac:dyDescent="0.25">
      <c r="A1085" s="10">
        <v>39199</v>
      </c>
      <c r="B1085">
        <v>250.43111400000649</v>
      </c>
      <c r="C1085">
        <v>181.90840299999999</v>
      </c>
      <c r="D1085">
        <v>0</v>
      </c>
      <c r="E1085">
        <v>0</v>
      </c>
      <c r="F1085">
        <v>0</v>
      </c>
      <c r="G1085">
        <v>176.611602</v>
      </c>
      <c r="H1085">
        <v>-105.53819899999959</v>
      </c>
      <c r="I1085">
        <v>0</v>
      </c>
      <c r="J1085">
        <v>0</v>
      </c>
      <c r="K1085">
        <v>1.41</v>
      </c>
      <c r="L1085">
        <v>0</v>
      </c>
      <c r="M1085">
        <v>0</v>
      </c>
      <c r="N1085">
        <v>0</v>
      </c>
      <c r="O1085">
        <v>-3.960691999993855</v>
      </c>
      <c r="P1085">
        <v>79444.425432000004</v>
      </c>
    </row>
    <row r="1086" spans="1:16" x14ac:dyDescent="0.25">
      <c r="A1086" s="10">
        <v>39202</v>
      </c>
      <c r="B1086">
        <v>-1711.091598999991</v>
      </c>
      <c r="C1086">
        <v>395.14828499999999</v>
      </c>
      <c r="D1086">
        <v>0</v>
      </c>
      <c r="E1086">
        <v>0</v>
      </c>
      <c r="F1086">
        <v>0</v>
      </c>
      <c r="G1086">
        <v>-135.6299315497059</v>
      </c>
      <c r="H1086">
        <v>-1981.2449999999999</v>
      </c>
      <c r="I1086">
        <v>0</v>
      </c>
      <c r="J1086">
        <v>0</v>
      </c>
      <c r="K1086">
        <v>2.46</v>
      </c>
      <c r="L1086">
        <v>0</v>
      </c>
      <c r="M1086">
        <v>0</v>
      </c>
      <c r="N1086">
        <v>0</v>
      </c>
      <c r="O1086">
        <v>8.1750475497146908</v>
      </c>
      <c r="P1086">
        <v>77733.333833000012</v>
      </c>
    </row>
    <row r="1087" spans="1:16" x14ac:dyDescent="0.25">
      <c r="A1087" s="10">
        <v>39204</v>
      </c>
      <c r="B1087">
        <v>2720.3611069999888</v>
      </c>
      <c r="C1087">
        <v>363.47584799999998</v>
      </c>
      <c r="D1087">
        <v>0</v>
      </c>
      <c r="E1087">
        <v>0</v>
      </c>
      <c r="F1087">
        <v>0</v>
      </c>
      <c r="G1087">
        <v>-31.845680000000002</v>
      </c>
      <c r="H1087">
        <v>3032.916327999998</v>
      </c>
      <c r="I1087">
        <v>0</v>
      </c>
      <c r="J1087">
        <v>0</v>
      </c>
      <c r="K1087">
        <v>3.72</v>
      </c>
      <c r="L1087">
        <v>-644.86</v>
      </c>
      <c r="M1087">
        <v>0</v>
      </c>
      <c r="N1087">
        <v>0</v>
      </c>
      <c r="O1087">
        <v>-3.0453890000089809</v>
      </c>
      <c r="P1087">
        <v>80453.694940000001</v>
      </c>
    </row>
    <row r="1088" spans="1:16" x14ac:dyDescent="0.25">
      <c r="A1088" s="10">
        <v>39205</v>
      </c>
      <c r="B1088">
        <v>-36.602457999993902</v>
      </c>
      <c r="C1088">
        <v>148.947</v>
      </c>
      <c r="D1088">
        <v>0</v>
      </c>
      <c r="E1088">
        <v>0</v>
      </c>
      <c r="F1088">
        <v>0</v>
      </c>
      <c r="G1088">
        <v>75.92568</v>
      </c>
      <c r="H1088">
        <v>-162.97939799999949</v>
      </c>
      <c r="I1088">
        <v>0</v>
      </c>
      <c r="J1088">
        <v>-86.75</v>
      </c>
      <c r="K1088">
        <v>-8.2600000000001828</v>
      </c>
      <c r="L1088">
        <v>-4.97</v>
      </c>
      <c r="M1088">
        <v>0</v>
      </c>
      <c r="N1088">
        <v>0</v>
      </c>
      <c r="O1088">
        <v>1.484260000005776</v>
      </c>
      <c r="P1088">
        <v>80417.092482000007</v>
      </c>
    </row>
    <row r="1089" spans="1:16" x14ac:dyDescent="0.25">
      <c r="A1089" s="10">
        <v>39206</v>
      </c>
      <c r="B1089">
        <v>723.32791300000122</v>
      </c>
      <c r="C1089">
        <v>214.02600000000001</v>
      </c>
      <c r="D1089">
        <v>0</v>
      </c>
      <c r="E1089">
        <v>0</v>
      </c>
      <c r="F1089">
        <v>0</v>
      </c>
      <c r="G1089">
        <v>0.57700000000000529</v>
      </c>
      <c r="H1089">
        <v>574.1677439999994</v>
      </c>
      <c r="I1089">
        <v>0</v>
      </c>
      <c r="J1089">
        <v>0</v>
      </c>
      <c r="K1089">
        <v>1.03</v>
      </c>
      <c r="L1089">
        <v>0</v>
      </c>
      <c r="M1089">
        <v>0</v>
      </c>
      <c r="N1089">
        <v>0</v>
      </c>
      <c r="O1089">
        <v>-66.472830999998223</v>
      </c>
      <c r="P1089">
        <v>81140.420395000008</v>
      </c>
    </row>
    <row r="1090" spans="1:16" x14ac:dyDescent="0.25">
      <c r="A1090" s="10">
        <v>39209</v>
      </c>
      <c r="B1090">
        <v>230.30465399999221</v>
      </c>
      <c r="C1090">
        <v>502.26036499999998</v>
      </c>
      <c r="D1090">
        <v>0</v>
      </c>
      <c r="E1090">
        <v>0</v>
      </c>
      <c r="F1090">
        <v>0</v>
      </c>
      <c r="G1090">
        <v>-98.244000000000042</v>
      </c>
      <c r="H1090">
        <v>-231.13199999999961</v>
      </c>
      <c r="I1090">
        <v>0</v>
      </c>
      <c r="J1090">
        <v>0</v>
      </c>
      <c r="K1090">
        <v>2.13</v>
      </c>
      <c r="L1090">
        <v>0</v>
      </c>
      <c r="M1090">
        <v>0</v>
      </c>
      <c r="N1090">
        <v>0</v>
      </c>
      <c r="O1090">
        <v>55.290288999991837</v>
      </c>
      <c r="P1090">
        <v>81370.725049000001</v>
      </c>
    </row>
    <row r="1091" spans="1:16" x14ac:dyDescent="0.25">
      <c r="A1091" s="10">
        <v>39210</v>
      </c>
      <c r="B1091">
        <v>325.56037099999929</v>
      </c>
      <c r="C1091">
        <v>441.226156</v>
      </c>
      <c r="D1091">
        <v>0</v>
      </c>
      <c r="E1091">
        <v>0</v>
      </c>
      <c r="F1091">
        <v>0</v>
      </c>
      <c r="G1091">
        <v>0.73000000000001819</v>
      </c>
      <c r="H1091">
        <v>-163.02811299999939</v>
      </c>
      <c r="I1091">
        <v>0</v>
      </c>
      <c r="J1091">
        <v>0</v>
      </c>
      <c r="K1091">
        <v>0.33600000000000002</v>
      </c>
      <c r="L1091">
        <v>35.910000000000068</v>
      </c>
      <c r="M1091">
        <v>0</v>
      </c>
      <c r="N1091">
        <v>0</v>
      </c>
      <c r="O1091">
        <v>10.38632799999862</v>
      </c>
      <c r="P1091">
        <v>81696.28542</v>
      </c>
    </row>
    <row r="1092" spans="1:16" x14ac:dyDescent="0.25">
      <c r="A1092" s="10">
        <v>39211</v>
      </c>
      <c r="B1092">
        <v>-474.60418999999843</v>
      </c>
      <c r="C1092">
        <v>544.37800000000004</v>
      </c>
      <c r="D1092">
        <v>0</v>
      </c>
      <c r="E1092">
        <v>0</v>
      </c>
      <c r="F1092">
        <v>0</v>
      </c>
      <c r="G1092">
        <v>-10.773999999999999</v>
      </c>
      <c r="H1092">
        <v>-13.61527000000024</v>
      </c>
      <c r="I1092">
        <v>0</v>
      </c>
      <c r="J1092">
        <v>0</v>
      </c>
      <c r="K1092">
        <v>1.51</v>
      </c>
      <c r="L1092">
        <v>-1002.514347</v>
      </c>
      <c r="M1092">
        <v>0</v>
      </c>
      <c r="N1092">
        <v>0</v>
      </c>
      <c r="O1092">
        <v>6.4114270000018223</v>
      </c>
      <c r="P1092">
        <v>81221.681230000002</v>
      </c>
    </row>
    <row r="1093" spans="1:16" x14ac:dyDescent="0.25">
      <c r="A1093" s="10">
        <v>39212</v>
      </c>
      <c r="B1093">
        <v>509.84159000001068</v>
      </c>
      <c r="C1093">
        <v>45.111499999999999</v>
      </c>
      <c r="D1093">
        <v>0</v>
      </c>
      <c r="E1093">
        <v>0</v>
      </c>
      <c r="F1093">
        <v>0</v>
      </c>
      <c r="G1093">
        <v>-12.04026099999999</v>
      </c>
      <c r="H1093">
        <v>418.09222000000051</v>
      </c>
      <c r="I1093">
        <v>0</v>
      </c>
      <c r="J1093">
        <v>0</v>
      </c>
      <c r="K1093">
        <v>1.51</v>
      </c>
      <c r="L1093">
        <v>52.073</v>
      </c>
      <c r="M1093">
        <v>0</v>
      </c>
      <c r="N1093">
        <v>0</v>
      </c>
      <c r="O1093">
        <v>5.0951310000102579</v>
      </c>
      <c r="P1093">
        <v>81731.522820000013</v>
      </c>
    </row>
    <row r="1094" spans="1:16" x14ac:dyDescent="0.25">
      <c r="A1094" s="10">
        <v>39213</v>
      </c>
      <c r="B1094">
        <v>527.20015599997726</v>
      </c>
      <c r="C1094">
        <v>68.091898</v>
      </c>
      <c r="D1094">
        <v>0</v>
      </c>
      <c r="E1094">
        <v>0</v>
      </c>
      <c r="F1094">
        <v>0</v>
      </c>
      <c r="G1094">
        <v>48.435518079999987</v>
      </c>
      <c r="H1094">
        <v>401.11596300000019</v>
      </c>
      <c r="I1094">
        <v>0</v>
      </c>
      <c r="J1094">
        <v>0</v>
      </c>
      <c r="K1094">
        <v>0.495</v>
      </c>
      <c r="L1094">
        <v>32.96</v>
      </c>
      <c r="M1094">
        <v>0</v>
      </c>
      <c r="N1094">
        <v>0</v>
      </c>
      <c r="O1094">
        <v>-23.898223080022909</v>
      </c>
      <c r="P1094">
        <v>82258.72297599999</v>
      </c>
    </row>
    <row r="1095" spans="1:16" x14ac:dyDescent="0.25">
      <c r="A1095" s="10">
        <v>39216</v>
      </c>
      <c r="B1095">
        <v>91.647842000020447</v>
      </c>
      <c r="C1095">
        <v>148.09299999999999</v>
      </c>
      <c r="D1095">
        <v>0</v>
      </c>
      <c r="E1095">
        <v>0</v>
      </c>
      <c r="F1095">
        <v>0</v>
      </c>
      <c r="G1095">
        <v>-11.160966</v>
      </c>
      <c r="H1095">
        <v>-106.143285000001</v>
      </c>
      <c r="I1095">
        <v>0</v>
      </c>
      <c r="J1095">
        <v>0</v>
      </c>
      <c r="K1095">
        <v>1.294</v>
      </c>
      <c r="L1095">
        <v>59.939</v>
      </c>
      <c r="M1095">
        <v>0</v>
      </c>
      <c r="N1095">
        <v>0</v>
      </c>
      <c r="O1095">
        <v>-0.37390699997855509</v>
      </c>
      <c r="P1095">
        <v>82350.37081800001</v>
      </c>
    </row>
    <row r="1096" spans="1:16" x14ac:dyDescent="0.25">
      <c r="A1096" s="10">
        <v>39217</v>
      </c>
      <c r="B1096">
        <v>-22.134643000012371</v>
      </c>
      <c r="C1096">
        <v>398.53700500000002</v>
      </c>
      <c r="D1096">
        <v>0</v>
      </c>
      <c r="E1096">
        <v>0</v>
      </c>
      <c r="F1096">
        <v>0</v>
      </c>
      <c r="G1096">
        <v>-59.026558999999992</v>
      </c>
      <c r="H1096">
        <v>-374.03504499999963</v>
      </c>
      <c r="I1096">
        <v>0</v>
      </c>
      <c r="J1096">
        <v>0</v>
      </c>
      <c r="K1096">
        <v>1.01</v>
      </c>
      <c r="L1096">
        <v>0</v>
      </c>
      <c r="M1096">
        <v>0</v>
      </c>
      <c r="N1096">
        <v>0</v>
      </c>
      <c r="O1096">
        <v>11.37995599998726</v>
      </c>
      <c r="P1096">
        <v>82328.236174999998</v>
      </c>
    </row>
    <row r="1097" spans="1:16" x14ac:dyDescent="0.25">
      <c r="A1097" s="10">
        <v>39218</v>
      </c>
      <c r="B1097">
        <v>-1103.070387</v>
      </c>
      <c r="C1097">
        <v>206.78200000000001</v>
      </c>
      <c r="D1097">
        <v>0</v>
      </c>
      <c r="E1097">
        <v>0</v>
      </c>
      <c r="F1097">
        <v>0</v>
      </c>
      <c r="G1097">
        <v>51.649054999999997</v>
      </c>
      <c r="H1097">
        <v>-126.9616150000011</v>
      </c>
      <c r="I1097">
        <v>0</v>
      </c>
      <c r="J1097">
        <v>0</v>
      </c>
      <c r="K1097">
        <v>1.46</v>
      </c>
      <c r="L1097">
        <v>-1239.73</v>
      </c>
      <c r="M1097">
        <v>0</v>
      </c>
      <c r="N1097">
        <v>0</v>
      </c>
      <c r="O1097">
        <v>3.7301730000012872</v>
      </c>
      <c r="P1097">
        <v>81225.165787999998</v>
      </c>
    </row>
    <row r="1098" spans="1:16" x14ac:dyDescent="0.25">
      <c r="A1098" s="10">
        <v>39219</v>
      </c>
      <c r="B1098">
        <v>106.9444890000015</v>
      </c>
      <c r="C1098">
        <v>313.30425000000002</v>
      </c>
      <c r="D1098">
        <v>0</v>
      </c>
      <c r="E1098">
        <v>0</v>
      </c>
      <c r="F1098">
        <v>0</v>
      </c>
      <c r="G1098">
        <v>-84.397474999999986</v>
      </c>
      <c r="H1098">
        <v>-132.9724489999999</v>
      </c>
      <c r="I1098">
        <v>0</v>
      </c>
      <c r="J1098">
        <v>0</v>
      </c>
      <c r="K1098">
        <v>1.37</v>
      </c>
      <c r="L1098">
        <v>7.74</v>
      </c>
      <c r="M1098">
        <v>0</v>
      </c>
      <c r="N1098">
        <v>0</v>
      </c>
      <c r="O1098">
        <v>1.9001630000013421</v>
      </c>
      <c r="P1098">
        <v>81332.110277</v>
      </c>
    </row>
    <row r="1099" spans="1:16" x14ac:dyDescent="0.25">
      <c r="A1099" s="10">
        <v>39220</v>
      </c>
      <c r="B1099">
        <v>-3.1138509999870529</v>
      </c>
      <c r="C1099">
        <v>90.796999999999997</v>
      </c>
      <c r="D1099">
        <v>0</v>
      </c>
      <c r="E1099">
        <v>0</v>
      </c>
      <c r="F1099">
        <v>0</v>
      </c>
      <c r="G1099">
        <v>-34.117244000000028</v>
      </c>
      <c r="H1099">
        <v>-81.544606000000385</v>
      </c>
      <c r="I1099">
        <v>0</v>
      </c>
      <c r="J1099">
        <v>0</v>
      </c>
      <c r="K1099">
        <v>13.72</v>
      </c>
      <c r="L1099">
        <v>7.91</v>
      </c>
      <c r="M1099">
        <v>0</v>
      </c>
      <c r="N1099">
        <v>0</v>
      </c>
      <c r="O1099">
        <v>0.12099900001336469</v>
      </c>
      <c r="P1099">
        <v>81328.996426000012</v>
      </c>
    </row>
    <row r="1100" spans="1:16" x14ac:dyDescent="0.25">
      <c r="A1100" s="10">
        <v>39223</v>
      </c>
      <c r="B1100">
        <v>542.10784999998623</v>
      </c>
      <c r="C1100">
        <v>222.97649999999999</v>
      </c>
      <c r="D1100">
        <v>0</v>
      </c>
      <c r="E1100">
        <v>0</v>
      </c>
      <c r="F1100">
        <v>0</v>
      </c>
      <c r="G1100">
        <v>46.294718999999994</v>
      </c>
      <c r="H1100">
        <v>243.9415890000009</v>
      </c>
      <c r="I1100">
        <v>0</v>
      </c>
      <c r="J1100">
        <v>0</v>
      </c>
      <c r="K1100">
        <v>1.73</v>
      </c>
      <c r="L1100">
        <v>19.510000000000002</v>
      </c>
      <c r="M1100">
        <v>0</v>
      </c>
      <c r="N1100">
        <v>0</v>
      </c>
      <c r="O1100">
        <v>7.6550419999853148</v>
      </c>
      <c r="P1100">
        <v>81871.104275999998</v>
      </c>
    </row>
    <row r="1101" spans="1:16" x14ac:dyDescent="0.25">
      <c r="A1101" s="10">
        <v>39224</v>
      </c>
      <c r="B1101">
        <v>115.73674600000921</v>
      </c>
      <c r="C1101">
        <v>695.20360000000005</v>
      </c>
      <c r="D1101">
        <v>0</v>
      </c>
      <c r="E1101">
        <v>0</v>
      </c>
      <c r="F1101">
        <v>0</v>
      </c>
      <c r="G1101">
        <v>-9.4370000000000118</v>
      </c>
      <c r="H1101">
        <v>-611.797246000001</v>
      </c>
      <c r="I1101">
        <v>0</v>
      </c>
      <c r="J1101">
        <v>0</v>
      </c>
      <c r="K1101">
        <v>1.1359999999999999</v>
      </c>
      <c r="L1101">
        <v>40.351315999999997</v>
      </c>
      <c r="M1101">
        <v>0</v>
      </c>
      <c r="N1101">
        <v>0</v>
      </c>
      <c r="O1101">
        <v>0.2800760000101235</v>
      </c>
      <c r="P1101">
        <v>81986.841022000008</v>
      </c>
    </row>
    <row r="1102" spans="1:16" x14ac:dyDescent="0.25">
      <c r="A1102" s="10">
        <v>39225</v>
      </c>
      <c r="B1102">
        <v>-2845.922728000005</v>
      </c>
      <c r="C1102">
        <v>142.881</v>
      </c>
      <c r="D1102">
        <v>0</v>
      </c>
      <c r="E1102">
        <v>0</v>
      </c>
      <c r="F1102">
        <v>0</v>
      </c>
      <c r="G1102">
        <v>-2375.9046530000001</v>
      </c>
      <c r="H1102">
        <v>1094.3225349999991</v>
      </c>
      <c r="I1102">
        <v>0</v>
      </c>
      <c r="J1102">
        <v>0</v>
      </c>
      <c r="K1102">
        <v>1.3659099699999999</v>
      </c>
      <c r="L1102">
        <v>-1711.3559099700001</v>
      </c>
      <c r="M1102">
        <v>0</v>
      </c>
      <c r="N1102">
        <v>0</v>
      </c>
      <c r="O1102">
        <v>2.768389999996089</v>
      </c>
      <c r="P1102">
        <v>79140.918294000003</v>
      </c>
    </row>
    <row r="1103" spans="1:16" x14ac:dyDescent="0.25">
      <c r="A1103" s="10">
        <v>39226</v>
      </c>
      <c r="B1103">
        <v>2101.879985999999</v>
      </c>
      <c r="C1103">
        <v>0</v>
      </c>
      <c r="D1103">
        <v>0</v>
      </c>
      <c r="E1103">
        <v>0</v>
      </c>
      <c r="F1103">
        <v>0</v>
      </c>
      <c r="G1103">
        <v>2284.9732009999998</v>
      </c>
      <c r="H1103">
        <v>-201.19495900000041</v>
      </c>
      <c r="I1103">
        <v>0</v>
      </c>
      <c r="J1103">
        <v>0</v>
      </c>
      <c r="K1103">
        <v>1.3119330600000001</v>
      </c>
      <c r="L1103">
        <v>12.29</v>
      </c>
      <c r="M1103">
        <v>0</v>
      </c>
      <c r="N1103">
        <v>0</v>
      </c>
      <c r="O1103">
        <v>4.4998109400003159</v>
      </c>
      <c r="P1103">
        <v>81242.798280000003</v>
      </c>
    </row>
    <row r="1104" spans="1:16" x14ac:dyDescent="0.25">
      <c r="A1104" s="10">
        <v>39230</v>
      </c>
      <c r="B1104">
        <v>-1487.241886999997</v>
      </c>
      <c r="C1104">
        <v>0</v>
      </c>
      <c r="D1104">
        <v>0</v>
      </c>
      <c r="E1104">
        <v>0</v>
      </c>
      <c r="F1104">
        <v>0</v>
      </c>
      <c r="G1104">
        <v>-739.47421800000006</v>
      </c>
      <c r="H1104">
        <v>-798.61823599999843</v>
      </c>
      <c r="I1104">
        <v>0</v>
      </c>
      <c r="J1104">
        <v>0</v>
      </c>
      <c r="K1104">
        <v>2.7023559499999998</v>
      </c>
      <c r="L1104">
        <v>49.539999999999992</v>
      </c>
      <c r="M1104">
        <v>0</v>
      </c>
      <c r="N1104">
        <v>0</v>
      </c>
      <c r="O1104">
        <v>-1.3917889499983629</v>
      </c>
      <c r="P1104">
        <v>79755.556393000006</v>
      </c>
    </row>
    <row r="1105" spans="1:16" x14ac:dyDescent="0.25">
      <c r="A1105" s="10">
        <v>39231</v>
      </c>
      <c r="B1105">
        <v>695.66912500000012</v>
      </c>
      <c r="C1105">
        <v>233.59299999999999</v>
      </c>
      <c r="D1105">
        <v>0</v>
      </c>
      <c r="E1105">
        <v>0</v>
      </c>
      <c r="F1105">
        <v>0</v>
      </c>
      <c r="G1105">
        <v>793.0596700000001</v>
      </c>
      <c r="H1105">
        <v>-343.91308799999928</v>
      </c>
      <c r="I1105">
        <v>0</v>
      </c>
      <c r="J1105">
        <v>0</v>
      </c>
      <c r="K1105">
        <v>1.31</v>
      </c>
      <c r="L1105">
        <v>0</v>
      </c>
      <c r="M1105">
        <v>0</v>
      </c>
      <c r="N1105">
        <v>0</v>
      </c>
      <c r="O1105">
        <v>11.619542999999339</v>
      </c>
      <c r="P1105">
        <v>80451.225518000007</v>
      </c>
    </row>
    <row r="1106" spans="1:16" x14ac:dyDescent="0.25">
      <c r="A1106" s="10">
        <v>39232</v>
      </c>
      <c r="B1106">
        <v>-1445.620533000008</v>
      </c>
      <c r="C1106">
        <v>237.804</v>
      </c>
      <c r="D1106">
        <v>0</v>
      </c>
      <c r="E1106">
        <v>0</v>
      </c>
      <c r="F1106">
        <v>0</v>
      </c>
      <c r="G1106">
        <v>-888.06553799999995</v>
      </c>
      <c r="H1106">
        <v>-935.73455699999977</v>
      </c>
      <c r="I1106">
        <v>0</v>
      </c>
      <c r="J1106">
        <v>0</v>
      </c>
      <c r="K1106">
        <v>1.31294705</v>
      </c>
      <c r="L1106">
        <v>123.7240529499947</v>
      </c>
      <c r="M1106">
        <v>0</v>
      </c>
      <c r="N1106">
        <v>0</v>
      </c>
      <c r="O1106">
        <v>15.33856199999663</v>
      </c>
      <c r="P1106">
        <v>79005.604984999998</v>
      </c>
    </row>
    <row r="1107" spans="1:16" x14ac:dyDescent="0.25">
      <c r="A1107" s="10">
        <v>39233</v>
      </c>
      <c r="B1107">
        <v>-488.07267099998728</v>
      </c>
      <c r="C1107">
        <v>424.54514999999998</v>
      </c>
      <c r="D1107">
        <v>0</v>
      </c>
      <c r="E1107">
        <v>0</v>
      </c>
      <c r="F1107">
        <v>0</v>
      </c>
      <c r="G1107">
        <v>-689.67610100000002</v>
      </c>
      <c r="H1107">
        <v>-241.42568199999911</v>
      </c>
      <c r="I1107">
        <v>0</v>
      </c>
      <c r="J1107">
        <v>0</v>
      </c>
      <c r="K1107">
        <v>2.0610873299999999</v>
      </c>
      <c r="L1107">
        <v>9.5399999999999991</v>
      </c>
      <c r="M1107">
        <v>0</v>
      </c>
      <c r="N1107">
        <v>0</v>
      </c>
      <c r="O1107">
        <v>6.8828746700118586</v>
      </c>
      <c r="P1107">
        <v>78517.532314000011</v>
      </c>
    </row>
    <row r="1108" spans="1:16" x14ac:dyDescent="0.25">
      <c r="A1108" s="10">
        <v>39234</v>
      </c>
      <c r="B1108">
        <v>5096.8755469999887</v>
      </c>
      <c r="C1108">
        <v>350.10700000000003</v>
      </c>
      <c r="D1108">
        <v>0</v>
      </c>
      <c r="E1108">
        <v>0</v>
      </c>
      <c r="F1108">
        <v>0</v>
      </c>
      <c r="G1108">
        <v>-32.435691999999989</v>
      </c>
      <c r="H1108">
        <v>4773.9210909999993</v>
      </c>
      <c r="I1108">
        <v>0</v>
      </c>
      <c r="J1108">
        <v>0</v>
      </c>
      <c r="K1108">
        <v>1.03</v>
      </c>
      <c r="L1108">
        <v>0</v>
      </c>
      <c r="M1108">
        <v>0</v>
      </c>
      <c r="N1108">
        <v>0</v>
      </c>
      <c r="O1108">
        <v>4.2531479999897783</v>
      </c>
      <c r="P1108">
        <v>83614.407861</v>
      </c>
    </row>
    <row r="1109" spans="1:16" x14ac:dyDescent="0.25">
      <c r="A1109" s="10">
        <v>39237</v>
      </c>
      <c r="B1109">
        <v>468.27482700000132</v>
      </c>
      <c r="C1109">
        <v>325.89418999999998</v>
      </c>
      <c r="D1109">
        <v>0</v>
      </c>
      <c r="E1109">
        <v>0</v>
      </c>
      <c r="F1109">
        <v>0</v>
      </c>
      <c r="G1109">
        <v>56.03261599999999</v>
      </c>
      <c r="H1109">
        <v>1034.1340029999999</v>
      </c>
      <c r="I1109">
        <v>0</v>
      </c>
      <c r="J1109">
        <v>-888.47999999999911</v>
      </c>
      <c r="K1109">
        <v>-8.429999999999982</v>
      </c>
      <c r="L1109">
        <v>0</v>
      </c>
      <c r="M1109">
        <v>0</v>
      </c>
      <c r="N1109">
        <v>0</v>
      </c>
      <c r="O1109">
        <v>-50.875981999999297</v>
      </c>
      <c r="P1109">
        <v>84082.682688000001</v>
      </c>
    </row>
    <row r="1110" spans="1:16" x14ac:dyDescent="0.25">
      <c r="A1110" s="10">
        <v>39238</v>
      </c>
      <c r="B1110">
        <v>-70.646379999991041</v>
      </c>
      <c r="C1110">
        <v>627.72460000000001</v>
      </c>
      <c r="D1110">
        <v>0</v>
      </c>
      <c r="E1110">
        <v>0</v>
      </c>
      <c r="F1110">
        <v>0</v>
      </c>
      <c r="G1110">
        <v>-6.2132849999999848</v>
      </c>
      <c r="H1110">
        <v>-728.45379599999978</v>
      </c>
      <c r="I1110">
        <v>0</v>
      </c>
      <c r="J1110">
        <v>0</v>
      </c>
      <c r="K1110">
        <v>0.12</v>
      </c>
      <c r="L1110">
        <v>-6.59</v>
      </c>
      <c r="M1110">
        <v>0</v>
      </c>
      <c r="N1110">
        <v>0</v>
      </c>
      <c r="O1110">
        <v>42.766101000008767</v>
      </c>
      <c r="P1110">
        <v>84012.03630800001</v>
      </c>
    </row>
    <row r="1111" spans="1:16" x14ac:dyDescent="0.25">
      <c r="A1111" s="10">
        <v>39239</v>
      </c>
      <c r="B1111">
        <v>-942.85227300001156</v>
      </c>
      <c r="C1111">
        <v>149.80670000000001</v>
      </c>
      <c r="D1111">
        <v>0</v>
      </c>
      <c r="E1111">
        <v>0</v>
      </c>
      <c r="F1111">
        <v>0</v>
      </c>
      <c r="G1111">
        <v>-149.63870399999999</v>
      </c>
      <c r="H1111">
        <v>-310.81436699999989</v>
      </c>
      <c r="I1111">
        <v>0</v>
      </c>
      <c r="J1111">
        <v>0</v>
      </c>
      <c r="K1111">
        <v>0.26</v>
      </c>
      <c r="L1111">
        <v>-632.90000000000009</v>
      </c>
      <c r="M1111">
        <v>0</v>
      </c>
      <c r="N1111">
        <v>0</v>
      </c>
      <c r="O1111">
        <v>0.43409799998850218</v>
      </c>
      <c r="P1111">
        <v>83069.184034999998</v>
      </c>
    </row>
    <row r="1112" spans="1:16" x14ac:dyDescent="0.25">
      <c r="A1112" s="10">
        <v>39240</v>
      </c>
      <c r="B1112">
        <v>-180.6738679999979</v>
      </c>
      <c r="C1112">
        <v>106.122</v>
      </c>
      <c r="D1112">
        <v>0</v>
      </c>
      <c r="E1112">
        <v>0</v>
      </c>
      <c r="F1112">
        <v>0</v>
      </c>
      <c r="G1112">
        <v>-4.8623220000000202</v>
      </c>
      <c r="H1112">
        <v>-281.05113899999969</v>
      </c>
      <c r="I1112">
        <v>0</v>
      </c>
      <c r="J1112">
        <v>0</v>
      </c>
      <c r="K1112">
        <v>0.37</v>
      </c>
      <c r="L1112">
        <v>-4.95</v>
      </c>
      <c r="M1112">
        <v>0</v>
      </c>
      <c r="N1112">
        <v>0</v>
      </c>
      <c r="O1112">
        <v>3.6975930000017598</v>
      </c>
      <c r="P1112">
        <v>82888.510167</v>
      </c>
    </row>
    <row r="1113" spans="1:16" x14ac:dyDescent="0.25">
      <c r="A1113" s="10">
        <v>39241</v>
      </c>
      <c r="B1113">
        <v>384.49075800000003</v>
      </c>
      <c r="C1113">
        <v>252.01378700000001</v>
      </c>
      <c r="D1113">
        <v>0</v>
      </c>
      <c r="E1113">
        <v>0</v>
      </c>
      <c r="F1113">
        <v>0</v>
      </c>
      <c r="G1113">
        <v>-6.5939739999999887</v>
      </c>
      <c r="H1113">
        <v>88.984728999999788</v>
      </c>
      <c r="I1113">
        <v>0</v>
      </c>
      <c r="J1113">
        <v>0</v>
      </c>
      <c r="K1113">
        <v>0.29007864999999999</v>
      </c>
      <c r="L1113">
        <v>42.62</v>
      </c>
      <c r="M1113">
        <v>0</v>
      </c>
      <c r="N1113">
        <v>0</v>
      </c>
      <c r="O1113">
        <v>7.1761373500002037</v>
      </c>
      <c r="P1113">
        <v>83273.000925</v>
      </c>
    </row>
    <row r="1114" spans="1:16" x14ac:dyDescent="0.25">
      <c r="A1114" s="10">
        <v>39244</v>
      </c>
      <c r="B1114">
        <v>-22.021542000002061</v>
      </c>
      <c r="C1114">
        <v>599.24350000000004</v>
      </c>
      <c r="D1114">
        <v>0</v>
      </c>
      <c r="E1114">
        <v>0</v>
      </c>
      <c r="F1114">
        <v>0</v>
      </c>
      <c r="G1114">
        <v>-33.278847999999982</v>
      </c>
      <c r="H1114">
        <v>-578.39140099999986</v>
      </c>
      <c r="I1114">
        <v>0</v>
      </c>
      <c r="J1114">
        <v>0</v>
      </c>
      <c r="K1114">
        <v>0.68</v>
      </c>
      <c r="L1114">
        <v>0</v>
      </c>
      <c r="M1114">
        <v>0</v>
      </c>
      <c r="N1114">
        <v>0</v>
      </c>
      <c r="O1114">
        <v>-10.274793000002321</v>
      </c>
      <c r="P1114">
        <v>83250.979382999998</v>
      </c>
    </row>
    <row r="1115" spans="1:16" x14ac:dyDescent="0.25">
      <c r="A1115" s="10">
        <v>39245</v>
      </c>
      <c r="B1115">
        <v>-655.35396899998909</v>
      </c>
      <c r="C1115">
        <v>102.41800000000001</v>
      </c>
      <c r="D1115">
        <v>0</v>
      </c>
      <c r="E1115">
        <v>0</v>
      </c>
      <c r="F1115">
        <v>0</v>
      </c>
      <c r="G1115">
        <v>-478.92787621999997</v>
      </c>
      <c r="H1115">
        <v>-278.85728700000033</v>
      </c>
      <c r="I1115">
        <v>0</v>
      </c>
      <c r="J1115">
        <v>0</v>
      </c>
      <c r="K1115">
        <v>0.3</v>
      </c>
      <c r="L1115">
        <v>0</v>
      </c>
      <c r="M1115">
        <v>0</v>
      </c>
      <c r="N1115">
        <v>0</v>
      </c>
      <c r="O1115">
        <v>-0.28680577998870382</v>
      </c>
      <c r="P1115">
        <v>82595.625414000009</v>
      </c>
    </row>
    <row r="1116" spans="1:16" x14ac:dyDescent="0.25">
      <c r="A1116" s="10">
        <v>39246</v>
      </c>
      <c r="B1116">
        <v>74.18672199998403</v>
      </c>
      <c r="C1116">
        <v>264.0566</v>
      </c>
      <c r="D1116">
        <v>0</v>
      </c>
      <c r="E1116">
        <v>0</v>
      </c>
      <c r="F1116">
        <v>0</v>
      </c>
      <c r="G1116">
        <v>12.487280999999999</v>
      </c>
      <c r="H1116">
        <v>754.79812799999991</v>
      </c>
      <c r="I1116">
        <v>0</v>
      </c>
      <c r="J1116">
        <v>0</v>
      </c>
      <c r="K1116">
        <v>0.42</v>
      </c>
      <c r="L1116">
        <v>-985.08246599999995</v>
      </c>
      <c r="M1116">
        <v>0</v>
      </c>
      <c r="N1116">
        <v>0</v>
      </c>
      <c r="O1116">
        <v>27.50717899998396</v>
      </c>
      <c r="P1116">
        <v>82669.812135999993</v>
      </c>
    </row>
    <row r="1117" spans="1:16" x14ac:dyDescent="0.25">
      <c r="A1117" s="10">
        <v>39247</v>
      </c>
      <c r="B1117">
        <v>475.45043000001192</v>
      </c>
      <c r="C1117">
        <v>369.35300000000001</v>
      </c>
      <c r="D1117">
        <v>0</v>
      </c>
      <c r="E1117">
        <v>0</v>
      </c>
      <c r="F1117">
        <v>0</v>
      </c>
      <c r="G1117">
        <v>-83.697000000000003</v>
      </c>
      <c r="H1117">
        <v>161.59720800000011</v>
      </c>
      <c r="I1117">
        <v>0</v>
      </c>
      <c r="J1117">
        <v>0</v>
      </c>
      <c r="K1117">
        <v>0.57499999999999996</v>
      </c>
      <c r="L1117">
        <v>22.978000000000002</v>
      </c>
      <c r="M1117">
        <v>0</v>
      </c>
      <c r="N1117">
        <v>0</v>
      </c>
      <c r="O1117">
        <v>4.6442220000117231</v>
      </c>
      <c r="P1117">
        <v>83145.262566000005</v>
      </c>
    </row>
    <row r="1118" spans="1:16" x14ac:dyDescent="0.25">
      <c r="A1118" s="10">
        <v>39248</v>
      </c>
      <c r="B1118">
        <v>737.91120299999579</v>
      </c>
      <c r="C1118">
        <v>567.04200000000003</v>
      </c>
      <c r="D1118">
        <v>0</v>
      </c>
      <c r="E1118">
        <v>0</v>
      </c>
      <c r="F1118">
        <v>0</v>
      </c>
      <c r="G1118">
        <v>-16.491999999999958</v>
      </c>
      <c r="H1118">
        <v>159.46815100000001</v>
      </c>
      <c r="I1118">
        <v>0</v>
      </c>
      <c r="J1118">
        <v>0</v>
      </c>
      <c r="K1118">
        <v>0.45200000000000001</v>
      </c>
      <c r="L1118">
        <v>2.88</v>
      </c>
      <c r="M1118">
        <v>0</v>
      </c>
      <c r="N1118">
        <v>0</v>
      </c>
      <c r="O1118">
        <v>24.561051999995701</v>
      </c>
      <c r="P1118">
        <v>83883.173769000001</v>
      </c>
    </row>
    <row r="1119" spans="1:16" x14ac:dyDescent="0.25">
      <c r="A1119" s="10">
        <v>39252</v>
      </c>
      <c r="B1119">
        <v>375.39455300000549</v>
      </c>
      <c r="C1119">
        <v>370.12909999999999</v>
      </c>
      <c r="D1119">
        <v>0</v>
      </c>
      <c r="E1119">
        <v>0</v>
      </c>
      <c r="F1119">
        <v>0</v>
      </c>
      <c r="G1119">
        <v>152.975506</v>
      </c>
      <c r="H1119">
        <v>-188.7096260000003</v>
      </c>
      <c r="I1119">
        <v>0</v>
      </c>
      <c r="J1119">
        <v>0</v>
      </c>
      <c r="K1119">
        <v>1.44</v>
      </c>
      <c r="L1119">
        <v>19.3</v>
      </c>
      <c r="M1119">
        <v>0</v>
      </c>
      <c r="N1119">
        <v>0</v>
      </c>
      <c r="O1119">
        <v>20.259573000005791</v>
      </c>
      <c r="P1119">
        <v>84258.568322000006</v>
      </c>
    </row>
    <row r="1120" spans="1:16" x14ac:dyDescent="0.25">
      <c r="A1120" s="10">
        <v>39253</v>
      </c>
      <c r="B1120">
        <v>-267.98662000001059</v>
      </c>
      <c r="C1120">
        <v>693.07349999999997</v>
      </c>
      <c r="D1120">
        <v>0</v>
      </c>
      <c r="E1120">
        <v>0</v>
      </c>
      <c r="F1120">
        <v>0</v>
      </c>
      <c r="G1120">
        <v>-31.779505999999969</v>
      </c>
      <c r="H1120">
        <v>-690.0890000000004</v>
      </c>
      <c r="I1120">
        <v>0</v>
      </c>
      <c r="J1120">
        <v>0</v>
      </c>
      <c r="K1120">
        <v>0.25</v>
      </c>
      <c r="L1120">
        <v>-247.16</v>
      </c>
      <c r="M1120">
        <v>0</v>
      </c>
      <c r="N1120">
        <v>0</v>
      </c>
      <c r="O1120">
        <v>7.7183859999897937</v>
      </c>
      <c r="P1120">
        <v>83990.581701999996</v>
      </c>
    </row>
    <row r="1121" spans="1:16" x14ac:dyDescent="0.25">
      <c r="A1121" s="10">
        <v>39254</v>
      </c>
      <c r="B1121">
        <v>-708.21975399999064</v>
      </c>
      <c r="C1121">
        <v>367.262</v>
      </c>
      <c r="D1121">
        <v>0</v>
      </c>
      <c r="E1121">
        <v>0</v>
      </c>
      <c r="F1121">
        <v>0</v>
      </c>
      <c r="G1121">
        <v>-480.26200000000011</v>
      </c>
      <c r="H1121">
        <v>-594.31262499999957</v>
      </c>
      <c r="I1121">
        <v>0</v>
      </c>
      <c r="J1121">
        <v>0</v>
      </c>
      <c r="K1121">
        <v>0.442</v>
      </c>
      <c r="L1121">
        <v>-2.99</v>
      </c>
      <c r="M1121">
        <v>0</v>
      </c>
      <c r="N1121">
        <v>0</v>
      </c>
      <c r="O1121">
        <v>1.640871000008929</v>
      </c>
      <c r="P1121">
        <v>83282.361948000005</v>
      </c>
    </row>
    <row r="1122" spans="1:16" x14ac:dyDescent="0.25">
      <c r="A1122" s="10">
        <v>39255</v>
      </c>
      <c r="B1122">
        <v>625.81446599999606</v>
      </c>
      <c r="C1122">
        <v>134.0735</v>
      </c>
      <c r="D1122">
        <v>0</v>
      </c>
      <c r="E1122">
        <v>0</v>
      </c>
      <c r="F1122">
        <v>0</v>
      </c>
      <c r="G1122">
        <v>91.733074000000087</v>
      </c>
      <c r="H1122">
        <v>389.0861419999992</v>
      </c>
      <c r="I1122">
        <v>0</v>
      </c>
      <c r="J1122">
        <v>0</v>
      </c>
      <c r="K1122">
        <v>0.42899999999999999</v>
      </c>
      <c r="L1122">
        <v>-1</v>
      </c>
      <c r="M1122">
        <v>0</v>
      </c>
      <c r="N1122">
        <v>0</v>
      </c>
      <c r="O1122">
        <v>11.492749999996819</v>
      </c>
      <c r="P1122">
        <v>83908.176414000001</v>
      </c>
    </row>
    <row r="1123" spans="1:16" x14ac:dyDescent="0.25">
      <c r="A1123" s="10">
        <v>39258</v>
      </c>
      <c r="B1123">
        <v>246.90721900000051</v>
      </c>
      <c r="C1123">
        <v>97.119500000000002</v>
      </c>
      <c r="D1123">
        <v>0</v>
      </c>
      <c r="E1123">
        <v>0</v>
      </c>
      <c r="F1123">
        <v>0</v>
      </c>
      <c r="G1123">
        <v>196.53840299999999</v>
      </c>
      <c r="H1123">
        <v>-55.66725199999928</v>
      </c>
      <c r="I1123">
        <v>0</v>
      </c>
      <c r="J1123">
        <v>0</v>
      </c>
      <c r="K1123">
        <v>0.88</v>
      </c>
      <c r="L1123">
        <v>0</v>
      </c>
      <c r="M1123">
        <v>0</v>
      </c>
      <c r="N1123">
        <v>0</v>
      </c>
      <c r="O1123">
        <v>8.0365679999998179</v>
      </c>
      <c r="P1123">
        <v>84155.083633000002</v>
      </c>
    </row>
    <row r="1124" spans="1:16" x14ac:dyDescent="0.25">
      <c r="A1124" s="10">
        <v>39259</v>
      </c>
      <c r="B1124">
        <v>-685.99243100000626</v>
      </c>
      <c r="C1124">
        <v>44.77</v>
      </c>
      <c r="D1124">
        <v>0</v>
      </c>
      <c r="E1124">
        <v>0</v>
      </c>
      <c r="F1124">
        <v>0</v>
      </c>
      <c r="G1124">
        <v>-6.7844210000000089</v>
      </c>
      <c r="H1124">
        <v>-738.36500100000001</v>
      </c>
      <c r="I1124">
        <v>0</v>
      </c>
      <c r="J1124">
        <v>0</v>
      </c>
      <c r="K1124">
        <v>0.58600000000000008</v>
      </c>
      <c r="L1124">
        <v>4.8070000000000004</v>
      </c>
      <c r="M1124">
        <v>0</v>
      </c>
      <c r="N1124">
        <v>0</v>
      </c>
      <c r="O1124">
        <v>8.9938909999935959</v>
      </c>
      <c r="P1124">
        <v>83469.091201999996</v>
      </c>
    </row>
    <row r="1125" spans="1:16" x14ac:dyDescent="0.25">
      <c r="A1125" s="10">
        <v>39260</v>
      </c>
      <c r="B1125">
        <v>829.68123400000331</v>
      </c>
      <c r="C1125">
        <v>149.71789999999999</v>
      </c>
      <c r="D1125">
        <v>0</v>
      </c>
      <c r="E1125">
        <v>0</v>
      </c>
      <c r="F1125">
        <v>0</v>
      </c>
      <c r="G1125">
        <v>-15.900077000000021</v>
      </c>
      <c r="H1125">
        <v>1075.7911200000001</v>
      </c>
      <c r="I1125">
        <v>0</v>
      </c>
      <c r="J1125">
        <v>0</v>
      </c>
      <c r="K1125">
        <v>0.80136399999999997</v>
      </c>
      <c r="L1125">
        <v>-392.71</v>
      </c>
      <c r="M1125">
        <v>0</v>
      </c>
      <c r="N1125">
        <v>0</v>
      </c>
      <c r="O1125">
        <v>11.9809270000037</v>
      </c>
      <c r="P1125">
        <v>84298.772435999999</v>
      </c>
    </row>
    <row r="1126" spans="1:16" x14ac:dyDescent="0.25">
      <c r="A1126" s="10">
        <v>39261</v>
      </c>
      <c r="B1126">
        <v>745.64286700000252</v>
      </c>
      <c r="C1126">
        <v>235.23535000000001</v>
      </c>
      <c r="D1126">
        <v>0</v>
      </c>
      <c r="E1126">
        <v>0</v>
      </c>
      <c r="F1126">
        <v>0</v>
      </c>
      <c r="G1126">
        <v>382.61602099999999</v>
      </c>
      <c r="H1126">
        <v>-13.826723000000131</v>
      </c>
      <c r="I1126">
        <v>0</v>
      </c>
      <c r="J1126">
        <v>0</v>
      </c>
      <c r="K1126">
        <v>13.302</v>
      </c>
      <c r="L1126">
        <v>109.142724</v>
      </c>
      <c r="M1126">
        <v>0</v>
      </c>
      <c r="N1126">
        <v>0</v>
      </c>
      <c r="O1126">
        <v>19.1734950000025</v>
      </c>
      <c r="P1126">
        <v>85044.415303000002</v>
      </c>
    </row>
    <row r="1127" spans="1:16" x14ac:dyDescent="0.25">
      <c r="A1127" s="10">
        <v>39262</v>
      </c>
      <c r="B1127">
        <v>-1369.5022969999991</v>
      </c>
      <c r="C1127">
        <v>385.57100000000003</v>
      </c>
      <c r="D1127">
        <v>0</v>
      </c>
      <c r="E1127">
        <v>0</v>
      </c>
      <c r="F1127">
        <v>0</v>
      </c>
      <c r="G1127">
        <v>-59.263699999999972</v>
      </c>
      <c r="H1127">
        <v>-1812.9985889999989</v>
      </c>
      <c r="I1127">
        <v>0</v>
      </c>
      <c r="J1127">
        <v>0</v>
      </c>
      <c r="K1127">
        <v>12.664</v>
      </c>
      <c r="L1127">
        <v>101.61499999999999</v>
      </c>
      <c r="M1127">
        <v>0</v>
      </c>
      <c r="N1127">
        <v>0</v>
      </c>
      <c r="O1127">
        <v>2.9099920000001021</v>
      </c>
      <c r="P1127">
        <v>83674.913006000002</v>
      </c>
    </row>
    <row r="1128" spans="1:16" x14ac:dyDescent="0.25">
      <c r="A1128" s="10">
        <v>39265</v>
      </c>
      <c r="B1128">
        <v>2495.9389680000022</v>
      </c>
      <c r="C1128">
        <v>183.86699999999999</v>
      </c>
      <c r="D1128">
        <v>0</v>
      </c>
      <c r="E1128">
        <v>0</v>
      </c>
      <c r="F1128">
        <v>0</v>
      </c>
      <c r="G1128">
        <v>270.75004100000001</v>
      </c>
      <c r="H1128">
        <v>2052.2809179999999</v>
      </c>
      <c r="I1128">
        <v>0</v>
      </c>
      <c r="J1128">
        <v>0</v>
      </c>
      <c r="K1128">
        <v>2.444</v>
      </c>
      <c r="L1128">
        <v>0</v>
      </c>
      <c r="M1128">
        <v>0</v>
      </c>
      <c r="N1128">
        <v>0</v>
      </c>
      <c r="O1128">
        <v>-13.40299099999787</v>
      </c>
      <c r="P1128">
        <v>86170.851974000005</v>
      </c>
    </row>
    <row r="1129" spans="1:16" x14ac:dyDescent="0.25">
      <c r="A1129" s="10">
        <v>39266</v>
      </c>
      <c r="B1129">
        <v>73.351019000008534</v>
      </c>
      <c r="C1129">
        <v>57.491999999999997</v>
      </c>
      <c r="D1129">
        <v>0</v>
      </c>
      <c r="E1129">
        <v>0</v>
      </c>
      <c r="F1129">
        <v>0</v>
      </c>
      <c r="G1129">
        <v>21.441658999999959</v>
      </c>
      <c r="H1129">
        <v>234.54802899999959</v>
      </c>
      <c r="I1129">
        <v>0</v>
      </c>
      <c r="J1129">
        <v>-249.51000000000019</v>
      </c>
      <c r="K1129">
        <v>-6.1499999999998547</v>
      </c>
      <c r="L1129">
        <v>0</v>
      </c>
      <c r="M1129">
        <v>0</v>
      </c>
      <c r="N1129">
        <v>0</v>
      </c>
      <c r="O1129">
        <v>15.52933100000911</v>
      </c>
      <c r="P1129">
        <v>86244.202993000014</v>
      </c>
    </row>
    <row r="1130" spans="1:16" x14ac:dyDescent="0.25">
      <c r="A1130" s="10">
        <v>39267</v>
      </c>
      <c r="B1130">
        <v>-448.77589600000658</v>
      </c>
      <c r="C1130">
        <v>0</v>
      </c>
      <c r="D1130">
        <v>0</v>
      </c>
      <c r="E1130">
        <v>0</v>
      </c>
      <c r="F1130">
        <v>0</v>
      </c>
      <c r="G1130">
        <v>-62.435207000000013</v>
      </c>
      <c r="H1130">
        <v>24.86647400000038</v>
      </c>
      <c r="I1130">
        <v>0</v>
      </c>
      <c r="J1130">
        <v>0</v>
      </c>
      <c r="K1130">
        <v>0.4</v>
      </c>
      <c r="L1130">
        <v>-385.54</v>
      </c>
      <c r="M1130">
        <v>0</v>
      </c>
      <c r="N1130">
        <v>0</v>
      </c>
      <c r="O1130">
        <v>-26.067163000006989</v>
      </c>
      <c r="P1130">
        <v>85795.427097000007</v>
      </c>
    </row>
    <row r="1131" spans="1:16" x14ac:dyDescent="0.25">
      <c r="A1131" s="10">
        <v>39268</v>
      </c>
      <c r="B1131">
        <v>278.10891099998872</v>
      </c>
      <c r="C1131">
        <v>105.443</v>
      </c>
      <c r="D1131">
        <v>0</v>
      </c>
      <c r="E1131">
        <v>0</v>
      </c>
      <c r="F1131">
        <v>0</v>
      </c>
      <c r="G1131">
        <v>43.717207000000002</v>
      </c>
      <c r="H1131">
        <v>92.019000000000233</v>
      </c>
      <c r="I1131">
        <v>0</v>
      </c>
      <c r="J1131">
        <v>0</v>
      </c>
      <c r="K1131">
        <v>0.47</v>
      </c>
      <c r="L1131">
        <v>0</v>
      </c>
      <c r="M1131">
        <v>0</v>
      </c>
      <c r="N1131">
        <v>0</v>
      </c>
      <c r="O1131">
        <v>36.45970399998842</v>
      </c>
      <c r="P1131">
        <v>86073.536007999995</v>
      </c>
    </row>
    <row r="1132" spans="1:16" x14ac:dyDescent="0.25">
      <c r="A1132" s="10">
        <v>39269</v>
      </c>
      <c r="B1132">
        <v>471.33578300000221</v>
      </c>
      <c r="C1132">
        <v>60.54</v>
      </c>
      <c r="D1132">
        <v>0</v>
      </c>
      <c r="E1132">
        <v>0</v>
      </c>
      <c r="F1132">
        <v>0</v>
      </c>
      <c r="G1132">
        <v>-210.95313400000001</v>
      </c>
      <c r="H1132">
        <v>621.6279999999997</v>
      </c>
      <c r="I1132">
        <v>0</v>
      </c>
      <c r="J1132">
        <v>0</v>
      </c>
      <c r="K1132">
        <v>0.4</v>
      </c>
      <c r="L1132">
        <v>-2.98</v>
      </c>
      <c r="M1132">
        <v>0</v>
      </c>
      <c r="N1132">
        <v>0</v>
      </c>
      <c r="O1132">
        <v>2.7009170000025051</v>
      </c>
      <c r="P1132">
        <v>86544.871790999998</v>
      </c>
    </row>
    <row r="1133" spans="1:16" x14ac:dyDescent="0.25">
      <c r="A1133" s="10">
        <v>39273</v>
      </c>
      <c r="B1133">
        <v>303.37622300001391</v>
      </c>
      <c r="C1133">
        <v>114.864</v>
      </c>
      <c r="D1133">
        <v>0</v>
      </c>
      <c r="E1133">
        <v>0</v>
      </c>
      <c r="F1133">
        <v>0</v>
      </c>
      <c r="G1133">
        <v>149.82407599999999</v>
      </c>
      <c r="H1133">
        <v>-16.744432999999841</v>
      </c>
      <c r="I1133">
        <v>0</v>
      </c>
      <c r="J1133">
        <v>0</v>
      </c>
      <c r="K1133">
        <v>0.92489200000000005</v>
      </c>
      <c r="L1133">
        <v>59.046999999999997</v>
      </c>
      <c r="M1133">
        <v>0</v>
      </c>
      <c r="N1133">
        <v>0</v>
      </c>
      <c r="O1133">
        <v>-4.539311999986321</v>
      </c>
      <c r="P1133">
        <v>86848.248014000012</v>
      </c>
    </row>
    <row r="1134" spans="1:16" x14ac:dyDescent="0.25">
      <c r="A1134" s="10">
        <v>39274</v>
      </c>
      <c r="B1134">
        <v>483.64699999999698</v>
      </c>
      <c r="C1134">
        <v>527.86800000000005</v>
      </c>
      <c r="D1134">
        <v>0</v>
      </c>
      <c r="E1134">
        <v>0</v>
      </c>
      <c r="F1134">
        <v>0</v>
      </c>
      <c r="G1134">
        <v>38.823560999999977</v>
      </c>
      <c r="H1134">
        <v>-585.4605889999998</v>
      </c>
      <c r="I1134">
        <v>0</v>
      </c>
      <c r="J1134">
        <v>0</v>
      </c>
      <c r="K1134">
        <v>-0.20899999999999999</v>
      </c>
      <c r="L1134">
        <v>505.20299999999997</v>
      </c>
      <c r="M1134">
        <v>0</v>
      </c>
      <c r="N1134">
        <v>0</v>
      </c>
      <c r="O1134">
        <v>-2.5779720000032111</v>
      </c>
      <c r="P1134">
        <v>87331.895014000009</v>
      </c>
    </row>
    <row r="1135" spans="1:16" x14ac:dyDescent="0.25">
      <c r="A1135" s="10">
        <v>39275</v>
      </c>
      <c r="B1135">
        <v>112.6864119999954</v>
      </c>
      <c r="C1135">
        <v>210.75399999999999</v>
      </c>
      <c r="D1135">
        <v>0</v>
      </c>
      <c r="E1135">
        <v>0</v>
      </c>
      <c r="F1135">
        <v>0</v>
      </c>
      <c r="G1135">
        <v>-10.740503</v>
      </c>
      <c r="H1135">
        <v>-93.339999999999691</v>
      </c>
      <c r="I1135">
        <v>0</v>
      </c>
      <c r="J1135">
        <v>0</v>
      </c>
      <c r="K1135">
        <v>0.4</v>
      </c>
      <c r="L1135">
        <v>0</v>
      </c>
      <c r="M1135">
        <v>0</v>
      </c>
      <c r="N1135">
        <v>0</v>
      </c>
      <c r="O1135">
        <v>5.6129149999951036</v>
      </c>
      <c r="P1135">
        <v>87444.581426000004</v>
      </c>
    </row>
    <row r="1136" spans="1:16" x14ac:dyDescent="0.25">
      <c r="A1136" s="10">
        <v>39276</v>
      </c>
      <c r="B1136">
        <v>182.15929100000369</v>
      </c>
      <c r="C1136">
        <v>79.97</v>
      </c>
      <c r="D1136">
        <v>0</v>
      </c>
      <c r="E1136">
        <v>0</v>
      </c>
      <c r="F1136">
        <v>0</v>
      </c>
      <c r="G1136">
        <v>-105.193392</v>
      </c>
      <c r="H1136">
        <v>198.55899999999971</v>
      </c>
      <c r="I1136">
        <v>0</v>
      </c>
      <c r="J1136">
        <v>0</v>
      </c>
      <c r="K1136">
        <v>0.37</v>
      </c>
      <c r="L1136">
        <v>-1.98</v>
      </c>
      <c r="M1136">
        <v>0</v>
      </c>
      <c r="N1136">
        <v>0</v>
      </c>
      <c r="O1136">
        <v>10.433683000003979</v>
      </c>
      <c r="P1136">
        <v>87626.740717000008</v>
      </c>
    </row>
    <row r="1137" spans="1:16" x14ac:dyDescent="0.25">
      <c r="A1137" s="10">
        <v>39279</v>
      </c>
      <c r="B1137">
        <v>494.95324200000312</v>
      </c>
      <c r="C1137">
        <v>43.41</v>
      </c>
      <c r="D1137">
        <v>0</v>
      </c>
      <c r="E1137">
        <v>0</v>
      </c>
      <c r="F1137">
        <v>0</v>
      </c>
      <c r="G1137">
        <v>239.51439199999999</v>
      </c>
      <c r="H1137">
        <v>194.05000000000021</v>
      </c>
      <c r="I1137">
        <v>0</v>
      </c>
      <c r="J1137">
        <v>0</v>
      </c>
      <c r="K1137">
        <v>0.88</v>
      </c>
      <c r="L1137">
        <v>5.15</v>
      </c>
      <c r="M1137">
        <v>0</v>
      </c>
      <c r="N1137">
        <v>0</v>
      </c>
      <c r="O1137">
        <v>11.94885000000296</v>
      </c>
      <c r="P1137">
        <v>88121.693959000011</v>
      </c>
    </row>
    <row r="1138" spans="1:16" x14ac:dyDescent="0.25">
      <c r="A1138" s="10">
        <v>39280</v>
      </c>
      <c r="B1138">
        <v>-211.15911700000291</v>
      </c>
      <c r="C1138">
        <v>187.63900000000001</v>
      </c>
      <c r="D1138">
        <v>0</v>
      </c>
      <c r="E1138">
        <v>-1950</v>
      </c>
      <c r="F1138">
        <v>0</v>
      </c>
      <c r="G1138">
        <v>1880.997218</v>
      </c>
      <c r="H1138">
        <v>-346.26879399999962</v>
      </c>
      <c r="I1138">
        <v>0</v>
      </c>
      <c r="J1138">
        <v>0</v>
      </c>
      <c r="K1138">
        <v>0.27</v>
      </c>
      <c r="L1138">
        <v>4.74</v>
      </c>
      <c r="M1138">
        <v>0</v>
      </c>
      <c r="N1138">
        <v>0</v>
      </c>
      <c r="O1138">
        <v>11.46345899999665</v>
      </c>
      <c r="P1138">
        <v>87910.534842000008</v>
      </c>
    </row>
    <row r="1139" spans="1:16" x14ac:dyDescent="0.25">
      <c r="A1139" s="10">
        <v>39281</v>
      </c>
      <c r="B1139">
        <v>-593.42153900000267</v>
      </c>
      <c r="C1139">
        <v>120.979</v>
      </c>
      <c r="D1139">
        <v>0</v>
      </c>
      <c r="E1139">
        <v>0</v>
      </c>
      <c r="F1139">
        <v>0</v>
      </c>
      <c r="G1139">
        <v>-4.4300010000000043</v>
      </c>
      <c r="H1139">
        <v>-237.59899999999971</v>
      </c>
      <c r="I1139">
        <v>0</v>
      </c>
      <c r="J1139">
        <v>0</v>
      </c>
      <c r="K1139">
        <v>0.42</v>
      </c>
      <c r="L1139">
        <v>-483.19</v>
      </c>
      <c r="M1139">
        <v>0</v>
      </c>
      <c r="N1139">
        <v>0</v>
      </c>
      <c r="O1139">
        <v>10.398461999997011</v>
      </c>
      <c r="P1139">
        <v>87317.113303000006</v>
      </c>
    </row>
    <row r="1140" spans="1:16" x14ac:dyDescent="0.25">
      <c r="A1140" s="10">
        <v>39282</v>
      </c>
      <c r="B1140">
        <v>523.78295199999411</v>
      </c>
      <c r="C1140">
        <v>117.92700000000001</v>
      </c>
      <c r="D1140">
        <v>0</v>
      </c>
      <c r="E1140">
        <v>1000</v>
      </c>
      <c r="F1140">
        <v>0</v>
      </c>
      <c r="G1140">
        <v>-872.97121700000002</v>
      </c>
      <c r="H1140">
        <v>127.779</v>
      </c>
      <c r="I1140">
        <v>0</v>
      </c>
      <c r="J1140">
        <v>0</v>
      </c>
      <c r="K1140">
        <v>3.6999999999999998E-2</v>
      </c>
      <c r="L1140">
        <v>146.32</v>
      </c>
      <c r="M1140">
        <v>0</v>
      </c>
      <c r="N1140">
        <v>0</v>
      </c>
      <c r="O1140">
        <v>4.691168999994261</v>
      </c>
      <c r="P1140">
        <v>87840.896255</v>
      </c>
    </row>
    <row r="1141" spans="1:16" x14ac:dyDescent="0.25">
      <c r="A1141" s="10">
        <v>39283</v>
      </c>
      <c r="B1141">
        <v>444.53247099999851</v>
      </c>
      <c r="C1141">
        <v>31.088999999999999</v>
      </c>
      <c r="D1141">
        <v>0</v>
      </c>
      <c r="E1141">
        <v>0</v>
      </c>
      <c r="F1141">
        <v>0</v>
      </c>
      <c r="G1141">
        <v>-70.711000000000013</v>
      </c>
      <c r="H1141">
        <v>480.30619700000028</v>
      </c>
      <c r="I1141">
        <v>0</v>
      </c>
      <c r="J1141">
        <v>0</v>
      </c>
      <c r="K1141">
        <v>0.44500000000000001</v>
      </c>
      <c r="L1141">
        <v>4.9420000000000002</v>
      </c>
      <c r="M1141">
        <v>0</v>
      </c>
      <c r="N1141">
        <v>0</v>
      </c>
      <c r="O1141">
        <v>-1.538726000001873</v>
      </c>
      <c r="P1141">
        <v>88285.428725999998</v>
      </c>
    </row>
    <row r="1142" spans="1:16" x14ac:dyDescent="0.25">
      <c r="A1142" s="10">
        <v>39286</v>
      </c>
      <c r="B1142">
        <v>326.08660600001139</v>
      </c>
      <c r="C1142">
        <v>31.102</v>
      </c>
      <c r="D1142">
        <v>0</v>
      </c>
      <c r="E1142">
        <v>0</v>
      </c>
      <c r="F1142">
        <v>0</v>
      </c>
      <c r="G1142">
        <v>-141.22800000000001</v>
      </c>
      <c r="H1142">
        <v>421.11599999999999</v>
      </c>
      <c r="I1142">
        <v>0</v>
      </c>
      <c r="J1142">
        <v>0</v>
      </c>
      <c r="K1142">
        <v>0.74263699999999999</v>
      </c>
      <c r="L1142">
        <v>0</v>
      </c>
      <c r="M1142">
        <v>0</v>
      </c>
      <c r="N1142">
        <v>0</v>
      </c>
      <c r="O1142">
        <v>14.35396900001143</v>
      </c>
      <c r="P1142">
        <v>88611.51533200001</v>
      </c>
    </row>
    <row r="1143" spans="1:16" x14ac:dyDescent="0.25">
      <c r="A1143" s="10">
        <v>39287</v>
      </c>
      <c r="B1143">
        <v>176.3463899999912</v>
      </c>
      <c r="C1143">
        <v>0</v>
      </c>
      <c r="D1143">
        <v>0</v>
      </c>
      <c r="E1143">
        <v>0</v>
      </c>
      <c r="F1143">
        <v>0</v>
      </c>
      <c r="G1143">
        <v>-7.0862619999999854</v>
      </c>
      <c r="H1143">
        <v>114.1055999999994</v>
      </c>
      <c r="I1143">
        <v>0</v>
      </c>
      <c r="J1143">
        <v>0</v>
      </c>
      <c r="K1143">
        <v>0.28499999999999998</v>
      </c>
      <c r="L1143">
        <v>76.929499999998598</v>
      </c>
      <c r="M1143">
        <v>0</v>
      </c>
      <c r="N1143">
        <v>0</v>
      </c>
      <c r="O1143">
        <v>-7.8874480000068274</v>
      </c>
      <c r="P1143">
        <v>88787.861722000001</v>
      </c>
    </row>
    <row r="1144" spans="1:16" x14ac:dyDescent="0.25">
      <c r="A1144" s="10">
        <v>39288</v>
      </c>
      <c r="B1144">
        <v>128.88573799999719</v>
      </c>
      <c r="C1144">
        <v>-40.834000000000003</v>
      </c>
      <c r="D1144">
        <v>0</v>
      </c>
      <c r="E1144">
        <v>0</v>
      </c>
      <c r="F1144">
        <v>0</v>
      </c>
      <c r="G1144">
        <v>-264.36773799999997</v>
      </c>
      <c r="H1144">
        <v>348.40199999999999</v>
      </c>
      <c r="I1144">
        <v>0</v>
      </c>
      <c r="J1144">
        <v>0</v>
      </c>
      <c r="K1144">
        <v>0.18</v>
      </c>
      <c r="L1144">
        <v>84.728000000001401</v>
      </c>
      <c r="M1144">
        <v>0</v>
      </c>
      <c r="N1144">
        <v>0</v>
      </c>
      <c r="O1144">
        <v>0.77747599999568251</v>
      </c>
      <c r="P1144">
        <v>88916.747459999999</v>
      </c>
    </row>
    <row r="1145" spans="1:16" x14ac:dyDescent="0.25">
      <c r="A1145" s="10">
        <v>39289</v>
      </c>
      <c r="B1145">
        <v>61.389104000001772</v>
      </c>
      <c r="C1145">
        <v>-274.86300000000011</v>
      </c>
      <c r="D1145">
        <v>0</v>
      </c>
      <c r="E1145">
        <v>950</v>
      </c>
      <c r="F1145">
        <v>0</v>
      </c>
      <c r="G1145">
        <v>-957.02600000000007</v>
      </c>
      <c r="H1145">
        <v>267.57900000000018</v>
      </c>
      <c r="I1145">
        <v>0</v>
      </c>
      <c r="J1145">
        <v>0</v>
      </c>
      <c r="K1145">
        <v>0.34</v>
      </c>
      <c r="L1145">
        <v>71.47</v>
      </c>
      <c r="M1145">
        <v>0</v>
      </c>
      <c r="N1145">
        <v>0</v>
      </c>
      <c r="O1145">
        <v>3.889104000001709</v>
      </c>
      <c r="P1145">
        <v>88978.136564</v>
      </c>
    </row>
    <row r="1146" spans="1:16" x14ac:dyDescent="0.25">
      <c r="A1146" s="10">
        <v>39290</v>
      </c>
      <c r="B1146">
        <v>461.44146300001017</v>
      </c>
      <c r="C1146">
        <v>47.327999999999989</v>
      </c>
      <c r="D1146">
        <v>0</v>
      </c>
      <c r="E1146">
        <v>0</v>
      </c>
      <c r="F1146">
        <v>0</v>
      </c>
      <c r="G1146">
        <v>484.85</v>
      </c>
      <c r="H1146">
        <v>-152.02339799999999</v>
      </c>
      <c r="I1146">
        <v>0</v>
      </c>
      <c r="J1146">
        <v>0</v>
      </c>
      <c r="K1146">
        <v>0.04</v>
      </c>
      <c r="L1146">
        <v>53.24</v>
      </c>
      <c r="M1146">
        <v>0</v>
      </c>
      <c r="N1146">
        <v>0</v>
      </c>
      <c r="O1146">
        <v>28.00686100001019</v>
      </c>
      <c r="P1146">
        <v>89439.57802700001</v>
      </c>
    </row>
    <row r="1147" spans="1:16" x14ac:dyDescent="0.25">
      <c r="A1147" s="10">
        <v>39293</v>
      </c>
      <c r="B1147">
        <v>113.8355370000063</v>
      </c>
      <c r="C1147">
        <v>-25.02</v>
      </c>
      <c r="D1147">
        <v>0</v>
      </c>
      <c r="E1147">
        <v>0</v>
      </c>
      <c r="F1147">
        <v>0</v>
      </c>
      <c r="G1147">
        <v>-103.474</v>
      </c>
      <c r="H1147">
        <v>90.740999999999985</v>
      </c>
      <c r="I1147">
        <v>0</v>
      </c>
      <c r="J1147">
        <v>0</v>
      </c>
      <c r="K1147">
        <v>0.7</v>
      </c>
      <c r="L1147">
        <v>142.25</v>
      </c>
      <c r="M1147">
        <v>0</v>
      </c>
      <c r="N1147">
        <v>0</v>
      </c>
      <c r="O1147">
        <v>8.6385370000062629</v>
      </c>
      <c r="P1147">
        <v>89553.413564000017</v>
      </c>
    </row>
    <row r="1148" spans="1:16" x14ac:dyDescent="0.25">
      <c r="A1148" s="10">
        <v>39294</v>
      </c>
      <c r="B1148">
        <v>137.71407499998179</v>
      </c>
      <c r="C1148">
        <v>59.258000000000003</v>
      </c>
      <c r="D1148">
        <v>0</v>
      </c>
      <c r="E1148">
        <v>0</v>
      </c>
      <c r="F1148">
        <v>0</v>
      </c>
      <c r="G1148">
        <v>-68.617000000000004</v>
      </c>
      <c r="H1148">
        <v>-36.875</v>
      </c>
      <c r="I1148">
        <v>0</v>
      </c>
      <c r="J1148">
        <v>0</v>
      </c>
      <c r="K1148">
        <v>0.15</v>
      </c>
      <c r="L1148">
        <v>166.44</v>
      </c>
      <c r="M1148">
        <v>0</v>
      </c>
      <c r="N1148">
        <v>0</v>
      </c>
      <c r="O1148">
        <v>17.35807499998182</v>
      </c>
      <c r="P1148">
        <v>89691.127638999998</v>
      </c>
    </row>
    <row r="1149" spans="1:16" x14ac:dyDescent="0.25">
      <c r="A1149" s="10">
        <v>39295</v>
      </c>
      <c r="B1149">
        <v>-188.6116360000014</v>
      </c>
      <c r="C1149">
        <v>-224.24600000000001</v>
      </c>
      <c r="D1149">
        <v>0</v>
      </c>
      <c r="E1149">
        <v>0</v>
      </c>
      <c r="F1149">
        <v>0</v>
      </c>
      <c r="G1149">
        <v>-46.562999999999988</v>
      </c>
      <c r="H1149">
        <v>-117.4169999999999</v>
      </c>
      <c r="I1149">
        <v>0</v>
      </c>
      <c r="J1149">
        <v>0</v>
      </c>
      <c r="K1149">
        <v>0.59</v>
      </c>
      <c r="L1149">
        <v>193.43</v>
      </c>
      <c r="M1149">
        <v>0</v>
      </c>
      <c r="N1149">
        <v>0</v>
      </c>
      <c r="O1149">
        <v>5.5943639999985066</v>
      </c>
      <c r="P1149">
        <v>89502.516002999997</v>
      </c>
    </row>
    <row r="1150" spans="1:16" x14ac:dyDescent="0.25">
      <c r="A1150" s="10">
        <v>39296</v>
      </c>
      <c r="B1150">
        <v>224.88084300002069</v>
      </c>
      <c r="C1150">
        <v>148.768</v>
      </c>
      <c r="D1150">
        <v>0</v>
      </c>
      <c r="E1150">
        <v>0</v>
      </c>
      <c r="F1150">
        <v>0</v>
      </c>
      <c r="G1150">
        <v>52.606999999999999</v>
      </c>
      <c r="H1150">
        <v>-128.95400000000021</v>
      </c>
      <c r="I1150">
        <v>0</v>
      </c>
      <c r="J1150">
        <v>-66.859999999999673</v>
      </c>
      <c r="K1150">
        <v>-4.3299999999997816</v>
      </c>
      <c r="L1150">
        <v>223.95</v>
      </c>
      <c r="M1150">
        <v>0</v>
      </c>
      <c r="N1150">
        <v>0</v>
      </c>
      <c r="O1150">
        <v>-0.3001569999796061</v>
      </c>
      <c r="P1150">
        <v>89727.396846000018</v>
      </c>
    </row>
    <row r="1151" spans="1:16" x14ac:dyDescent="0.25">
      <c r="A1151" s="10">
        <v>39297</v>
      </c>
      <c r="B1151">
        <v>-289.09092900001269</v>
      </c>
      <c r="C1151">
        <v>-255.81139999999999</v>
      </c>
      <c r="D1151">
        <v>-2850</v>
      </c>
      <c r="E1151">
        <v>0</v>
      </c>
      <c r="F1151">
        <v>0</v>
      </c>
      <c r="G1151">
        <v>2841.3391499999998</v>
      </c>
      <c r="H1151">
        <v>52.599999999999909</v>
      </c>
      <c r="I1151">
        <v>0</v>
      </c>
      <c r="J1151">
        <v>-136.46999999999929</v>
      </c>
      <c r="K1151">
        <v>-7.9399999999999089</v>
      </c>
      <c r="L1151">
        <v>46.12</v>
      </c>
      <c r="M1151">
        <v>0</v>
      </c>
      <c r="N1151">
        <v>0</v>
      </c>
      <c r="O1151">
        <v>21.071320999986821</v>
      </c>
      <c r="P1151">
        <v>89438.305917000005</v>
      </c>
    </row>
    <row r="1152" spans="1:16" x14ac:dyDescent="0.25">
      <c r="A1152" s="10">
        <v>39300</v>
      </c>
      <c r="B1152">
        <v>-219.2601529999956</v>
      </c>
      <c r="C1152">
        <v>-21.08</v>
      </c>
      <c r="D1152">
        <v>0</v>
      </c>
      <c r="E1152">
        <v>0</v>
      </c>
      <c r="F1152">
        <v>0</v>
      </c>
      <c r="G1152">
        <v>-121.89315000000001</v>
      </c>
      <c r="H1152">
        <v>-40.125827999999728</v>
      </c>
      <c r="I1152">
        <v>0</v>
      </c>
      <c r="J1152">
        <v>0</v>
      </c>
      <c r="K1152">
        <v>15.12</v>
      </c>
      <c r="L1152">
        <v>0</v>
      </c>
      <c r="M1152">
        <v>0</v>
      </c>
      <c r="N1152">
        <v>0</v>
      </c>
      <c r="O1152">
        <v>-51.281174999995869</v>
      </c>
      <c r="P1152">
        <v>89219.04576400001</v>
      </c>
    </row>
    <row r="1153" spans="1:16" x14ac:dyDescent="0.25">
      <c r="A1153" s="10">
        <v>39301</v>
      </c>
      <c r="B1153">
        <v>24.349284999989251</v>
      </c>
      <c r="C1153">
        <v>17.271999999999998</v>
      </c>
      <c r="D1153">
        <v>0</v>
      </c>
      <c r="E1153">
        <v>0</v>
      </c>
      <c r="F1153">
        <v>0</v>
      </c>
      <c r="G1153">
        <v>-4.9724889999999888</v>
      </c>
      <c r="H1153">
        <v>-58.914363000000321</v>
      </c>
      <c r="I1153">
        <v>0</v>
      </c>
      <c r="J1153">
        <v>0</v>
      </c>
      <c r="K1153">
        <v>4.2699999999999996</v>
      </c>
      <c r="L1153">
        <v>9.0399999999999991</v>
      </c>
      <c r="M1153">
        <v>0</v>
      </c>
      <c r="N1153">
        <v>0</v>
      </c>
      <c r="O1153">
        <v>57.654136999989561</v>
      </c>
      <c r="P1153">
        <v>89243.395048999999</v>
      </c>
    </row>
    <row r="1154" spans="1:16" x14ac:dyDescent="0.25">
      <c r="A1154" s="10">
        <v>39302</v>
      </c>
      <c r="B1154">
        <v>-90.244770999997982</v>
      </c>
      <c r="C1154">
        <v>12.536</v>
      </c>
      <c r="D1154">
        <v>0</v>
      </c>
      <c r="E1154">
        <v>0</v>
      </c>
      <c r="F1154">
        <v>0</v>
      </c>
      <c r="G1154">
        <v>1.787488999999997</v>
      </c>
      <c r="H1154">
        <v>-508.85899999999992</v>
      </c>
      <c r="I1154">
        <v>0</v>
      </c>
      <c r="J1154">
        <v>0</v>
      </c>
      <c r="K1154">
        <v>0.217</v>
      </c>
      <c r="L1154">
        <v>417.62299999999999</v>
      </c>
      <c r="M1154">
        <v>0</v>
      </c>
      <c r="N1154">
        <v>0</v>
      </c>
      <c r="O1154">
        <v>-13.54925999999802</v>
      </c>
      <c r="P1154">
        <v>89153.150278000001</v>
      </c>
    </row>
    <row r="1155" spans="1:16" x14ac:dyDescent="0.25">
      <c r="A1155" s="10">
        <v>39303</v>
      </c>
      <c r="B1155">
        <v>-2.862265999996509</v>
      </c>
      <c r="C1155">
        <v>1.145</v>
      </c>
      <c r="D1155">
        <v>0</v>
      </c>
      <c r="E1155">
        <v>0</v>
      </c>
      <c r="F1155">
        <v>0</v>
      </c>
      <c r="G1155">
        <v>-1.3769999999999949</v>
      </c>
      <c r="H1155">
        <v>-67.144000000000233</v>
      </c>
      <c r="I1155">
        <v>0</v>
      </c>
      <c r="J1155">
        <v>0</v>
      </c>
      <c r="K1155">
        <v>0.44</v>
      </c>
      <c r="L1155">
        <v>52.91</v>
      </c>
      <c r="M1155">
        <v>0</v>
      </c>
      <c r="N1155">
        <v>0</v>
      </c>
      <c r="O1155">
        <v>11.16373400000372</v>
      </c>
      <c r="P1155">
        <v>89150.288012000005</v>
      </c>
    </row>
    <row r="1156" spans="1:16" x14ac:dyDescent="0.25">
      <c r="A1156" s="10">
        <v>39304</v>
      </c>
      <c r="B1156">
        <v>318.67237699999538</v>
      </c>
      <c r="C1156">
        <v>-175.82900000000001</v>
      </c>
      <c r="D1156">
        <v>0</v>
      </c>
      <c r="E1156">
        <v>0</v>
      </c>
      <c r="F1156">
        <v>0</v>
      </c>
      <c r="G1156">
        <v>-23.279999999999969</v>
      </c>
      <c r="H1156">
        <v>481.40599999999989</v>
      </c>
      <c r="I1156">
        <v>0</v>
      </c>
      <c r="J1156">
        <v>0</v>
      </c>
      <c r="K1156">
        <v>0.31</v>
      </c>
      <c r="L1156">
        <v>55.27</v>
      </c>
      <c r="M1156">
        <v>0</v>
      </c>
      <c r="N1156">
        <v>0</v>
      </c>
      <c r="O1156">
        <v>-19.204623000004581</v>
      </c>
      <c r="P1156">
        <v>89468.960389</v>
      </c>
    </row>
    <row r="1157" spans="1:16" x14ac:dyDescent="0.25">
      <c r="A1157" s="10">
        <v>39307</v>
      </c>
      <c r="B1157">
        <v>-734.22805999999412</v>
      </c>
      <c r="C1157">
        <v>-36.158999999999999</v>
      </c>
      <c r="D1157">
        <v>0</v>
      </c>
      <c r="E1157">
        <v>0</v>
      </c>
      <c r="F1157">
        <v>0</v>
      </c>
      <c r="G1157">
        <v>-61.142000000000003</v>
      </c>
      <c r="H1157">
        <v>-638.29399999999987</v>
      </c>
      <c r="I1157">
        <v>0</v>
      </c>
      <c r="J1157">
        <v>0</v>
      </c>
      <c r="K1157">
        <v>0.63</v>
      </c>
      <c r="L1157">
        <v>0</v>
      </c>
      <c r="M1157">
        <v>0</v>
      </c>
      <c r="N1157">
        <v>0</v>
      </c>
      <c r="O1157">
        <v>0.73694000000568849</v>
      </c>
      <c r="P1157">
        <v>88734.732329000006</v>
      </c>
    </row>
    <row r="1158" spans="1:16" x14ac:dyDescent="0.25">
      <c r="A1158" s="10">
        <v>39308</v>
      </c>
      <c r="B1158">
        <v>-142.8133170000076</v>
      </c>
      <c r="C1158">
        <v>-77.043999999999997</v>
      </c>
      <c r="D1158">
        <v>0</v>
      </c>
      <c r="E1158">
        <v>0</v>
      </c>
      <c r="F1158">
        <v>0</v>
      </c>
      <c r="G1158">
        <v>-76.803999999999974</v>
      </c>
      <c r="H1158">
        <v>-57.675999999999931</v>
      </c>
      <c r="I1158">
        <v>0</v>
      </c>
      <c r="J1158">
        <v>0</v>
      </c>
      <c r="K1158">
        <v>0.309</v>
      </c>
      <c r="L1158">
        <v>62.371000000000002</v>
      </c>
      <c r="M1158">
        <v>0</v>
      </c>
      <c r="N1158">
        <v>0</v>
      </c>
      <c r="O1158">
        <v>6.0306829999923082</v>
      </c>
      <c r="P1158">
        <v>88591.919011999998</v>
      </c>
    </row>
    <row r="1159" spans="1:16" x14ac:dyDescent="0.25">
      <c r="A1159" s="10">
        <v>39309</v>
      </c>
      <c r="B1159">
        <v>433.84375200000068</v>
      </c>
      <c r="C1159">
        <v>-99.266499999999994</v>
      </c>
      <c r="D1159">
        <v>0</v>
      </c>
      <c r="E1159">
        <v>0</v>
      </c>
      <c r="F1159">
        <v>0</v>
      </c>
      <c r="G1159">
        <v>101.095</v>
      </c>
      <c r="H1159">
        <v>749.74399999999991</v>
      </c>
      <c r="I1159">
        <v>0</v>
      </c>
      <c r="J1159">
        <v>0</v>
      </c>
      <c r="K1159">
        <v>0.42199999999999999</v>
      </c>
      <c r="L1159">
        <v>-347.86</v>
      </c>
      <c r="M1159">
        <v>0</v>
      </c>
      <c r="N1159">
        <v>0</v>
      </c>
      <c r="O1159">
        <v>29.70925200000071</v>
      </c>
      <c r="P1159">
        <v>89025.762763999999</v>
      </c>
    </row>
    <row r="1160" spans="1:16" x14ac:dyDescent="0.25">
      <c r="A1160" s="10">
        <v>39310</v>
      </c>
      <c r="B1160">
        <v>-264.89199999999249</v>
      </c>
      <c r="C1160">
        <v>-199.34800000000001</v>
      </c>
      <c r="D1160">
        <v>0</v>
      </c>
      <c r="E1160">
        <v>0</v>
      </c>
      <c r="F1160">
        <v>0</v>
      </c>
      <c r="G1160">
        <v>-48.229000000000013</v>
      </c>
      <c r="H1160">
        <v>-108.15599999999991</v>
      </c>
      <c r="I1160">
        <v>0</v>
      </c>
      <c r="J1160">
        <v>0</v>
      </c>
      <c r="K1160">
        <v>0.31</v>
      </c>
      <c r="L1160">
        <v>89.87</v>
      </c>
      <c r="M1160">
        <v>0</v>
      </c>
      <c r="N1160">
        <v>0</v>
      </c>
      <c r="O1160">
        <v>0.66100000000744785</v>
      </c>
      <c r="P1160">
        <v>88760.870764000007</v>
      </c>
    </row>
    <row r="1161" spans="1:16" x14ac:dyDescent="0.25">
      <c r="A1161" s="10">
        <v>39311</v>
      </c>
      <c r="B1161">
        <v>-507.53399999999982</v>
      </c>
      <c r="C1161">
        <v>-56.72</v>
      </c>
      <c r="D1161">
        <v>0</v>
      </c>
      <c r="E1161">
        <v>0</v>
      </c>
      <c r="F1161">
        <v>0</v>
      </c>
      <c r="G1161">
        <v>8.4339999999999975</v>
      </c>
      <c r="H1161">
        <v>-463.12628300000011</v>
      </c>
      <c r="I1161">
        <v>0</v>
      </c>
      <c r="J1161">
        <v>0</v>
      </c>
      <c r="K1161">
        <v>0.11</v>
      </c>
      <c r="L1161">
        <v>4.8600000000000003</v>
      </c>
      <c r="M1161">
        <v>0</v>
      </c>
      <c r="N1161">
        <v>0</v>
      </c>
      <c r="O1161">
        <v>-1.0917169999997329</v>
      </c>
      <c r="P1161">
        <v>88253.336764000007</v>
      </c>
    </row>
    <row r="1162" spans="1:16" x14ac:dyDescent="0.25">
      <c r="A1162" s="10">
        <v>39315</v>
      </c>
      <c r="B1162">
        <v>-58.875000000014502</v>
      </c>
      <c r="C1162">
        <v>0</v>
      </c>
      <c r="D1162">
        <v>0</v>
      </c>
      <c r="E1162">
        <v>0</v>
      </c>
      <c r="F1162">
        <v>0</v>
      </c>
      <c r="G1162">
        <v>-4.7089999999999996</v>
      </c>
      <c r="H1162">
        <v>-76.090000000000146</v>
      </c>
      <c r="I1162">
        <v>0</v>
      </c>
      <c r="J1162">
        <v>0</v>
      </c>
      <c r="K1162">
        <v>1.56</v>
      </c>
      <c r="L1162">
        <v>20.98</v>
      </c>
      <c r="M1162">
        <v>0</v>
      </c>
      <c r="N1162">
        <v>0</v>
      </c>
      <c r="O1162">
        <v>-0.61600000001435262</v>
      </c>
      <c r="P1162">
        <v>88194.461763999992</v>
      </c>
    </row>
    <row r="1163" spans="1:16" x14ac:dyDescent="0.25">
      <c r="A1163" s="10">
        <v>39316</v>
      </c>
      <c r="B1163">
        <v>-338.18299999998959</v>
      </c>
      <c r="C1163">
        <v>33.83</v>
      </c>
      <c r="D1163">
        <v>0</v>
      </c>
      <c r="E1163">
        <v>0</v>
      </c>
      <c r="F1163">
        <v>0</v>
      </c>
      <c r="G1163">
        <v>130.04014000000001</v>
      </c>
      <c r="H1163">
        <v>-588.30199999999923</v>
      </c>
      <c r="I1163">
        <v>0</v>
      </c>
      <c r="J1163">
        <v>0</v>
      </c>
      <c r="K1163">
        <v>-0.33</v>
      </c>
      <c r="L1163">
        <v>85.29</v>
      </c>
      <c r="M1163">
        <v>0</v>
      </c>
      <c r="N1163">
        <v>0</v>
      </c>
      <c r="O1163">
        <v>1.288860000009606</v>
      </c>
      <c r="P1163">
        <v>87856.278764000002</v>
      </c>
    </row>
    <row r="1164" spans="1:16" x14ac:dyDescent="0.25">
      <c r="A1164" s="10">
        <v>39317</v>
      </c>
      <c r="B1164">
        <v>15.895000000004149</v>
      </c>
      <c r="C1164">
        <v>5.6940000000000026</v>
      </c>
      <c r="D1164">
        <v>0</v>
      </c>
      <c r="E1164">
        <v>0</v>
      </c>
      <c r="F1164">
        <v>0</v>
      </c>
      <c r="G1164">
        <v>-74.435139999999976</v>
      </c>
      <c r="H1164">
        <v>-30.677000000000131</v>
      </c>
      <c r="I1164">
        <v>0</v>
      </c>
      <c r="J1164">
        <v>0</v>
      </c>
      <c r="K1164">
        <v>-0.42</v>
      </c>
      <c r="L1164">
        <v>113.06</v>
      </c>
      <c r="M1164">
        <v>0</v>
      </c>
      <c r="N1164">
        <v>0</v>
      </c>
      <c r="O1164">
        <v>2.6731400000042531</v>
      </c>
      <c r="P1164">
        <v>87872.173764000006</v>
      </c>
    </row>
    <row r="1165" spans="1:16" x14ac:dyDescent="0.25">
      <c r="A1165" s="10">
        <v>39318</v>
      </c>
      <c r="B1165">
        <v>-521.0690070000129</v>
      </c>
      <c r="C1165">
        <v>-741.33</v>
      </c>
      <c r="D1165">
        <v>0</v>
      </c>
      <c r="E1165">
        <v>0</v>
      </c>
      <c r="F1165">
        <v>0</v>
      </c>
      <c r="G1165">
        <v>-4.8820000000000281</v>
      </c>
      <c r="H1165">
        <v>176.00700000000009</v>
      </c>
      <c r="I1165">
        <v>0</v>
      </c>
      <c r="J1165">
        <v>0</v>
      </c>
      <c r="K1165">
        <v>0.19</v>
      </c>
      <c r="L1165">
        <v>47.77</v>
      </c>
      <c r="M1165">
        <v>0</v>
      </c>
      <c r="N1165">
        <v>0</v>
      </c>
      <c r="O1165">
        <v>1.1759929999871019</v>
      </c>
      <c r="P1165">
        <v>87351.104756999994</v>
      </c>
    </row>
    <row r="1166" spans="1:16" x14ac:dyDescent="0.25">
      <c r="A1166" s="10">
        <v>39321</v>
      </c>
      <c r="B1166">
        <v>-580.2634299999919</v>
      </c>
      <c r="C1166">
        <v>-399.471</v>
      </c>
      <c r="D1166">
        <v>0</v>
      </c>
      <c r="E1166">
        <v>0</v>
      </c>
      <c r="F1166">
        <v>0</v>
      </c>
      <c r="G1166">
        <v>-19.068999999999999</v>
      </c>
      <c r="H1166">
        <v>-201.43100000000001</v>
      </c>
      <c r="I1166">
        <v>0</v>
      </c>
      <c r="J1166">
        <v>0</v>
      </c>
      <c r="K1166">
        <v>1.1100000000000001</v>
      </c>
      <c r="L1166">
        <v>39.489999999999988</v>
      </c>
      <c r="M1166">
        <v>0</v>
      </c>
      <c r="N1166">
        <v>0</v>
      </c>
      <c r="O1166">
        <v>-0.89242999999191852</v>
      </c>
      <c r="P1166">
        <v>86770.841327000002</v>
      </c>
    </row>
    <row r="1167" spans="1:16" x14ac:dyDescent="0.25">
      <c r="A1167" s="10">
        <v>39322</v>
      </c>
      <c r="B1167">
        <v>-467.20931000000559</v>
      </c>
      <c r="C1167">
        <v>-421.31099999999998</v>
      </c>
      <c r="D1167">
        <v>0</v>
      </c>
      <c r="E1167">
        <v>0</v>
      </c>
      <c r="F1167">
        <v>0</v>
      </c>
      <c r="G1167">
        <v>258.02826299999998</v>
      </c>
      <c r="H1167">
        <v>-404.57254400000062</v>
      </c>
      <c r="I1167">
        <v>0</v>
      </c>
      <c r="J1167">
        <v>0</v>
      </c>
      <c r="K1167">
        <v>-0.56000000000000005</v>
      </c>
      <c r="L1167">
        <v>69.55</v>
      </c>
      <c r="M1167">
        <v>0</v>
      </c>
      <c r="N1167">
        <v>0</v>
      </c>
      <c r="O1167">
        <v>31.65597099999485</v>
      </c>
      <c r="P1167">
        <v>86303.632016999996</v>
      </c>
    </row>
    <row r="1168" spans="1:16" x14ac:dyDescent="0.25">
      <c r="A1168" s="10">
        <v>39323</v>
      </c>
      <c r="B1168">
        <v>-575.62435299999197</v>
      </c>
      <c r="C1168">
        <v>26.87</v>
      </c>
      <c r="D1168">
        <v>0</v>
      </c>
      <c r="E1168">
        <v>0</v>
      </c>
      <c r="F1168">
        <v>0</v>
      </c>
      <c r="G1168">
        <v>-8.1181739999999998</v>
      </c>
      <c r="H1168">
        <v>-674.46699999999919</v>
      </c>
      <c r="I1168">
        <v>0</v>
      </c>
      <c r="J1168">
        <v>0</v>
      </c>
      <c r="K1168">
        <v>0.83</v>
      </c>
      <c r="L1168">
        <v>69.81</v>
      </c>
      <c r="M1168">
        <v>0</v>
      </c>
      <c r="N1168">
        <v>0</v>
      </c>
      <c r="O1168">
        <v>9.4508210000071813</v>
      </c>
      <c r="P1168">
        <v>85728.007664000004</v>
      </c>
    </row>
    <row r="1169" spans="1:16" x14ac:dyDescent="0.25">
      <c r="A1169" s="10">
        <v>39324</v>
      </c>
      <c r="B1169">
        <v>-665.65996099999802</v>
      </c>
      <c r="C1169">
        <v>36.331000000000003</v>
      </c>
      <c r="D1169">
        <v>0</v>
      </c>
      <c r="E1169">
        <v>0</v>
      </c>
      <c r="F1169">
        <v>0</v>
      </c>
      <c r="G1169">
        <v>-168.45274000000001</v>
      </c>
      <c r="H1169">
        <v>-593.6840000000002</v>
      </c>
      <c r="I1169">
        <v>0</v>
      </c>
      <c r="J1169">
        <v>0</v>
      </c>
      <c r="K1169">
        <v>0.69</v>
      </c>
      <c r="L1169">
        <v>64.820000000000007</v>
      </c>
      <c r="M1169">
        <v>0</v>
      </c>
      <c r="N1169">
        <v>0</v>
      </c>
      <c r="O1169">
        <v>-5.3642209999978832</v>
      </c>
      <c r="P1169">
        <v>85062.347703000007</v>
      </c>
    </row>
    <row r="1170" spans="1:16" x14ac:dyDescent="0.25">
      <c r="A1170" s="10">
        <v>39325</v>
      </c>
      <c r="B1170">
        <v>2389.2109610000039</v>
      </c>
      <c r="C1170">
        <v>15.775</v>
      </c>
      <c r="D1170">
        <v>0</v>
      </c>
      <c r="E1170">
        <v>0</v>
      </c>
      <c r="F1170">
        <v>0</v>
      </c>
      <c r="G1170">
        <v>-15.768883000000001</v>
      </c>
      <c r="H1170">
        <v>2298.6763999999989</v>
      </c>
      <c r="I1170">
        <v>0</v>
      </c>
      <c r="J1170">
        <v>0</v>
      </c>
      <c r="K1170">
        <v>0.65</v>
      </c>
      <c r="L1170">
        <v>83.51</v>
      </c>
      <c r="M1170">
        <v>0</v>
      </c>
      <c r="N1170">
        <v>0</v>
      </c>
      <c r="O1170">
        <v>6.3684440000047289</v>
      </c>
      <c r="P1170">
        <v>87451.558664000011</v>
      </c>
    </row>
    <row r="1171" spans="1:16" x14ac:dyDescent="0.25">
      <c r="A1171" s="10">
        <v>39328</v>
      </c>
      <c r="B1171">
        <v>873.3876089999975</v>
      </c>
      <c r="C1171">
        <v>0</v>
      </c>
      <c r="D1171">
        <v>0</v>
      </c>
      <c r="E1171">
        <v>0</v>
      </c>
      <c r="F1171">
        <v>0</v>
      </c>
      <c r="G1171">
        <v>-52.390466000000004</v>
      </c>
      <c r="H1171">
        <v>826.19817999999987</v>
      </c>
      <c r="I1171">
        <v>0</v>
      </c>
      <c r="J1171">
        <v>0</v>
      </c>
      <c r="K1171">
        <v>13.59</v>
      </c>
      <c r="L1171">
        <v>90.44</v>
      </c>
      <c r="M1171">
        <v>0</v>
      </c>
      <c r="N1171">
        <v>0</v>
      </c>
      <c r="O1171">
        <v>-4.4501050000023126</v>
      </c>
      <c r="P1171">
        <v>88324.946273000009</v>
      </c>
    </row>
    <row r="1172" spans="1:16" x14ac:dyDescent="0.25">
      <c r="A1172" s="10">
        <v>39329</v>
      </c>
      <c r="B1172">
        <v>619.78916399998707</v>
      </c>
      <c r="C1172">
        <v>75.867000000000004</v>
      </c>
      <c r="D1172">
        <v>-160</v>
      </c>
      <c r="E1172">
        <v>0</v>
      </c>
      <c r="F1172">
        <v>0</v>
      </c>
      <c r="G1172">
        <v>165.32135500000001</v>
      </c>
      <c r="H1172">
        <v>592.34232800000018</v>
      </c>
      <c r="I1172">
        <v>0</v>
      </c>
      <c r="J1172">
        <v>-68.029999999999745</v>
      </c>
      <c r="K1172">
        <v>-4.5299999999999816</v>
      </c>
      <c r="L1172">
        <v>85.21</v>
      </c>
      <c r="M1172">
        <v>0</v>
      </c>
      <c r="N1172">
        <v>0</v>
      </c>
      <c r="O1172">
        <v>-66.391519000013432</v>
      </c>
      <c r="P1172">
        <v>88944.735436999996</v>
      </c>
    </row>
    <row r="1173" spans="1:16" x14ac:dyDescent="0.25">
      <c r="A1173" s="10">
        <v>39330</v>
      </c>
      <c r="B1173">
        <v>579.08524400001602</v>
      </c>
      <c r="C1173">
        <v>-16.809999999999999</v>
      </c>
      <c r="D1173">
        <v>0</v>
      </c>
      <c r="E1173">
        <v>0</v>
      </c>
      <c r="F1173">
        <v>0</v>
      </c>
      <c r="G1173">
        <v>43.291454999999978</v>
      </c>
      <c r="H1173">
        <v>178.40938799999981</v>
      </c>
      <c r="I1173">
        <v>0</v>
      </c>
      <c r="J1173">
        <v>0</v>
      </c>
      <c r="K1173">
        <v>0.39</v>
      </c>
      <c r="L1173">
        <v>323.24</v>
      </c>
      <c r="M1173">
        <v>0</v>
      </c>
      <c r="N1173">
        <v>0</v>
      </c>
      <c r="O1173">
        <v>50.564401000016282</v>
      </c>
      <c r="P1173">
        <v>89523.820681000012</v>
      </c>
    </row>
    <row r="1174" spans="1:16" x14ac:dyDescent="0.25">
      <c r="A1174" s="10">
        <v>39331</v>
      </c>
      <c r="B1174">
        <v>626.85141399998963</v>
      </c>
      <c r="C1174">
        <v>102.801</v>
      </c>
      <c r="D1174">
        <v>0</v>
      </c>
      <c r="E1174">
        <v>0</v>
      </c>
      <c r="F1174">
        <v>0</v>
      </c>
      <c r="G1174">
        <v>-156.99681000000001</v>
      </c>
      <c r="H1174">
        <v>589.81100000000015</v>
      </c>
      <c r="I1174">
        <v>0</v>
      </c>
      <c r="J1174">
        <v>0</v>
      </c>
      <c r="K1174">
        <v>1.82</v>
      </c>
      <c r="L1174">
        <v>95.73</v>
      </c>
      <c r="M1174">
        <v>0</v>
      </c>
      <c r="N1174">
        <v>0</v>
      </c>
      <c r="O1174">
        <v>-6.3137760000106482</v>
      </c>
      <c r="P1174">
        <v>90150.672095000002</v>
      </c>
    </row>
    <row r="1175" spans="1:16" x14ac:dyDescent="0.25">
      <c r="A1175" s="10">
        <v>39332</v>
      </c>
      <c r="B1175">
        <v>-997.93317899999965</v>
      </c>
      <c r="C1175">
        <v>-98.08</v>
      </c>
      <c r="D1175">
        <v>0</v>
      </c>
      <c r="E1175">
        <v>0</v>
      </c>
      <c r="F1175">
        <v>0</v>
      </c>
      <c r="G1175">
        <v>-984.66200000000003</v>
      </c>
      <c r="H1175">
        <v>10.045981999999871</v>
      </c>
      <c r="I1175">
        <v>0</v>
      </c>
      <c r="J1175">
        <v>0</v>
      </c>
      <c r="K1175">
        <v>0.1</v>
      </c>
      <c r="L1175">
        <v>79.66</v>
      </c>
      <c r="M1175">
        <v>0</v>
      </c>
      <c r="N1175">
        <v>0</v>
      </c>
      <c r="O1175">
        <v>-4.9971609999994824</v>
      </c>
      <c r="P1175">
        <v>89152.738916000002</v>
      </c>
    </row>
    <row r="1176" spans="1:16" x14ac:dyDescent="0.25">
      <c r="A1176" s="10">
        <v>39335</v>
      </c>
      <c r="B1176">
        <v>33.819178999998456</v>
      </c>
      <c r="C1176">
        <v>-53.753</v>
      </c>
      <c r="D1176">
        <v>0</v>
      </c>
      <c r="E1176">
        <v>0</v>
      </c>
      <c r="F1176">
        <v>0</v>
      </c>
      <c r="G1176">
        <v>10.098000000000001</v>
      </c>
      <c r="H1176">
        <v>-34.240000000000009</v>
      </c>
      <c r="I1176">
        <v>0</v>
      </c>
      <c r="J1176">
        <v>0</v>
      </c>
      <c r="K1176">
        <v>-0.05</v>
      </c>
      <c r="L1176">
        <v>108.52</v>
      </c>
      <c r="M1176">
        <v>0</v>
      </c>
      <c r="N1176">
        <v>0</v>
      </c>
      <c r="O1176">
        <v>3.2441789999984678</v>
      </c>
      <c r="P1176">
        <v>89186.558095</v>
      </c>
    </row>
    <row r="1177" spans="1:16" x14ac:dyDescent="0.25">
      <c r="A1177" s="10">
        <v>39336</v>
      </c>
      <c r="B1177">
        <v>23.9538210000173</v>
      </c>
      <c r="C1177">
        <v>19.163</v>
      </c>
      <c r="D1177">
        <v>0</v>
      </c>
      <c r="E1177">
        <v>0</v>
      </c>
      <c r="F1177">
        <v>0</v>
      </c>
      <c r="G1177">
        <v>-21.149000000000001</v>
      </c>
      <c r="H1177">
        <v>21.260784999999942</v>
      </c>
      <c r="I1177">
        <v>0</v>
      </c>
      <c r="J1177">
        <v>0</v>
      </c>
      <c r="K1177">
        <v>-0.04</v>
      </c>
      <c r="L1177">
        <v>4.9800000000000004</v>
      </c>
      <c r="M1177">
        <v>0</v>
      </c>
      <c r="N1177">
        <v>0</v>
      </c>
      <c r="O1177">
        <v>-0.26096399998263919</v>
      </c>
      <c r="P1177">
        <v>89210.511916000018</v>
      </c>
    </row>
    <row r="1178" spans="1:16" x14ac:dyDescent="0.25">
      <c r="A1178" s="10">
        <v>39337</v>
      </c>
      <c r="B1178">
        <v>526.24584299998264</v>
      </c>
      <c r="C1178">
        <v>307.39</v>
      </c>
      <c r="D1178">
        <v>-230</v>
      </c>
      <c r="E1178">
        <v>0</v>
      </c>
      <c r="F1178">
        <v>0</v>
      </c>
      <c r="G1178">
        <v>378.99299999999999</v>
      </c>
      <c r="H1178">
        <v>-58.696645000000217</v>
      </c>
      <c r="I1178">
        <v>0</v>
      </c>
      <c r="J1178">
        <v>0</v>
      </c>
      <c r="K1178">
        <v>-0.15</v>
      </c>
      <c r="L1178">
        <v>156.11000000000001</v>
      </c>
      <c r="M1178">
        <v>0</v>
      </c>
      <c r="N1178">
        <v>0</v>
      </c>
      <c r="O1178">
        <v>-27.400512000017219</v>
      </c>
      <c r="P1178">
        <v>89736.757759</v>
      </c>
    </row>
    <row r="1179" spans="1:16" x14ac:dyDescent="0.25">
      <c r="A1179" s="10">
        <v>39338</v>
      </c>
      <c r="B1179">
        <v>-174.5132349999914</v>
      </c>
      <c r="C1179">
        <v>276.55099999999999</v>
      </c>
      <c r="D1179">
        <v>0</v>
      </c>
      <c r="E1179">
        <v>-530</v>
      </c>
      <c r="F1179">
        <v>0</v>
      </c>
      <c r="G1179">
        <v>501.58100000000007</v>
      </c>
      <c r="H1179">
        <v>-605.29881299999988</v>
      </c>
      <c r="I1179">
        <v>0</v>
      </c>
      <c r="J1179">
        <v>0</v>
      </c>
      <c r="K1179">
        <v>0.15</v>
      </c>
      <c r="L1179">
        <v>193.29</v>
      </c>
      <c r="M1179">
        <v>0</v>
      </c>
      <c r="N1179">
        <v>0</v>
      </c>
      <c r="O1179">
        <v>-10.78642199999155</v>
      </c>
      <c r="P1179">
        <v>89562.244524000009</v>
      </c>
    </row>
    <row r="1180" spans="1:16" x14ac:dyDescent="0.25">
      <c r="A1180" s="10">
        <v>39339</v>
      </c>
      <c r="B1180">
        <v>-995.84999200000323</v>
      </c>
      <c r="C1180">
        <v>178.62100000000001</v>
      </c>
      <c r="D1180">
        <v>0</v>
      </c>
      <c r="E1180">
        <v>0</v>
      </c>
      <c r="F1180">
        <v>0</v>
      </c>
      <c r="G1180">
        <v>-112.73922</v>
      </c>
      <c r="H1180">
        <v>-1141.0906849999999</v>
      </c>
      <c r="I1180">
        <v>0</v>
      </c>
      <c r="J1180">
        <v>0</v>
      </c>
      <c r="K1180">
        <v>-0.15</v>
      </c>
      <c r="L1180">
        <v>81.44</v>
      </c>
      <c r="M1180">
        <v>0</v>
      </c>
      <c r="N1180">
        <v>0</v>
      </c>
      <c r="O1180">
        <v>-1.9310870000029901</v>
      </c>
      <c r="P1180">
        <v>88566.394532000006</v>
      </c>
    </row>
    <row r="1181" spans="1:16" x14ac:dyDescent="0.25">
      <c r="A1181" s="10">
        <v>39342</v>
      </c>
      <c r="B1181">
        <v>-285.27310799999401</v>
      </c>
      <c r="C1181">
        <v>-20.705500000000001</v>
      </c>
      <c r="D1181">
        <v>-490</v>
      </c>
      <c r="E1181">
        <v>0</v>
      </c>
      <c r="F1181">
        <v>0</v>
      </c>
      <c r="G1181">
        <v>540.44439799999998</v>
      </c>
      <c r="H1181">
        <v>-391.06883900000003</v>
      </c>
      <c r="I1181">
        <v>0</v>
      </c>
      <c r="J1181">
        <v>0</v>
      </c>
      <c r="K1181">
        <v>0</v>
      </c>
      <c r="L1181">
        <v>77.330000000000013</v>
      </c>
      <c r="M1181">
        <v>0</v>
      </c>
      <c r="N1181">
        <v>0</v>
      </c>
      <c r="O1181">
        <v>-1.273166999993891</v>
      </c>
      <c r="P1181">
        <v>88281.121424000012</v>
      </c>
    </row>
    <row r="1182" spans="1:16" x14ac:dyDescent="0.25">
      <c r="A1182" s="10">
        <v>39343</v>
      </c>
      <c r="B1182">
        <v>-356.21933300001558</v>
      </c>
      <c r="C1182">
        <v>12.538</v>
      </c>
      <c r="D1182">
        <v>0</v>
      </c>
      <c r="E1182">
        <v>0</v>
      </c>
      <c r="F1182">
        <v>0</v>
      </c>
      <c r="G1182">
        <v>67.032854</v>
      </c>
      <c r="H1182">
        <v>-511.79451899999998</v>
      </c>
      <c r="I1182">
        <v>0</v>
      </c>
      <c r="J1182">
        <v>0</v>
      </c>
      <c r="K1182">
        <v>0.32</v>
      </c>
      <c r="L1182">
        <v>84.92</v>
      </c>
      <c r="M1182">
        <v>0</v>
      </c>
      <c r="N1182">
        <v>0</v>
      </c>
      <c r="O1182">
        <v>-9.2356680000156075</v>
      </c>
      <c r="P1182">
        <v>87924.902090999996</v>
      </c>
    </row>
    <row r="1183" spans="1:16" x14ac:dyDescent="0.25">
      <c r="A1183" s="10">
        <v>39344</v>
      </c>
      <c r="B1183">
        <v>-99.177989999996271</v>
      </c>
      <c r="C1183">
        <v>-6.2610000000000001</v>
      </c>
      <c r="D1183">
        <v>0</v>
      </c>
      <c r="E1183">
        <v>0</v>
      </c>
      <c r="F1183">
        <v>0</v>
      </c>
      <c r="G1183">
        <v>91.844094999999982</v>
      </c>
      <c r="H1183">
        <v>-545.06363199999987</v>
      </c>
      <c r="I1183">
        <v>0</v>
      </c>
      <c r="J1183">
        <v>0</v>
      </c>
      <c r="K1183">
        <v>0.03</v>
      </c>
      <c r="L1183">
        <v>374.16</v>
      </c>
      <c r="M1183">
        <v>0</v>
      </c>
      <c r="N1183">
        <v>0</v>
      </c>
      <c r="O1183">
        <v>-13.887452999996359</v>
      </c>
      <c r="P1183">
        <v>87825.724101</v>
      </c>
    </row>
    <row r="1184" spans="1:16" x14ac:dyDescent="0.25">
      <c r="A1184" s="10">
        <v>39345</v>
      </c>
      <c r="B1184">
        <v>-595.02638900000625</v>
      </c>
      <c r="C1184">
        <v>-4.7050000000000001</v>
      </c>
      <c r="D1184">
        <v>0</v>
      </c>
      <c r="E1184">
        <v>530</v>
      </c>
      <c r="F1184">
        <v>0</v>
      </c>
      <c r="G1184">
        <v>-527.07212700000002</v>
      </c>
      <c r="H1184">
        <v>-735.8028149999991</v>
      </c>
      <c r="I1184">
        <v>0</v>
      </c>
      <c r="J1184">
        <v>0</v>
      </c>
      <c r="K1184">
        <v>-0.41</v>
      </c>
      <c r="L1184">
        <v>119.01</v>
      </c>
      <c r="M1184">
        <v>0</v>
      </c>
      <c r="N1184">
        <v>0</v>
      </c>
      <c r="O1184">
        <v>23.953552999992901</v>
      </c>
      <c r="P1184">
        <v>87230.697711999994</v>
      </c>
    </row>
    <row r="1185" spans="1:16" x14ac:dyDescent="0.25">
      <c r="A1185" s="10">
        <v>39346</v>
      </c>
      <c r="B1185">
        <v>-988.14837399999703</v>
      </c>
      <c r="C1185">
        <v>-198.10499999999999</v>
      </c>
      <c r="D1185">
        <v>-200</v>
      </c>
      <c r="E1185">
        <v>0</v>
      </c>
      <c r="F1185">
        <v>0</v>
      </c>
      <c r="G1185">
        <v>201.32300000000001</v>
      </c>
      <c r="H1185">
        <v>-864.3700000000008</v>
      </c>
      <c r="I1185">
        <v>0</v>
      </c>
      <c r="J1185">
        <v>0</v>
      </c>
      <c r="K1185">
        <v>0.97</v>
      </c>
      <c r="L1185">
        <v>59.36</v>
      </c>
      <c r="M1185">
        <v>0</v>
      </c>
      <c r="N1185">
        <v>0</v>
      </c>
      <c r="O1185">
        <v>12.67362600000366</v>
      </c>
      <c r="P1185">
        <v>86242.549337999997</v>
      </c>
    </row>
    <row r="1186" spans="1:16" x14ac:dyDescent="0.25">
      <c r="A1186" s="10">
        <v>39349</v>
      </c>
      <c r="B1186">
        <v>-132.20960399998839</v>
      </c>
      <c r="C1186">
        <v>-39.352499999999999</v>
      </c>
      <c r="D1186">
        <v>0</v>
      </c>
      <c r="E1186">
        <v>0</v>
      </c>
      <c r="F1186">
        <v>0</v>
      </c>
      <c r="G1186">
        <v>-14.80499999999998</v>
      </c>
      <c r="H1186">
        <v>-143.31199999999811</v>
      </c>
      <c r="I1186">
        <v>0</v>
      </c>
      <c r="J1186">
        <v>0</v>
      </c>
      <c r="K1186">
        <v>2.11</v>
      </c>
      <c r="L1186">
        <v>56.790000000000013</v>
      </c>
      <c r="M1186">
        <v>0</v>
      </c>
      <c r="N1186">
        <v>0</v>
      </c>
      <c r="O1186">
        <v>6.3598960000096323</v>
      </c>
      <c r="P1186">
        <v>86110.339734000008</v>
      </c>
    </row>
    <row r="1187" spans="1:16" x14ac:dyDescent="0.25">
      <c r="A1187" s="10">
        <v>39350</v>
      </c>
      <c r="B1187">
        <v>-119.4755940000033</v>
      </c>
      <c r="C1187">
        <v>66.052999999999997</v>
      </c>
      <c r="D1187">
        <v>0</v>
      </c>
      <c r="E1187">
        <v>0</v>
      </c>
      <c r="F1187">
        <v>0</v>
      </c>
      <c r="G1187">
        <v>-0.68053399999999442</v>
      </c>
      <c r="H1187">
        <v>-226.5051760000006</v>
      </c>
      <c r="I1187">
        <v>0</v>
      </c>
      <c r="J1187">
        <v>0</v>
      </c>
      <c r="K1187">
        <v>1.0900000000000001</v>
      </c>
      <c r="L1187">
        <v>39.299999999999997</v>
      </c>
      <c r="M1187">
        <v>0</v>
      </c>
      <c r="N1187">
        <v>0</v>
      </c>
      <c r="O1187">
        <v>1.267115999997245</v>
      </c>
      <c r="P1187">
        <v>85990.864140000005</v>
      </c>
    </row>
    <row r="1188" spans="1:16" x14ac:dyDescent="0.25">
      <c r="A1188" s="10">
        <v>39351</v>
      </c>
      <c r="B1188">
        <v>-32.78673700000202</v>
      </c>
      <c r="C1188">
        <v>25.16</v>
      </c>
      <c r="D1188">
        <v>0</v>
      </c>
      <c r="E1188">
        <v>0</v>
      </c>
      <c r="F1188">
        <v>0</v>
      </c>
      <c r="G1188">
        <v>-6.4228319999999997</v>
      </c>
      <c r="H1188">
        <v>275.94700000000012</v>
      </c>
      <c r="I1188">
        <v>0</v>
      </c>
      <c r="J1188">
        <v>0</v>
      </c>
      <c r="K1188">
        <v>1.45</v>
      </c>
      <c r="L1188">
        <v>-343.59</v>
      </c>
      <c r="M1188">
        <v>0</v>
      </c>
      <c r="N1188">
        <v>0</v>
      </c>
      <c r="O1188">
        <v>14.66909499999791</v>
      </c>
      <c r="P1188">
        <v>85958.077403000003</v>
      </c>
    </row>
    <row r="1189" spans="1:16" x14ac:dyDescent="0.25">
      <c r="A1189" s="10">
        <v>39352</v>
      </c>
      <c r="B1189">
        <v>-434.81299900000101</v>
      </c>
      <c r="C1189">
        <v>-306.86799999999999</v>
      </c>
      <c r="D1189">
        <v>0</v>
      </c>
      <c r="E1189">
        <v>0</v>
      </c>
      <c r="F1189">
        <v>0</v>
      </c>
      <c r="G1189">
        <v>-17.04545400000006</v>
      </c>
      <c r="H1189">
        <v>-174.87497299999899</v>
      </c>
      <c r="I1189">
        <v>0</v>
      </c>
      <c r="J1189">
        <v>0</v>
      </c>
      <c r="K1189">
        <v>1.39</v>
      </c>
      <c r="L1189">
        <v>64.320000000000007</v>
      </c>
      <c r="M1189">
        <v>0</v>
      </c>
      <c r="N1189">
        <v>0</v>
      </c>
      <c r="O1189">
        <v>-1.73457200000189</v>
      </c>
      <c r="P1189">
        <v>85523.264404000001</v>
      </c>
    </row>
    <row r="1190" spans="1:16" x14ac:dyDescent="0.25">
      <c r="A1190" s="10">
        <v>39353</v>
      </c>
      <c r="B1190">
        <v>694.75060199999962</v>
      </c>
      <c r="C1190">
        <v>-228.48093499999999</v>
      </c>
      <c r="D1190">
        <v>-430</v>
      </c>
      <c r="E1190">
        <v>0</v>
      </c>
      <c r="F1190">
        <v>0</v>
      </c>
      <c r="G1190">
        <v>220.47682</v>
      </c>
      <c r="H1190">
        <v>970.34899999999925</v>
      </c>
      <c r="I1190">
        <v>0</v>
      </c>
      <c r="J1190">
        <v>0</v>
      </c>
      <c r="K1190">
        <v>-1.36</v>
      </c>
      <c r="L1190">
        <v>151.94</v>
      </c>
      <c r="M1190">
        <v>0</v>
      </c>
      <c r="N1190">
        <v>0</v>
      </c>
      <c r="O1190">
        <v>11.825717000000401</v>
      </c>
      <c r="P1190">
        <v>86218.015006000001</v>
      </c>
    </row>
    <row r="1191" spans="1:16" x14ac:dyDescent="0.25">
      <c r="A1191" s="10">
        <v>39356</v>
      </c>
      <c r="B1191">
        <v>2213.462274999998</v>
      </c>
      <c r="C1191">
        <v>-83.474999999999994</v>
      </c>
      <c r="D1191">
        <v>0</v>
      </c>
      <c r="E1191">
        <v>-1000</v>
      </c>
      <c r="F1191">
        <v>0</v>
      </c>
      <c r="G1191">
        <v>1115.1894850000001</v>
      </c>
      <c r="H1191">
        <v>2120.6809999999991</v>
      </c>
      <c r="I1191">
        <v>0</v>
      </c>
      <c r="J1191">
        <v>0</v>
      </c>
      <c r="K1191">
        <v>-1.22</v>
      </c>
      <c r="L1191">
        <v>72.209999999999994</v>
      </c>
      <c r="M1191">
        <v>0</v>
      </c>
      <c r="N1191">
        <v>0</v>
      </c>
      <c r="O1191">
        <v>-9.9232100000007275</v>
      </c>
      <c r="P1191">
        <v>88431.477280999999</v>
      </c>
    </row>
    <row r="1192" spans="1:16" x14ac:dyDescent="0.25">
      <c r="A1192" s="10">
        <v>39357</v>
      </c>
      <c r="B1192">
        <v>-388.49967699999951</v>
      </c>
      <c r="C1192">
        <v>-63.578999999999994</v>
      </c>
      <c r="D1192">
        <v>0</v>
      </c>
      <c r="E1192">
        <v>0</v>
      </c>
      <c r="F1192">
        <v>0</v>
      </c>
      <c r="G1192">
        <v>-9.5192210000000017</v>
      </c>
      <c r="H1192">
        <v>-281.87505899999951</v>
      </c>
      <c r="I1192">
        <v>0</v>
      </c>
      <c r="J1192">
        <v>-40.489999999999782</v>
      </c>
      <c r="K1192">
        <v>-3.39</v>
      </c>
      <c r="L1192">
        <v>0</v>
      </c>
      <c r="M1192">
        <v>0</v>
      </c>
      <c r="N1192">
        <v>0</v>
      </c>
      <c r="O1192">
        <v>10.35360299999979</v>
      </c>
      <c r="P1192">
        <v>88042.977604</v>
      </c>
    </row>
    <row r="1193" spans="1:16" x14ac:dyDescent="0.25">
      <c r="A1193" s="10">
        <v>39358</v>
      </c>
      <c r="B1193">
        <v>218.54029699999961</v>
      </c>
      <c r="C1193">
        <v>-33.697999999999993</v>
      </c>
      <c r="D1193">
        <v>-200</v>
      </c>
      <c r="E1193">
        <v>0</v>
      </c>
      <c r="F1193">
        <v>0</v>
      </c>
      <c r="G1193">
        <v>0.47181799381002071</v>
      </c>
      <c r="H1193">
        <v>465.82399999999961</v>
      </c>
      <c r="I1193">
        <v>0</v>
      </c>
      <c r="J1193">
        <v>0</v>
      </c>
      <c r="K1193">
        <v>0.6</v>
      </c>
      <c r="L1193">
        <v>-0.56000000000000227</v>
      </c>
      <c r="M1193">
        <v>0</v>
      </c>
      <c r="N1193">
        <v>0</v>
      </c>
      <c r="O1193">
        <v>-14.09752099381001</v>
      </c>
      <c r="P1193">
        <v>88261.517900999999</v>
      </c>
    </row>
    <row r="1194" spans="1:16" x14ac:dyDescent="0.25">
      <c r="A1194" s="10">
        <v>39359</v>
      </c>
      <c r="B1194">
        <v>367.16158500000898</v>
      </c>
      <c r="C1194">
        <v>-93.691000000000003</v>
      </c>
      <c r="D1194">
        <v>0</v>
      </c>
      <c r="E1194">
        <v>0</v>
      </c>
      <c r="F1194">
        <v>0</v>
      </c>
      <c r="G1194">
        <v>-7.3587130000000016</v>
      </c>
      <c r="H1194">
        <v>523.28700000000026</v>
      </c>
      <c r="I1194">
        <v>0</v>
      </c>
      <c r="J1194">
        <v>0</v>
      </c>
      <c r="K1194">
        <v>0.6</v>
      </c>
      <c r="L1194">
        <v>2.73</v>
      </c>
      <c r="M1194">
        <v>0</v>
      </c>
      <c r="N1194">
        <v>0</v>
      </c>
      <c r="O1194">
        <v>-58.405701999991251</v>
      </c>
      <c r="P1194">
        <v>88628.679486000008</v>
      </c>
    </row>
    <row r="1195" spans="1:16" x14ac:dyDescent="0.25">
      <c r="A1195" s="10">
        <v>39360</v>
      </c>
      <c r="B1195">
        <v>36.520003999990678</v>
      </c>
      <c r="C1195">
        <v>0</v>
      </c>
      <c r="D1195">
        <v>0</v>
      </c>
      <c r="E1195">
        <v>1000</v>
      </c>
      <c r="F1195">
        <v>0</v>
      </c>
      <c r="G1195">
        <v>-1004.933369</v>
      </c>
      <c r="H1195">
        <v>-30.54600000000028</v>
      </c>
      <c r="I1195">
        <v>0</v>
      </c>
      <c r="J1195">
        <v>0</v>
      </c>
      <c r="K1195">
        <v>16.420000000000002</v>
      </c>
      <c r="L1195">
        <v>6.4</v>
      </c>
      <c r="M1195">
        <v>0</v>
      </c>
      <c r="N1195">
        <v>0</v>
      </c>
      <c r="O1195">
        <v>49.179372999991038</v>
      </c>
      <c r="P1195">
        <v>88665.199489999999</v>
      </c>
    </row>
    <row r="1196" spans="1:16" x14ac:dyDescent="0.25">
      <c r="A1196" s="10">
        <v>39363</v>
      </c>
      <c r="B1196">
        <v>140.66441800000041</v>
      </c>
      <c r="C1196">
        <v>0</v>
      </c>
      <c r="D1196">
        <v>-100</v>
      </c>
      <c r="E1196">
        <v>0</v>
      </c>
      <c r="F1196">
        <v>0</v>
      </c>
      <c r="G1196">
        <v>-6.0000007399992228E-2</v>
      </c>
      <c r="H1196">
        <v>214.3107250000003</v>
      </c>
      <c r="I1196">
        <v>0</v>
      </c>
      <c r="J1196">
        <v>0</v>
      </c>
      <c r="K1196">
        <v>3.65</v>
      </c>
      <c r="L1196">
        <v>21.55</v>
      </c>
      <c r="M1196">
        <v>0</v>
      </c>
      <c r="N1196">
        <v>0</v>
      </c>
      <c r="O1196">
        <v>1.213693007400056</v>
      </c>
      <c r="P1196">
        <v>88805.863907999999</v>
      </c>
    </row>
    <row r="1197" spans="1:16" x14ac:dyDescent="0.25">
      <c r="A1197" s="10">
        <v>39364</v>
      </c>
      <c r="B1197">
        <v>-93.128352019819417</v>
      </c>
      <c r="C1197">
        <v>-47.402999999999992</v>
      </c>
      <c r="D1197">
        <v>0</v>
      </c>
      <c r="E1197">
        <v>0</v>
      </c>
      <c r="F1197">
        <v>0</v>
      </c>
      <c r="G1197">
        <v>-10.008280040000001</v>
      </c>
      <c r="H1197">
        <v>-42.546826219999957</v>
      </c>
      <c r="I1197">
        <v>0</v>
      </c>
      <c r="J1197">
        <v>0</v>
      </c>
      <c r="K1197">
        <v>-0.22</v>
      </c>
      <c r="L1197">
        <v>1.820000000000001</v>
      </c>
      <c r="M1197">
        <v>0</v>
      </c>
      <c r="N1197">
        <v>0</v>
      </c>
      <c r="O1197">
        <v>5.2297542401805259</v>
      </c>
      <c r="P1197">
        <v>88712.73555598018</v>
      </c>
    </row>
    <row r="1198" spans="1:16" x14ac:dyDescent="0.25">
      <c r="A1198" s="10">
        <v>39365</v>
      </c>
      <c r="B1198">
        <v>185.21694801983551</v>
      </c>
      <c r="C1198">
        <v>-26.888500000000001</v>
      </c>
      <c r="D1198">
        <v>0</v>
      </c>
      <c r="E1198">
        <v>0</v>
      </c>
      <c r="F1198">
        <v>0</v>
      </c>
      <c r="G1198">
        <v>-24.512916959999991</v>
      </c>
      <c r="H1198">
        <v>-7.1880000000001019</v>
      </c>
      <c r="I1198">
        <v>0</v>
      </c>
      <c r="J1198">
        <v>0</v>
      </c>
      <c r="K1198">
        <v>-0.17</v>
      </c>
      <c r="L1198">
        <v>253.03</v>
      </c>
      <c r="M1198">
        <v>0</v>
      </c>
      <c r="N1198">
        <v>0</v>
      </c>
      <c r="O1198">
        <v>-9.0536350201644211</v>
      </c>
      <c r="P1198">
        <v>88897.952504000015</v>
      </c>
    </row>
    <row r="1199" spans="1:16" x14ac:dyDescent="0.25">
      <c r="A1199" s="10">
        <v>39366</v>
      </c>
      <c r="B1199">
        <v>-239.83789640001481</v>
      </c>
      <c r="C1199">
        <v>0</v>
      </c>
      <c r="D1199">
        <v>0</v>
      </c>
      <c r="E1199">
        <v>0</v>
      </c>
      <c r="F1199">
        <v>0</v>
      </c>
      <c r="G1199">
        <v>-3.384802999999998</v>
      </c>
      <c r="H1199">
        <v>-302.21455199999968</v>
      </c>
      <c r="I1199">
        <v>0</v>
      </c>
      <c r="J1199">
        <v>0</v>
      </c>
      <c r="K1199">
        <v>0.31</v>
      </c>
      <c r="L1199">
        <v>73.644999999999996</v>
      </c>
      <c r="M1199">
        <v>0</v>
      </c>
      <c r="N1199">
        <v>0</v>
      </c>
      <c r="O1199">
        <v>-8.1935414000151354</v>
      </c>
      <c r="P1199">
        <v>88658.1146076</v>
      </c>
    </row>
    <row r="1200" spans="1:16" x14ac:dyDescent="0.25">
      <c r="A1200" s="10">
        <v>39367</v>
      </c>
      <c r="B1200">
        <v>-28.341890680006909</v>
      </c>
      <c r="C1200">
        <v>99.426000000000002</v>
      </c>
      <c r="D1200">
        <v>-370</v>
      </c>
      <c r="E1200">
        <v>-1000</v>
      </c>
      <c r="F1200">
        <v>0</v>
      </c>
      <c r="G1200">
        <v>940.7</v>
      </c>
      <c r="H1200">
        <v>275.01293092000009</v>
      </c>
      <c r="I1200">
        <v>0</v>
      </c>
      <c r="J1200">
        <v>0</v>
      </c>
      <c r="K1200">
        <v>-0.34</v>
      </c>
      <c r="L1200">
        <v>62.01</v>
      </c>
      <c r="M1200">
        <v>0</v>
      </c>
      <c r="N1200">
        <v>0</v>
      </c>
      <c r="O1200">
        <v>-35.150821600007028</v>
      </c>
      <c r="P1200">
        <v>88629.772716919993</v>
      </c>
    </row>
    <row r="1201" spans="1:16" x14ac:dyDescent="0.25">
      <c r="A1201" s="10">
        <v>39371</v>
      </c>
      <c r="B1201">
        <v>308.7292830800144</v>
      </c>
      <c r="C1201">
        <v>-12.646000000000001</v>
      </c>
      <c r="D1201">
        <v>0</v>
      </c>
      <c r="E1201">
        <v>0</v>
      </c>
      <c r="F1201">
        <v>0</v>
      </c>
      <c r="G1201">
        <v>36.225140189999998</v>
      </c>
      <c r="H1201">
        <v>105.17400000000021</v>
      </c>
      <c r="I1201">
        <v>0</v>
      </c>
      <c r="J1201">
        <v>0</v>
      </c>
      <c r="K1201">
        <v>1.1000000000000001</v>
      </c>
      <c r="L1201">
        <v>103.47</v>
      </c>
      <c r="M1201">
        <v>0</v>
      </c>
      <c r="N1201">
        <v>0</v>
      </c>
      <c r="O1201">
        <v>75.406142890014181</v>
      </c>
      <c r="P1201">
        <v>88938.502000000008</v>
      </c>
    </row>
    <row r="1202" spans="1:16" x14ac:dyDescent="0.25">
      <c r="A1202" s="10">
        <v>39372</v>
      </c>
      <c r="B1202">
        <v>208.17899999998909</v>
      </c>
      <c r="C1202">
        <v>37.905000000000001</v>
      </c>
      <c r="D1202">
        <v>-150</v>
      </c>
      <c r="E1202">
        <v>0</v>
      </c>
      <c r="F1202">
        <v>0</v>
      </c>
      <c r="G1202">
        <v>-76.437261191499971</v>
      </c>
      <c r="H1202">
        <v>-247.73361600000001</v>
      </c>
      <c r="I1202">
        <v>0</v>
      </c>
      <c r="J1202">
        <v>0</v>
      </c>
      <c r="K1202">
        <v>6.61</v>
      </c>
      <c r="L1202">
        <v>628.69000000000005</v>
      </c>
      <c r="M1202">
        <v>0</v>
      </c>
      <c r="N1202">
        <v>0</v>
      </c>
      <c r="O1202">
        <v>9.1448771914889448</v>
      </c>
      <c r="P1202">
        <v>89146.680999999997</v>
      </c>
    </row>
    <row r="1203" spans="1:16" x14ac:dyDescent="0.25">
      <c r="A1203" s="10">
        <v>39373</v>
      </c>
      <c r="B1203">
        <v>-127.59072799999591</v>
      </c>
      <c r="C1203">
        <v>9.4870000000000001</v>
      </c>
      <c r="D1203">
        <v>0</v>
      </c>
      <c r="E1203">
        <v>0</v>
      </c>
      <c r="F1203">
        <v>0</v>
      </c>
      <c r="G1203">
        <v>-12.98187899999999</v>
      </c>
      <c r="H1203">
        <v>-219.3117849999999</v>
      </c>
      <c r="I1203">
        <v>0</v>
      </c>
      <c r="J1203">
        <v>0</v>
      </c>
      <c r="K1203">
        <v>0.2</v>
      </c>
      <c r="L1203">
        <v>91.259999999999991</v>
      </c>
      <c r="M1203">
        <v>0</v>
      </c>
      <c r="N1203">
        <v>0</v>
      </c>
      <c r="O1203">
        <v>3.7559360000040272</v>
      </c>
      <c r="P1203">
        <v>89019.090272000001</v>
      </c>
    </row>
    <row r="1204" spans="1:16" x14ac:dyDescent="0.25">
      <c r="A1204" s="10">
        <v>39374</v>
      </c>
      <c r="B1204">
        <v>-259.10188499999617</v>
      </c>
      <c r="C1204">
        <v>-50.61</v>
      </c>
      <c r="D1204">
        <v>0</v>
      </c>
      <c r="E1204">
        <v>0</v>
      </c>
      <c r="F1204">
        <v>0</v>
      </c>
      <c r="G1204">
        <v>102.155</v>
      </c>
      <c r="H1204">
        <v>-469.52399999999989</v>
      </c>
      <c r="I1204">
        <v>0</v>
      </c>
      <c r="J1204">
        <v>0</v>
      </c>
      <c r="K1204">
        <v>-0.3</v>
      </c>
      <c r="L1204">
        <v>158.38</v>
      </c>
      <c r="M1204">
        <v>0</v>
      </c>
      <c r="N1204">
        <v>0</v>
      </c>
      <c r="O1204">
        <v>0.79711500000367153</v>
      </c>
      <c r="P1204">
        <v>88759.988387000005</v>
      </c>
    </row>
    <row r="1205" spans="1:16" x14ac:dyDescent="0.25">
      <c r="A1205" s="10">
        <v>39377</v>
      </c>
      <c r="B1205">
        <v>-71.438064000001646</v>
      </c>
      <c r="C1205">
        <v>-12.676</v>
      </c>
      <c r="D1205">
        <v>0</v>
      </c>
      <c r="E1205">
        <v>1000</v>
      </c>
      <c r="F1205">
        <v>0</v>
      </c>
      <c r="G1205">
        <v>-991.59180199999992</v>
      </c>
      <c r="H1205">
        <v>-154.94599999999991</v>
      </c>
      <c r="I1205">
        <v>0</v>
      </c>
      <c r="J1205">
        <v>0</v>
      </c>
      <c r="K1205">
        <v>1.1399999999999999</v>
      </c>
      <c r="L1205">
        <v>68.97999999999999</v>
      </c>
      <c r="M1205">
        <v>0</v>
      </c>
      <c r="N1205">
        <v>0</v>
      </c>
      <c r="O1205">
        <v>17.655737999998259</v>
      </c>
      <c r="P1205">
        <v>88688.550323000003</v>
      </c>
    </row>
    <row r="1206" spans="1:16" x14ac:dyDescent="0.25">
      <c r="A1206" s="10">
        <v>39378</v>
      </c>
      <c r="B1206">
        <v>-1000.0359770000071</v>
      </c>
      <c r="C1206">
        <v>-216.887</v>
      </c>
      <c r="D1206">
        <v>0</v>
      </c>
      <c r="E1206">
        <v>0</v>
      </c>
      <c r="F1206">
        <v>0</v>
      </c>
      <c r="G1206">
        <v>-7.1811979999999949</v>
      </c>
      <c r="H1206">
        <v>-840.80200000000059</v>
      </c>
      <c r="I1206">
        <v>0</v>
      </c>
      <c r="J1206">
        <v>0</v>
      </c>
      <c r="K1206">
        <v>0.27</v>
      </c>
      <c r="L1206">
        <v>58.38</v>
      </c>
      <c r="M1206">
        <v>0</v>
      </c>
      <c r="N1206">
        <v>0</v>
      </c>
      <c r="O1206">
        <v>6.1842209999937268</v>
      </c>
      <c r="P1206">
        <v>87688.514345999996</v>
      </c>
    </row>
    <row r="1207" spans="1:16" x14ac:dyDescent="0.25">
      <c r="A1207" s="10">
        <v>39379</v>
      </c>
      <c r="B1207">
        <v>-151.3659179999961</v>
      </c>
      <c r="C1207">
        <v>-506.09899999999999</v>
      </c>
      <c r="D1207">
        <v>0</v>
      </c>
      <c r="E1207">
        <v>0</v>
      </c>
      <c r="F1207">
        <v>0</v>
      </c>
      <c r="G1207">
        <v>-2.8682269999999899</v>
      </c>
      <c r="H1207">
        <v>493.14547000000039</v>
      </c>
      <c r="I1207">
        <v>0</v>
      </c>
      <c r="J1207">
        <v>0</v>
      </c>
      <c r="K1207">
        <v>0.47</v>
      </c>
      <c r="L1207">
        <v>-165.18</v>
      </c>
      <c r="M1207">
        <v>0</v>
      </c>
      <c r="N1207">
        <v>0</v>
      </c>
      <c r="O1207">
        <v>29.165839000003441</v>
      </c>
      <c r="P1207">
        <v>87537.148428</v>
      </c>
    </row>
    <row r="1208" spans="1:16" x14ac:dyDescent="0.25">
      <c r="A1208" s="10">
        <v>39380</v>
      </c>
      <c r="B1208">
        <v>120.45538288999521</v>
      </c>
      <c r="C1208">
        <v>-398.08</v>
      </c>
      <c r="D1208">
        <v>0</v>
      </c>
      <c r="E1208">
        <v>0</v>
      </c>
      <c r="F1208">
        <v>0</v>
      </c>
      <c r="G1208">
        <v>4.1687580000000253</v>
      </c>
      <c r="H1208">
        <v>365.71399999999988</v>
      </c>
      <c r="I1208">
        <v>0</v>
      </c>
      <c r="J1208">
        <v>0</v>
      </c>
      <c r="K1208">
        <v>0.5</v>
      </c>
      <c r="L1208">
        <v>140.79</v>
      </c>
      <c r="M1208">
        <v>0</v>
      </c>
      <c r="N1208">
        <v>0</v>
      </c>
      <c r="O1208">
        <v>7.3626248899952653</v>
      </c>
      <c r="P1208">
        <v>87657.603810889996</v>
      </c>
    </row>
    <row r="1209" spans="1:16" x14ac:dyDescent="0.25">
      <c r="A1209" s="10">
        <v>39381</v>
      </c>
      <c r="B1209">
        <v>-379.2458198899983</v>
      </c>
      <c r="C1209">
        <v>-234.566</v>
      </c>
      <c r="D1209">
        <v>0</v>
      </c>
      <c r="E1209">
        <v>0</v>
      </c>
      <c r="F1209">
        <v>0</v>
      </c>
      <c r="G1209">
        <v>-19.036708000000001</v>
      </c>
      <c r="H1209">
        <v>-156.35000000000039</v>
      </c>
      <c r="I1209">
        <v>0</v>
      </c>
      <c r="J1209">
        <v>0</v>
      </c>
      <c r="K1209">
        <v>0.26</v>
      </c>
      <c r="L1209">
        <v>29.17</v>
      </c>
      <c r="M1209">
        <v>0</v>
      </c>
      <c r="N1209">
        <v>0</v>
      </c>
      <c r="O1209">
        <v>1.2768881100020619</v>
      </c>
      <c r="P1209">
        <v>87278.357990999997</v>
      </c>
    </row>
    <row r="1210" spans="1:16" x14ac:dyDescent="0.25">
      <c r="A1210" s="10">
        <v>39384</v>
      </c>
      <c r="B1210">
        <v>-939.8662389999954</v>
      </c>
      <c r="C1210">
        <v>-120.77549999999999</v>
      </c>
      <c r="D1210">
        <v>0</v>
      </c>
      <c r="E1210">
        <v>0</v>
      </c>
      <c r="F1210">
        <v>0</v>
      </c>
      <c r="G1210">
        <v>2.3257930000001319</v>
      </c>
      <c r="H1210">
        <v>-796.25300000000016</v>
      </c>
      <c r="I1210">
        <v>0</v>
      </c>
      <c r="J1210">
        <v>0</v>
      </c>
      <c r="K1210">
        <v>0.77</v>
      </c>
      <c r="L1210">
        <v>8.490000000000002</v>
      </c>
      <c r="M1210">
        <v>0</v>
      </c>
      <c r="N1210">
        <v>0</v>
      </c>
      <c r="O1210">
        <v>-34.423531999995383</v>
      </c>
      <c r="P1210">
        <v>86338.491752000002</v>
      </c>
    </row>
    <row r="1211" spans="1:16" x14ac:dyDescent="0.25">
      <c r="A1211" s="10">
        <v>39385</v>
      </c>
      <c r="B1211">
        <v>-271.53835699999752</v>
      </c>
      <c r="C1211">
        <v>-48.165999999999997</v>
      </c>
      <c r="D1211">
        <v>-71</v>
      </c>
      <c r="E1211">
        <v>0</v>
      </c>
      <c r="F1211">
        <v>0</v>
      </c>
      <c r="G1211">
        <v>-115.18401986000021</v>
      </c>
      <c r="H1211">
        <v>3.9999999999054134E-3</v>
      </c>
      <c r="I1211">
        <v>0</v>
      </c>
      <c r="J1211">
        <v>0</v>
      </c>
      <c r="K1211">
        <v>0.79400000000000004</v>
      </c>
      <c r="L1211">
        <v>11.35</v>
      </c>
      <c r="M1211">
        <v>0</v>
      </c>
      <c r="N1211">
        <v>0</v>
      </c>
      <c r="O1211">
        <v>-49.336337139997227</v>
      </c>
      <c r="P1211">
        <v>86066.953395000004</v>
      </c>
    </row>
    <row r="1212" spans="1:16" x14ac:dyDescent="0.25">
      <c r="A1212" s="10">
        <v>39386</v>
      </c>
      <c r="B1212">
        <v>-920.05629700000316</v>
      </c>
      <c r="C1212">
        <v>-547.02599999999995</v>
      </c>
      <c r="D1212">
        <v>0</v>
      </c>
      <c r="E1212">
        <v>0</v>
      </c>
      <c r="F1212">
        <v>0</v>
      </c>
      <c r="G1212">
        <v>42.541000000000047</v>
      </c>
      <c r="H1212">
        <v>-390.83401100000083</v>
      </c>
      <c r="I1212">
        <v>0</v>
      </c>
      <c r="J1212">
        <v>0</v>
      </c>
      <c r="K1212">
        <v>0.77400000000000002</v>
      </c>
      <c r="L1212">
        <v>10.096</v>
      </c>
      <c r="M1212">
        <v>0</v>
      </c>
      <c r="N1212">
        <v>0</v>
      </c>
      <c r="O1212">
        <v>-35.607286000002432</v>
      </c>
      <c r="P1212">
        <v>85146.897098000001</v>
      </c>
    </row>
    <row r="1213" spans="1:16" x14ac:dyDescent="0.25">
      <c r="A1213" s="10">
        <v>39387</v>
      </c>
      <c r="B1213">
        <v>2143.663430000001</v>
      </c>
      <c r="C1213">
        <v>148.50200000000001</v>
      </c>
      <c r="D1213">
        <v>-140</v>
      </c>
      <c r="E1213">
        <v>0</v>
      </c>
      <c r="F1213">
        <v>0</v>
      </c>
      <c r="G1213">
        <v>16.155085986218101</v>
      </c>
      <c r="H1213">
        <v>2106.3718869999998</v>
      </c>
      <c r="I1213">
        <v>0</v>
      </c>
      <c r="J1213">
        <v>0</v>
      </c>
      <c r="K1213">
        <v>0.628</v>
      </c>
      <c r="L1213">
        <v>36.142000000000003</v>
      </c>
      <c r="M1213">
        <v>0</v>
      </c>
      <c r="N1213">
        <v>0</v>
      </c>
      <c r="O1213">
        <v>-24.135542986217189</v>
      </c>
      <c r="P1213">
        <v>87290.560528000002</v>
      </c>
    </row>
    <row r="1214" spans="1:16" x14ac:dyDescent="0.25">
      <c r="A1214" s="10">
        <v>39388</v>
      </c>
      <c r="B1214">
        <v>1060.188905999996</v>
      </c>
      <c r="C1214">
        <v>221.29900000000001</v>
      </c>
      <c r="D1214">
        <v>0</v>
      </c>
      <c r="E1214">
        <v>0</v>
      </c>
      <c r="F1214">
        <v>0</v>
      </c>
      <c r="G1214">
        <v>-40.141086000000087</v>
      </c>
      <c r="H1214">
        <v>888.88452800000005</v>
      </c>
      <c r="I1214">
        <v>0</v>
      </c>
      <c r="J1214">
        <v>-40.760000000000218</v>
      </c>
      <c r="K1214">
        <v>-4.079999999999818</v>
      </c>
      <c r="L1214">
        <v>31.827999999999999</v>
      </c>
      <c r="M1214">
        <v>0</v>
      </c>
      <c r="N1214">
        <v>0</v>
      </c>
      <c r="O1214">
        <v>3.1584639999960018</v>
      </c>
      <c r="P1214">
        <v>88350.749433999998</v>
      </c>
    </row>
    <row r="1215" spans="1:16" x14ac:dyDescent="0.25">
      <c r="A1215" s="10">
        <v>39391</v>
      </c>
      <c r="B1215">
        <v>483.05525200000551</v>
      </c>
      <c r="C1215">
        <v>195.70599999999999</v>
      </c>
      <c r="D1215">
        <v>0</v>
      </c>
      <c r="E1215">
        <v>0</v>
      </c>
      <c r="F1215">
        <v>0</v>
      </c>
      <c r="G1215">
        <v>25.126591000000019</v>
      </c>
      <c r="H1215">
        <v>197.6329889999997</v>
      </c>
      <c r="I1215">
        <v>0</v>
      </c>
      <c r="J1215">
        <v>0</v>
      </c>
      <c r="K1215">
        <v>8.4000000000000019E-2</v>
      </c>
      <c r="L1215">
        <v>127.42700000000001</v>
      </c>
      <c r="M1215">
        <v>0</v>
      </c>
      <c r="N1215">
        <v>0</v>
      </c>
      <c r="O1215">
        <v>-62.92132799999424</v>
      </c>
      <c r="P1215">
        <v>88833.804686000003</v>
      </c>
    </row>
    <row r="1216" spans="1:16" x14ac:dyDescent="0.25">
      <c r="A1216" s="10">
        <v>39393</v>
      </c>
      <c r="B1216">
        <v>872.23753499999282</v>
      </c>
      <c r="C1216">
        <v>228.989</v>
      </c>
      <c r="D1216">
        <v>0</v>
      </c>
      <c r="E1216">
        <v>0</v>
      </c>
      <c r="F1216">
        <v>0</v>
      </c>
      <c r="G1216">
        <v>-31.776591009580979</v>
      </c>
      <c r="H1216">
        <v>265.97499999999991</v>
      </c>
      <c r="I1216">
        <v>0</v>
      </c>
      <c r="J1216">
        <v>0</v>
      </c>
      <c r="K1216">
        <v>5.2000000000000018E-2</v>
      </c>
      <c r="L1216">
        <v>441.44200000000001</v>
      </c>
      <c r="M1216">
        <v>0</v>
      </c>
      <c r="N1216">
        <v>0</v>
      </c>
      <c r="O1216">
        <v>-32.443873990426141</v>
      </c>
      <c r="P1216">
        <v>89706.042220999996</v>
      </c>
    </row>
    <row r="1217" spans="1:16" x14ac:dyDescent="0.25">
      <c r="A1217" s="10">
        <v>39394</v>
      </c>
      <c r="B1217">
        <v>695.35058500002197</v>
      </c>
      <c r="C1217">
        <v>154.03899999999999</v>
      </c>
      <c r="D1217">
        <v>-10</v>
      </c>
      <c r="E1217">
        <v>0</v>
      </c>
      <c r="F1217">
        <v>0</v>
      </c>
      <c r="G1217">
        <v>7.0540000000000873</v>
      </c>
      <c r="H1217">
        <v>208.6929999999999</v>
      </c>
      <c r="I1217">
        <v>0</v>
      </c>
      <c r="J1217">
        <v>0</v>
      </c>
      <c r="K1217">
        <v>14.58</v>
      </c>
      <c r="L1217">
        <v>223.99100000000001</v>
      </c>
      <c r="M1217">
        <v>0</v>
      </c>
      <c r="N1217">
        <v>0</v>
      </c>
      <c r="O1217">
        <v>96.993585000022009</v>
      </c>
      <c r="P1217">
        <v>90401.392806000018</v>
      </c>
    </row>
    <row r="1218" spans="1:16" x14ac:dyDescent="0.25">
      <c r="A1218" s="10">
        <v>39395</v>
      </c>
      <c r="B1218">
        <v>-718.65406700001051</v>
      </c>
      <c r="C1218">
        <v>0</v>
      </c>
      <c r="D1218">
        <v>0</v>
      </c>
      <c r="E1218">
        <v>-600</v>
      </c>
      <c r="F1218">
        <v>0</v>
      </c>
      <c r="G1218">
        <v>-0.82500000000001705</v>
      </c>
      <c r="H1218">
        <v>-249.68960519000049</v>
      </c>
      <c r="I1218">
        <v>0</v>
      </c>
      <c r="J1218">
        <v>0</v>
      </c>
      <c r="K1218">
        <v>-5.4999999999999993E-2</v>
      </c>
      <c r="L1218">
        <v>131.07900000000001</v>
      </c>
      <c r="M1218">
        <v>0</v>
      </c>
      <c r="N1218">
        <v>0</v>
      </c>
      <c r="O1218">
        <v>0.8365381899899802</v>
      </c>
      <c r="P1218">
        <v>89682.738739000008</v>
      </c>
    </row>
    <row r="1219" spans="1:16" x14ac:dyDescent="0.25">
      <c r="A1219" s="10">
        <v>39398</v>
      </c>
      <c r="B1219">
        <v>-24.896415000010261</v>
      </c>
      <c r="C1219">
        <v>0</v>
      </c>
      <c r="D1219">
        <v>0</v>
      </c>
      <c r="E1219">
        <v>0</v>
      </c>
      <c r="F1219">
        <v>0</v>
      </c>
      <c r="G1219">
        <v>-4.3940000000000046</v>
      </c>
      <c r="H1219">
        <v>-149.82199999999989</v>
      </c>
      <c r="I1219">
        <v>0</v>
      </c>
      <c r="J1219">
        <v>0</v>
      </c>
      <c r="K1219">
        <v>-0.17699999999999999</v>
      </c>
      <c r="L1219">
        <v>113.6</v>
      </c>
      <c r="M1219">
        <v>0</v>
      </c>
      <c r="N1219">
        <v>0</v>
      </c>
      <c r="O1219">
        <v>15.89658499998963</v>
      </c>
      <c r="P1219">
        <v>89657.842323999997</v>
      </c>
    </row>
    <row r="1220" spans="1:16" x14ac:dyDescent="0.25">
      <c r="A1220" s="10">
        <v>39399</v>
      </c>
      <c r="B1220">
        <v>-8.2831749999896047</v>
      </c>
      <c r="C1220">
        <v>74.923000000000002</v>
      </c>
      <c r="D1220">
        <v>0</v>
      </c>
      <c r="E1220">
        <v>0</v>
      </c>
      <c r="F1220">
        <v>0</v>
      </c>
      <c r="G1220">
        <v>-109.2560000000001</v>
      </c>
      <c r="H1220">
        <v>-4.7417920000002596</v>
      </c>
      <c r="I1220">
        <v>0</v>
      </c>
      <c r="J1220">
        <v>0</v>
      </c>
      <c r="K1220">
        <v>-1.0999999999999999E-2</v>
      </c>
      <c r="L1220">
        <v>12.509</v>
      </c>
      <c r="M1220">
        <v>0</v>
      </c>
      <c r="N1220">
        <v>0</v>
      </c>
      <c r="O1220">
        <v>18.293617000010741</v>
      </c>
      <c r="P1220">
        <v>89649.559149000008</v>
      </c>
    </row>
    <row r="1221" spans="1:16" x14ac:dyDescent="0.25">
      <c r="A1221" s="10">
        <v>39400</v>
      </c>
      <c r="B1221">
        <v>963.26990499999374</v>
      </c>
      <c r="C1221">
        <v>255.054</v>
      </c>
      <c r="D1221">
        <v>0</v>
      </c>
      <c r="E1221">
        <v>0</v>
      </c>
      <c r="F1221">
        <v>0</v>
      </c>
      <c r="G1221">
        <v>-14.09195999999997</v>
      </c>
      <c r="H1221">
        <v>33.136637000000057</v>
      </c>
      <c r="I1221">
        <v>0</v>
      </c>
      <c r="J1221">
        <v>0</v>
      </c>
      <c r="K1221">
        <v>-8.6819999999999994E-2</v>
      </c>
      <c r="L1221">
        <v>647.34900000000005</v>
      </c>
      <c r="M1221">
        <v>0</v>
      </c>
      <c r="N1221">
        <v>0</v>
      </c>
      <c r="O1221">
        <v>41.909047999993597</v>
      </c>
      <c r="P1221">
        <v>90612.829054000002</v>
      </c>
    </row>
    <row r="1222" spans="1:16" x14ac:dyDescent="0.25">
      <c r="A1222" s="10">
        <v>39401</v>
      </c>
      <c r="B1222">
        <v>601.35362799999712</v>
      </c>
      <c r="C1222">
        <v>331.02600000000001</v>
      </c>
      <c r="D1222">
        <v>-330</v>
      </c>
      <c r="E1222">
        <v>600</v>
      </c>
      <c r="F1222">
        <v>0</v>
      </c>
      <c r="G1222">
        <v>-624.93104000000017</v>
      </c>
      <c r="H1222">
        <v>575.1320000000004</v>
      </c>
      <c r="I1222">
        <v>0</v>
      </c>
      <c r="J1222">
        <v>0</v>
      </c>
      <c r="K1222">
        <v>0</v>
      </c>
      <c r="L1222">
        <v>52.660000000000011</v>
      </c>
      <c r="M1222">
        <v>0</v>
      </c>
      <c r="N1222">
        <v>0</v>
      </c>
      <c r="O1222">
        <v>-2.5333320000031558</v>
      </c>
      <c r="P1222">
        <v>91214.182681999999</v>
      </c>
    </row>
    <row r="1223" spans="1:16" x14ac:dyDescent="0.25">
      <c r="A1223" s="10">
        <v>39402</v>
      </c>
      <c r="B1223">
        <v>-1651.2971919999841</v>
      </c>
      <c r="C1223">
        <v>246.88800000000001</v>
      </c>
      <c r="D1223">
        <v>0</v>
      </c>
      <c r="E1223">
        <v>-1700</v>
      </c>
      <c r="F1223">
        <v>0</v>
      </c>
      <c r="G1223">
        <v>601.00700000000006</v>
      </c>
      <c r="H1223">
        <v>-832.23800000000028</v>
      </c>
      <c r="I1223">
        <v>0</v>
      </c>
      <c r="J1223">
        <v>0</v>
      </c>
      <c r="K1223">
        <v>0</v>
      </c>
      <c r="L1223">
        <v>20</v>
      </c>
      <c r="M1223">
        <v>0</v>
      </c>
      <c r="N1223">
        <v>0</v>
      </c>
      <c r="O1223">
        <v>13.045808000016679</v>
      </c>
      <c r="P1223">
        <v>89562.885490000015</v>
      </c>
    </row>
    <row r="1224" spans="1:16" x14ac:dyDescent="0.25">
      <c r="A1224" s="10">
        <v>39405</v>
      </c>
      <c r="B1224">
        <v>-1100.0351570000059</v>
      </c>
      <c r="C1224">
        <v>11.891999999999999</v>
      </c>
      <c r="D1224">
        <v>0</v>
      </c>
      <c r="E1224">
        <v>0</v>
      </c>
      <c r="F1224">
        <v>0</v>
      </c>
      <c r="G1224">
        <v>-371.74599999999992</v>
      </c>
      <c r="H1224">
        <v>-801.13400000000024</v>
      </c>
      <c r="I1224">
        <v>0</v>
      </c>
      <c r="J1224">
        <v>0</v>
      </c>
      <c r="K1224">
        <v>0.11700000000000001</v>
      </c>
      <c r="L1224">
        <v>41.865000000000002</v>
      </c>
      <c r="M1224">
        <v>0</v>
      </c>
      <c r="N1224">
        <v>0</v>
      </c>
      <c r="O1224">
        <v>18.970842999994151</v>
      </c>
      <c r="P1224">
        <v>88462.850333000009</v>
      </c>
    </row>
    <row r="1225" spans="1:16" x14ac:dyDescent="0.25">
      <c r="A1225" s="10">
        <v>39406</v>
      </c>
      <c r="B1225">
        <v>655.73233999998786</v>
      </c>
      <c r="C1225">
        <v>350.60750000000002</v>
      </c>
      <c r="D1225">
        <v>0</v>
      </c>
      <c r="E1225">
        <v>0</v>
      </c>
      <c r="F1225">
        <v>0</v>
      </c>
      <c r="G1225">
        <v>-4.1020000000000891</v>
      </c>
      <c r="H1225">
        <v>288.97699999999992</v>
      </c>
      <c r="I1225">
        <v>0</v>
      </c>
      <c r="J1225">
        <v>0</v>
      </c>
      <c r="K1225">
        <v>8.8999999999999996E-2</v>
      </c>
      <c r="L1225">
        <v>23.773</v>
      </c>
      <c r="M1225">
        <v>0</v>
      </c>
      <c r="N1225">
        <v>0</v>
      </c>
      <c r="O1225">
        <v>-3.612160000012036</v>
      </c>
      <c r="P1225">
        <v>89118.582672999997</v>
      </c>
    </row>
    <row r="1226" spans="1:16" x14ac:dyDescent="0.25">
      <c r="A1226" s="10">
        <v>39407</v>
      </c>
      <c r="B1226">
        <v>-97.104632000002056</v>
      </c>
      <c r="C1226">
        <v>102.93300000000001</v>
      </c>
      <c r="D1226">
        <v>0</v>
      </c>
      <c r="E1226">
        <v>0</v>
      </c>
      <c r="F1226">
        <v>0</v>
      </c>
      <c r="G1226">
        <v>-391.77399999999989</v>
      </c>
      <c r="H1226">
        <v>-521.53899999999976</v>
      </c>
      <c r="I1226">
        <v>0</v>
      </c>
      <c r="J1226">
        <v>0</v>
      </c>
      <c r="K1226">
        <v>1.8999999999999989E-2</v>
      </c>
      <c r="L1226">
        <v>704.178</v>
      </c>
      <c r="M1226">
        <v>0</v>
      </c>
      <c r="N1226">
        <v>0</v>
      </c>
      <c r="O1226">
        <v>9.078367999997603</v>
      </c>
      <c r="P1226">
        <v>89021.478040999995</v>
      </c>
    </row>
    <row r="1227" spans="1:16" x14ac:dyDescent="0.25">
      <c r="A1227" s="10">
        <v>39408</v>
      </c>
      <c r="B1227">
        <v>1203.340034000008</v>
      </c>
      <c r="C1227">
        <v>0</v>
      </c>
      <c r="D1227">
        <v>0</v>
      </c>
      <c r="E1227">
        <v>1700</v>
      </c>
      <c r="F1227">
        <v>0</v>
      </c>
      <c r="G1227">
        <v>-6.5160000000000808</v>
      </c>
      <c r="H1227">
        <v>-589.04963899999984</v>
      </c>
      <c r="I1227">
        <v>0</v>
      </c>
      <c r="J1227">
        <v>0</v>
      </c>
      <c r="K1227">
        <v>-9.2000000000000026E-2</v>
      </c>
      <c r="L1227">
        <v>96.468999999999994</v>
      </c>
      <c r="M1227">
        <v>0</v>
      </c>
      <c r="N1227">
        <v>0</v>
      </c>
      <c r="O1227">
        <v>2.5286730000079478</v>
      </c>
      <c r="P1227">
        <v>90224.818075000003</v>
      </c>
    </row>
    <row r="1228" spans="1:16" x14ac:dyDescent="0.25">
      <c r="A1228" s="10">
        <v>39409</v>
      </c>
      <c r="B1228">
        <v>166.71148499999211</v>
      </c>
      <c r="C1228">
        <v>36.775000000000013</v>
      </c>
      <c r="D1228">
        <v>0</v>
      </c>
      <c r="E1228">
        <v>0</v>
      </c>
      <c r="F1228">
        <v>0</v>
      </c>
      <c r="G1228">
        <v>41.90000000000002</v>
      </c>
      <c r="H1228">
        <v>42.185999999999687</v>
      </c>
      <c r="I1228">
        <v>0</v>
      </c>
      <c r="J1228">
        <v>0</v>
      </c>
      <c r="K1228">
        <v>0.19400000000000001</v>
      </c>
      <c r="L1228">
        <v>37.028000000000013</v>
      </c>
      <c r="M1228">
        <v>0</v>
      </c>
      <c r="N1228">
        <v>0</v>
      </c>
      <c r="O1228">
        <v>8.6284849999923949</v>
      </c>
      <c r="P1228">
        <v>90391.529559999995</v>
      </c>
    </row>
    <row r="1229" spans="1:16" x14ac:dyDescent="0.25">
      <c r="A1229" s="10">
        <v>39412</v>
      </c>
      <c r="B1229">
        <v>34.745536000002303</v>
      </c>
      <c r="C1229">
        <v>355.22550000000001</v>
      </c>
      <c r="D1229">
        <v>0</v>
      </c>
      <c r="E1229">
        <v>0</v>
      </c>
      <c r="F1229">
        <v>0</v>
      </c>
      <c r="G1229">
        <v>-9.9860000000000007</v>
      </c>
      <c r="H1229">
        <v>-347.33881000000019</v>
      </c>
      <c r="I1229">
        <v>0</v>
      </c>
      <c r="J1229">
        <v>0</v>
      </c>
      <c r="K1229">
        <v>-0.1100000000000001</v>
      </c>
      <c r="L1229">
        <v>21.058</v>
      </c>
      <c r="M1229">
        <v>0</v>
      </c>
      <c r="N1229">
        <v>0</v>
      </c>
      <c r="O1229">
        <v>15.89684600000248</v>
      </c>
      <c r="P1229">
        <v>90426.275095999998</v>
      </c>
    </row>
    <row r="1230" spans="1:16" x14ac:dyDescent="0.25">
      <c r="A1230" s="10">
        <v>39413</v>
      </c>
      <c r="B1230">
        <v>-604.22866799999588</v>
      </c>
      <c r="C1230">
        <v>111.63200000000001</v>
      </c>
      <c r="D1230">
        <v>0</v>
      </c>
      <c r="E1230">
        <v>0</v>
      </c>
      <c r="F1230">
        <v>0</v>
      </c>
      <c r="G1230">
        <v>-17.184999999999999</v>
      </c>
      <c r="H1230">
        <v>-731.66112099999964</v>
      </c>
      <c r="I1230">
        <v>0</v>
      </c>
      <c r="J1230">
        <v>0</v>
      </c>
      <c r="K1230">
        <v>0.99</v>
      </c>
      <c r="L1230">
        <v>19.95</v>
      </c>
      <c r="M1230">
        <v>0</v>
      </c>
      <c r="N1230">
        <v>0</v>
      </c>
      <c r="O1230">
        <v>12.0454530000037</v>
      </c>
      <c r="P1230">
        <v>89822.046428000001</v>
      </c>
    </row>
    <row r="1231" spans="1:16" x14ac:dyDescent="0.25">
      <c r="A1231" s="10">
        <v>39414</v>
      </c>
      <c r="B1231">
        <v>-434.07121499998863</v>
      </c>
      <c r="C1231">
        <v>177.87700000000001</v>
      </c>
      <c r="D1231">
        <v>0</v>
      </c>
      <c r="E1231">
        <v>0</v>
      </c>
      <c r="F1231">
        <v>0</v>
      </c>
      <c r="G1231">
        <v>2.1490000000000009</v>
      </c>
      <c r="H1231">
        <v>-1233.566</v>
      </c>
      <c r="I1231">
        <v>0</v>
      </c>
      <c r="J1231">
        <v>0</v>
      </c>
      <c r="K1231">
        <v>-1.9</v>
      </c>
      <c r="L1231">
        <v>607.79999999999995</v>
      </c>
      <c r="M1231">
        <v>0</v>
      </c>
      <c r="N1231">
        <v>0</v>
      </c>
      <c r="O1231">
        <v>13.5687850000113</v>
      </c>
      <c r="P1231">
        <v>89387.975213000012</v>
      </c>
    </row>
    <row r="1232" spans="1:16" x14ac:dyDescent="0.25">
      <c r="A1232" s="10">
        <v>39415</v>
      </c>
      <c r="B1232">
        <v>-514.54311500002188</v>
      </c>
      <c r="C1232">
        <v>315.25049999999999</v>
      </c>
      <c r="D1232">
        <v>0</v>
      </c>
      <c r="E1232">
        <v>0</v>
      </c>
      <c r="F1232">
        <v>0</v>
      </c>
      <c r="G1232">
        <v>-358.28</v>
      </c>
      <c r="H1232">
        <v>-507.3779999999997</v>
      </c>
      <c r="I1232">
        <v>0</v>
      </c>
      <c r="J1232">
        <v>0</v>
      </c>
      <c r="K1232">
        <v>-1.948</v>
      </c>
      <c r="L1232">
        <v>19.32</v>
      </c>
      <c r="M1232">
        <v>0</v>
      </c>
      <c r="N1232">
        <v>0</v>
      </c>
      <c r="O1232">
        <v>18.492384999977791</v>
      </c>
      <c r="P1232">
        <v>88873.43209799999</v>
      </c>
    </row>
    <row r="1233" spans="1:16" x14ac:dyDescent="0.25">
      <c r="A1233" s="10">
        <v>39416</v>
      </c>
      <c r="B1233">
        <v>893.14445700001693</v>
      </c>
      <c r="C1233">
        <v>-14.769</v>
      </c>
      <c r="D1233">
        <v>0</v>
      </c>
      <c r="E1233">
        <v>-1200</v>
      </c>
      <c r="F1233">
        <v>0</v>
      </c>
      <c r="G1233">
        <v>1322.6579999999999</v>
      </c>
      <c r="H1233">
        <v>695.15833199999906</v>
      </c>
      <c r="I1233">
        <v>0</v>
      </c>
      <c r="J1233">
        <v>0</v>
      </c>
      <c r="K1233">
        <v>0.70000000000000007</v>
      </c>
      <c r="L1233">
        <v>21.751000000000001</v>
      </c>
      <c r="M1233">
        <v>0</v>
      </c>
      <c r="N1233">
        <v>0</v>
      </c>
      <c r="O1233">
        <v>67.646125000017761</v>
      </c>
      <c r="P1233">
        <v>89766.576555000007</v>
      </c>
    </row>
    <row r="1234" spans="1:16" x14ac:dyDescent="0.25">
      <c r="A1234" s="10">
        <v>39419</v>
      </c>
      <c r="B1234">
        <v>1845.765037000004</v>
      </c>
      <c r="C1234">
        <v>50.23</v>
      </c>
      <c r="D1234">
        <v>0</v>
      </c>
      <c r="E1234">
        <v>0</v>
      </c>
      <c r="F1234">
        <v>0</v>
      </c>
      <c r="G1234">
        <v>79.504999999999995</v>
      </c>
      <c r="H1234">
        <v>1697.470108810001</v>
      </c>
      <c r="I1234">
        <v>0</v>
      </c>
      <c r="J1234">
        <v>0</v>
      </c>
      <c r="K1234">
        <v>-1.44</v>
      </c>
      <c r="L1234">
        <v>13.01</v>
      </c>
      <c r="M1234">
        <v>0</v>
      </c>
      <c r="N1234">
        <v>0</v>
      </c>
      <c r="O1234">
        <v>6.9899281900032921</v>
      </c>
      <c r="P1234">
        <v>91612.341592000012</v>
      </c>
    </row>
    <row r="1235" spans="1:16" x14ac:dyDescent="0.25">
      <c r="A1235" s="10">
        <v>39420</v>
      </c>
      <c r="B1235">
        <v>1612.8689129999841</v>
      </c>
      <c r="C1235">
        <v>370.149</v>
      </c>
      <c r="D1235">
        <v>0</v>
      </c>
      <c r="E1235">
        <v>0</v>
      </c>
      <c r="F1235">
        <v>0</v>
      </c>
      <c r="G1235">
        <v>45.392213000000027</v>
      </c>
      <c r="H1235">
        <v>1263.412</v>
      </c>
      <c r="I1235">
        <v>0</v>
      </c>
      <c r="J1235">
        <v>-41.079999999999927</v>
      </c>
      <c r="K1235">
        <v>-4.1499999999998716</v>
      </c>
      <c r="L1235">
        <v>56.15</v>
      </c>
      <c r="M1235">
        <v>0</v>
      </c>
      <c r="N1235">
        <v>0</v>
      </c>
      <c r="O1235">
        <v>-77.004300000016201</v>
      </c>
      <c r="P1235">
        <v>93225.210504999995</v>
      </c>
    </row>
    <row r="1236" spans="1:16" x14ac:dyDescent="0.25">
      <c r="A1236" s="10">
        <v>39421</v>
      </c>
      <c r="B1236">
        <v>97.770380000001666</v>
      </c>
      <c r="C1236">
        <v>299.41899999999998</v>
      </c>
      <c r="D1236">
        <v>0</v>
      </c>
      <c r="E1236">
        <v>0</v>
      </c>
      <c r="F1236">
        <v>0</v>
      </c>
      <c r="G1236">
        <v>-679.49821299999985</v>
      </c>
      <c r="H1236">
        <v>-56.510274999999872</v>
      </c>
      <c r="I1236">
        <v>0</v>
      </c>
      <c r="J1236">
        <v>0</v>
      </c>
      <c r="K1236">
        <v>-0.08</v>
      </c>
      <c r="L1236">
        <v>487.2</v>
      </c>
      <c r="M1236">
        <v>0</v>
      </c>
      <c r="N1236">
        <v>0</v>
      </c>
      <c r="O1236">
        <v>47.239868000001401</v>
      </c>
      <c r="P1236">
        <v>93322.980884999997</v>
      </c>
    </row>
    <row r="1237" spans="1:16" x14ac:dyDescent="0.25">
      <c r="A1237" s="10">
        <v>39422</v>
      </c>
      <c r="B1237">
        <v>682.87264700001106</v>
      </c>
      <c r="C1237">
        <v>385.09899999999999</v>
      </c>
      <c r="D1237">
        <v>0</v>
      </c>
      <c r="E1237">
        <v>1200</v>
      </c>
      <c r="F1237">
        <v>0</v>
      </c>
      <c r="G1237">
        <v>-867.57700000000011</v>
      </c>
      <c r="H1237">
        <v>-39.439000000000533</v>
      </c>
      <c r="I1237">
        <v>0</v>
      </c>
      <c r="J1237">
        <v>0</v>
      </c>
      <c r="K1237">
        <v>0.02</v>
      </c>
      <c r="L1237">
        <v>23.06</v>
      </c>
      <c r="M1237">
        <v>0</v>
      </c>
      <c r="N1237">
        <v>0</v>
      </c>
      <c r="O1237">
        <v>-18.290352999988269</v>
      </c>
      <c r="P1237">
        <v>94005.853532000008</v>
      </c>
    </row>
    <row r="1238" spans="1:16" x14ac:dyDescent="0.25">
      <c r="A1238" s="10">
        <v>39423</v>
      </c>
      <c r="B1238">
        <v>795.59611699999368</v>
      </c>
      <c r="C1238">
        <v>404.80500000000001</v>
      </c>
      <c r="D1238">
        <v>0</v>
      </c>
      <c r="E1238">
        <v>0</v>
      </c>
      <c r="F1238">
        <v>0</v>
      </c>
      <c r="G1238">
        <v>315.39299999999992</v>
      </c>
      <c r="H1238">
        <v>44.576000000000249</v>
      </c>
      <c r="I1238">
        <v>0</v>
      </c>
      <c r="J1238">
        <v>0</v>
      </c>
      <c r="K1238">
        <v>0.02</v>
      </c>
      <c r="L1238">
        <v>26.8</v>
      </c>
      <c r="M1238">
        <v>0</v>
      </c>
      <c r="N1238">
        <v>0</v>
      </c>
      <c r="O1238">
        <v>4.0021169999936319</v>
      </c>
      <c r="P1238">
        <v>94801.449649000002</v>
      </c>
    </row>
    <row r="1239" spans="1:16" x14ac:dyDescent="0.25">
      <c r="A1239" s="10">
        <v>39426</v>
      </c>
      <c r="B1239">
        <v>-4.1107049999991858</v>
      </c>
      <c r="C1239">
        <v>40.803999999999988</v>
      </c>
      <c r="D1239">
        <v>0</v>
      </c>
      <c r="E1239">
        <v>0</v>
      </c>
      <c r="F1239">
        <v>0</v>
      </c>
      <c r="G1239">
        <v>-7.1650000000000098</v>
      </c>
      <c r="H1239">
        <v>-100.3629999999998</v>
      </c>
      <c r="I1239">
        <v>0</v>
      </c>
      <c r="J1239">
        <v>0</v>
      </c>
      <c r="K1239">
        <v>0.2</v>
      </c>
      <c r="L1239">
        <v>56.320000000000007</v>
      </c>
      <c r="M1239">
        <v>0</v>
      </c>
      <c r="N1239">
        <v>0</v>
      </c>
      <c r="O1239">
        <v>6.0932950000006514</v>
      </c>
      <c r="P1239">
        <v>94797.338944000003</v>
      </c>
    </row>
    <row r="1240" spans="1:16" x14ac:dyDescent="0.25">
      <c r="A1240" s="10">
        <v>39427</v>
      </c>
      <c r="B1240">
        <v>331.00371400000569</v>
      </c>
      <c r="C1240">
        <v>302.43</v>
      </c>
      <c r="D1240">
        <v>0</v>
      </c>
      <c r="E1240">
        <v>0</v>
      </c>
      <c r="F1240">
        <v>0</v>
      </c>
      <c r="G1240">
        <v>43.965000000000003</v>
      </c>
      <c r="H1240">
        <v>-19.838999999999938</v>
      </c>
      <c r="I1240">
        <v>0</v>
      </c>
      <c r="J1240">
        <v>0</v>
      </c>
      <c r="K1240">
        <v>-0.14000000000000001</v>
      </c>
      <c r="L1240">
        <v>3.9999999999999147E-2</v>
      </c>
      <c r="M1240">
        <v>0</v>
      </c>
      <c r="N1240">
        <v>0</v>
      </c>
      <c r="O1240">
        <v>4.5477140000056693</v>
      </c>
      <c r="P1240">
        <v>95128.342658000009</v>
      </c>
    </row>
    <row r="1241" spans="1:16" x14ac:dyDescent="0.25">
      <c r="A1241" s="10">
        <v>39428</v>
      </c>
      <c r="B1241">
        <v>1063.182847000003</v>
      </c>
      <c r="C1241">
        <v>400.21600000000001</v>
      </c>
      <c r="D1241">
        <v>0</v>
      </c>
      <c r="E1241">
        <v>0</v>
      </c>
      <c r="F1241">
        <v>0</v>
      </c>
      <c r="G1241">
        <v>-39.404573999999982</v>
      </c>
      <c r="H1241">
        <v>18.556177999999822</v>
      </c>
      <c r="I1241">
        <v>0</v>
      </c>
      <c r="J1241">
        <v>0</v>
      </c>
      <c r="K1241">
        <v>7.0000000000000007E-2</v>
      </c>
      <c r="L1241">
        <v>715.92</v>
      </c>
      <c r="M1241">
        <v>0</v>
      </c>
      <c r="N1241">
        <v>0</v>
      </c>
      <c r="O1241">
        <v>-32.174756999996269</v>
      </c>
      <c r="P1241">
        <v>96191.525505000012</v>
      </c>
    </row>
    <row r="1242" spans="1:16" x14ac:dyDescent="0.25">
      <c r="A1242" s="10">
        <v>39429</v>
      </c>
      <c r="B1242">
        <v>428.42273700000061</v>
      </c>
      <c r="C1242">
        <v>413.68299999999999</v>
      </c>
      <c r="D1242">
        <v>0</v>
      </c>
      <c r="E1242">
        <v>0</v>
      </c>
      <c r="F1242">
        <v>0</v>
      </c>
      <c r="G1242">
        <v>-120.388426</v>
      </c>
      <c r="H1242">
        <v>7.7539999999999054</v>
      </c>
      <c r="I1242">
        <v>0</v>
      </c>
      <c r="J1242">
        <v>0</v>
      </c>
      <c r="K1242">
        <v>-0.16</v>
      </c>
      <c r="L1242">
        <v>91.169999999999987</v>
      </c>
      <c r="M1242">
        <v>0</v>
      </c>
      <c r="N1242">
        <v>0</v>
      </c>
      <c r="O1242">
        <v>36.364163000000687</v>
      </c>
      <c r="P1242">
        <v>96619.948242000013</v>
      </c>
    </row>
    <row r="1243" spans="1:16" x14ac:dyDescent="0.25">
      <c r="A1243" s="10">
        <v>39430</v>
      </c>
      <c r="B1243">
        <v>228.9092519999829</v>
      </c>
      <c r="C1243">
        <v>-30.834</v>
      </c>
      <c r="D1243">
        <v>0</v>
      </c>
      <c r="E1243">
        <v>-2550</v>
      </c>
      <c r="F1243">
        <v>0</v>
      </c>
      <c r="G1243">
        <v>2480.5479999999998</v>
      </c>
      <c r="H1243">
        <v>-131.86600000000001</v>
      </c>
      <c r="I1243">
        <v>0</v>
      </c>
      <c r="J1243">
        <v>0</v>
      </c>
      <c r="K1243">
        <v>7.0000000000000007E-2</v>
      </c>
      <c r="L1243">
        <v>70.06</v>
      </c>
      <c r="M1243">
        <v>0</v>
      </c>
      <c r="N1243">
        <v>0</v>
      </c>
      <c r="O1243">
        <v>390.93125199998298</v>
      </c>
      <c r="P1243">
        <v>96848.857493999996</v>
      </c>
    </row>
    <row r="1244" spans="1:16" x14ac:dyDescent="0.25">
      <c r="A1244" s="10">
        <v>39433</v>
      </c>
      <c r="B1244">
        <v>68.163399000012106</v>
      </c>
      <c r="C1244">
        <v>-109.976</v>
      </c>
      <c r="D1244">
        <v>0</v>
      </c>
      <c r="E1244">
        <v>0</v>
      </c>
      <c r="F1244">
        <v>0</v>
      </c>
      <c r="G1244">
        <v>62.707428999999998</v>
      </c>
      <c r="H1244">
        <v>110.26388999999971</v>
      </c>
      <c r="I1244">
        <v>0</v>
      </c>
      <c r="J1244">
        <v>0</v>
      </c>
      <c r="K1244">
        <v>-0.22</v>
      </c>
      <c r="L1244">
        <v>19.54</v>
      </c>
      <c r="M1244">
        <v>0</v>
      </c>
      <c r="N1244">
        <v>0</v>
      </c>
      <c r="O1244">
        <v>-14.15191999998763</v>
      </c>
      <c r="P1244">
        <v>96917.020893000008</v>
      </c>
    </row>
    <row r="1245" spans="1:16" x14ac:dyDescent="0.25">
      <c r="A1245" s="10">
        <v>39434</v>
      </c>
      <c r="B1245">
        <v>96.706528999988265</v>
      </c>
      <c r="C1245">
        <v>-50.210999999999999</v>
      </c>
      <c r="D1245">
        <v>0</v>
      </c>
      <c r="E1245">
        <v>0</v>
      </c>
      <c r="F1245">
        <v>0</v>
      </c>
      <c r="G1245">
        <v>16.182570999999999</v>
      </c>
      <c r="H1245">
        <v>117.68400000000069</v>
      </c>
      <c r="I1245">
        <v>0</v>
      </c>
      <c r="J1245">
        <v>0</v>
      </c>
      <c r="K1245">
        <v>-0.114</v>
      </c>
      <c r="L1245">
        <v>6.8440000000000003</v>
      </c>
      <c r="M1245">
        <v>0</v>
      </c>
      <c r="N1245">
        <v>0</v>
      </c>
      <c r="O1245">
        <v>6.3209579999876269</v>
      </c>
      <c r="P1245">
        <v>97013.727421999996</v>
      </c>
    </row>
    <row r="1246" spans="1:16" x14ac:dyDescent="0.25">
      <c r="A1246" s="10">
        <v>39435</v>
      </c>
      <c r="B1246">
        <v>1274.250540000008</v>
      </c>
      <c r="C1246">
        <v>243.393</v>
      </c>
      <c r="D1246">
        <v>0</v>
      </c>
      <c r="E1246">
        <v>0</v>
      </c>
      <c r="F1246">
        <v>0</v>
      </c>
      <c r="G1246">
        <v>137.14500000000001</v>
      </c>
      <c r="H1246">
        <v>-146.9379999999999</v>
      </c>
      <c r="I1246">
        <v>0</v>
      </c>
      <c r="J1246">
        <v>0</v>
      </c>
      <c r="K1246">
        <v>0.11</v>
      </c>
      <c r="L1246">
        <v>1044.5899999999999</v>
      </c>
      <c r="M1246">
        <v>0</v>
      </c>
      <c r="N1246">
        <v>0</v>
      </c>
      <c r="O1246">
        <v>-4.0494599999919227</v>
      </c>
      <c r="P1246">
        <v>98287.977962000004</v>
      </c>
    </row>
    <row r="1247" spans="1:16" x14ac:dyDescent="0.25">
      <c r="A1247" s="10">
        <v>39436</v>
      </c>
      <c r="B1247">
        <v>708.24988399999006</v>
      </c>
      <c r="C1247">
        <v>387.2115</v>
      </c>
      <c r="D1247">
        <v>0</v>
      </c>
      <c r="E1247">
        <v>2550</v>
      </c>
      <c r="F1247">
        <v>0</v>
      </c>
      <c r="G1247">
        <v>-2549.348974</v>
      </c>
      <c r="H1247">
        <v>208.66399999999999</v>
      </c>
      <c r="I1247">
        <v>0</v>
      </c>
      <c r="J1247">
        <v>0</v>
      </c>
      <c r="K1247">
        <v>0.21</v>
      </c>
      <c r="L1247">
        <v>82.71</v>
      </c>
      <c r="M1247">
        <v>0</v>
      </c>
      <c r="N1247">
        <v>0</v>
      </c>
      <c r="O1247">
        <v>28.803357999990158</v>
      </c>
      <c r="P1247">
        <v>98996.227845999994</v>
      </c>
    </row>
    <row r="1248" spans="1:16" x14ac:dyDescent="0.25">
      <c r="A1248" s="10">
        <v>39437</v>
      </c>
      <c r="B1248">
        <v>-321.78142599998648</v>
      </c>
      <c r="C1248">
        <v>91.332300000000004</v>
      </c>
      <c r="D1248">
        <v>0</v>
      </c>
      <c r="E1248">
        <v>-2000</v>
      </c>
      <c r="F1248">
        <v>0</v>
      </c>
      <c r="G1248">
        <v>2001.5819739999999</v>
      </c>
      <c r="H1248">
        <v>-488.7015154799999</v>
      </c>
      <c r="I1248">
        <v>0</v>
      </c>
      <c r="J1248">
        <v>0</v>
      </c>
      <c r="K1248">
        <v>0.34</v>
      </c>
      <c r="L1248">
        <v>48.32</v>
      </c>
      <c r="M1248">
        <v>0</v>
      </c>
      <c r="N1248">
        <v>0</v>
      </c>
      <c r="O1248">
        <v>25.34581548001319</v>
      </c>
      <c r="P1248">
        <v>98674.446420000007</v>
      </c>
    </row>
    <row r="1249" spans="1:16" x14ac:dyDescent="0.25">
      <c r="A1249" s="10">
        <v>39442</v>
      </c>
      <c r="B1249">
        <v>-238.62321500001431</v>
      </c>
      <c r="C1249">
        <v>86.407000000000011</v>
      </c>
      <c r="D1249">
        <v>0</v>
      </c>
      <c r="E1249">
        <v>0</v>
      </c>
      <c r="F1249">
        <v>0</v>
      </c>
      <c r="G1249">
        <v>-7.777000000000001</v>
      </c>
      <c r="H1249">
        <v>-771.35885899999994</v>
      </c>
      <c r="I1249">
        <v>0</v>
      </c>
      <c r="J1249">
        <v>0</v>
      </c>
      <c r="K1249">
        <v>0.34</v>
      </c>
      <c r="L1249">
        <v>454.7</v>
      </c>
      <c r="M1249">
        <v>0</v>
      </c>
      <c r="N1249">
        <v>0</v>
      </c>
      <c r="O1249">
        <v>-0.93435600001436114</v>
      </c>
      <c r="P1249">
        <v>98435.823204999993</v>
      </c>
    </row>
    <row r="1250" spans="1:16" x14ac:dyDescent="0.25">
      <c r="A1250" s="10">
        <v>39443</v>
      </c>
      <c r="B1250">
        <v>23.83830000000307</v>
      </c>
      <c r="C1250">
        <v>127.18</v>
      </c>
      <c r="D1250">
        <v>0</v>
      </c>
      <c r="E1250">
        <v>0</v>
      </c>
      <c r="F1250">
        <v>0</v>
      </c>
      <c r="G1250">
        <v>-8.4699999999999989</v>
      </c>
      <c r="H1250">
        <v>-145.22800000000009</v>
      </c>
      <c r="I1250">
        <v>0</v>
      </c>
      <c r="J1250">
        <v>0</v>
      </c>
      <c r="K1250">
        <v>0.125</v>
      </c>
      <c r="L1250">
        <v>2.4999999999999471E-2</v>
      </c>
      <c r="M1250">
        <v>0</v>
      </c>
      <c r="N1250">
        <v>0</v>
      </c>
      <c r="O1250">
        <v>50.206300000003132</v>
      </c>
      <c r="P1250">
        <v>98459.661504999996</v>
      </c>
    </row>
    <row r="1251" spans="1:16" x14ac:dyDescent="0.25">
      <c r="A1251" s="10">
        <v>39444</v>
      </c>
      <c r="B1251">
        <v>518.99644200000353</v>
      </c>
      <c r="C1251">
        <v>508.452</v>
      </c>
      <c r="D1251">
        <v>0</v>
      </c>
      <c r="E1251">
        <v>5000</v>
      </c>
      <c r="F1251">
        <v>0</v>
      </c>
      <c r="G1251">
        <v>-5018.1059999999998</v>
      </c>
      <c r="H1251">
        <v>-59.144999999999527</v>
      </c>
      <c r="I1251">
        <v>0</v>
      </c>
      <c r="J1251">
        <v>0</v>
      </c>
      <c r="K1251">
        <v>0.3</v>
      </c>
      <c r="L1251">
        <v>78.64</v>
      </c>
      <c r="M1251">
        <v>0</v>
      </c>
      <c r="N1251">
        <v>0</v>
      </c>
      <c r="O1251">
        <v>8.8554420000026361</v>
      </c>
      <c r="P1251">
        <v>98978.657947</v>
      </c>
    </row>
    <row r="1252" spans="1:16" x14ac:dyDescent="0.25">
      <c r="A1252" s="10">
        <v>39449</v>
      </c>
      <c r="B1252">
        <v>755.13842800000589</v>
      </c>
      <c r="C1252">
        <v>397.851</v>
      </c>
      <c r="D1252">
        <v>0</v>
      </c>
      <c r="E1252">
        <v>0</v>
      </c>
      <c r="F1252">
        <v>0</v>
      </c>
      <c r="G1252">
        <v>209.97499999999999</v>
      </c>
      <c r="H1252">
        <v>-174.88499999999999</v>
      </c>
      <c r="I1252">
        <v>0</v>
      </c>
      <c r="J1252">
        <v>0</v>
      </c>
      <c r="K1252">
        <v>17.14</v>
      </c>
      <c r="L1252">
        <v>293.2</v>
      </c>
      <c r="M1252">
        <v>0</v>
      </c>
      <c r="N1252">
        <v>0</v>
      </c>
      <c r="O1252">
        <v>11.857428000005919</v>
      </c>
      <c r="P1252">
        <v>99733.796375000005</v>
      </c>
    </row>
    <row r="1253" spans="1:16" x14ac:dyDescent="0.25">
      <c r="A1253" s="10">
        <v>39450</v>
      </c>
      <c r="B1253">
        <v>-717.50349898000434</v>
      </c>
      <c r="C1253">
        <v>455.75900000000001</v>
      </c>
      <c r="D1253">
        <v>-50</v>
      </c>
      <c r="E1253">
        <v>0</v>
      </c>
      <c r="F1253">
        <v>0</v>
      </c>
      <c r="G1253">
        <v>-49.750000009426913</v>
      </c>
      <c r="H1253">
        <v>-1046.205835</v>
      </c>
      <c r="I1253">
        <v>0</v>
      </c>
      <c r="J1253">
        <v>-41.319999999999709</v>
      </c>
      <c r="K1253">
        <v>11.15999999999989</v>
      </c>
      <c r="L1253">
        <v>10.38</v>
      </c>
      <c r="M1253">
        <v>0</v>
      </c>
      <c r="N1253">
        <v>0</v>
      </c>
      <c r="O1253">
        <v>-7.5266639705778289</v>
      </c>
      <c r="P1253">
        <v>99016.292876020001</v>
      </c>
    </row>
    <row r="1254" spans="1:16" x14ac:dyDescent="0.25">
      <c r="A1254" s="10">
        <v>39451</v>
      </c>
      <c r="B1254">
        <v>-887.51668161999248</v>
      </c>
      <c r="C1254">
        <v>50.238999999999997</v>
      </c>
      <c r="D1254">
        <v>0</v>
      </c>
      <c r="E1254">
        <v>0</v>
      </c>
      <c r="F1254">
        <v>0</v>
      </c>
      <c r="G1254">
        <v>-13.339</v>
      </c>
      <c r="H1254">
        <v>-864.93399999999929</v>
      </c>
      <c r="I1254">
        <v>0</v>
      </c>
      <c r="J1254">
        <v>0</v>
      </c>
      <c r="K1254">
        <v>1.75</v>
      </c>
      <c r="L1254">
        <v>11.31</v>
      </c>
      <c r="M1254">
        <v>0</v>
      </c>
      <c r="N1254">
        <v>0</v>
      </c>
      <c r="O1254">
        <v>-72.542681619993118</v>
      </c>
      <c r="P1254">
        <v>98128.776194400009</v>
      </c>
    </row>
    <row r="1255" spans="1:16" x14ac:dyDescent="0.25">
      <c r="A1255" s="10">
        <v>39454</v>
      </c>
      <c r="B1255">
        <v>333.34784659999377</v>
      </c>
      <c r="C1255">
        <v>575.45600000000002</v>
      </c>
      <c r="D1255">
        <v>-40</v>
      </c>
      <c r="E1255">
        <v>0</v>
      </c>
      <c r="F1255">
        <v>0</v>
      </c>
      <c r="G1255">
        <v>2.712999997744987</v>
      </c>
      <c r="H1255">
        <v>-217.28369700000081</v>
      </c>
      <c r="I1255">
        <v>0</v>
      </c>
      <c r="J1255">
        <v>0</v>
      </c>
      <c r="K1255">
        <v>1.23</v>
      </c>
      <c r="L1255">
        <v>2.75</v>
      </c>
      <c r="M1255">
        <v>0</v>
      </c>
      <c r="N1255">
        <v>0</v>
      </c>
      <c r="O1255">
        <v>8.4825436022495211</v>
      </c>
      <c r="P1255">
        <v>98462.124041000003</v>
      </c>
    </row>
    <row r="1256" spans="1:16" x14ac:dyDescent="0.25">
      <c r="A1256" s="10">
        <v>39455</v>
      </c>
      <c r="B1256">
        <v>-85.444443000000206</v>
      </c>
      <c r="C1256">
        <v>283.30799999999999</v>
      </c>
      <c r="D1256">
        <v>0</v>
      </c>
      <c r="E1256">
        <v>0</v>
      </c>
      <c r="F1256">
        <v>0</v>
      </c>
      <c r="G1256">
        <v>1.262999999999977</v>
      </c>
      <c r="H1256">
        <v>-382.73382500000031</v>
      </c>
      <c r="I1256">
        <v>0</v>
      </c>
      <c r="J1256">
        <v>0</v>
      </c>
      <c r="K1256">
        <v>-0.13</v>
      </c>
      <c r="L1256">
        <v>0</v>
      </c>
      <c r="M1256">
        <v>0</v>
      </c>
      <c r="N1256">
        <v>0</v>
      </c>
      <c r="O1256">
        <v>12.84838200000007</v>
      </c>
      <c r="P1256">
        <v>98376.679598000002</v>
      </c>
    </row>
    <row r="1257" spans="1:16" x14ac:dyDescent="0.25">
      <c r="A1257" s="10">
        <v>39456</v>
      </c>
      <c r="B1257">
        <v>-31.82088700000827</v>
      </c>
      <c r="C1257">
        <v>339.16969999999998</v>
      </c>
      <c r="D1257">
        <v>0</v>
      </c>
      <c r="E1257">
        <v>0</v>
      </c>
      <c r="F1257">
        <v>0</v>
      </c>
      <c r="G1257">
        <v>11.273999999999999</v>
      </c>
      <c r="H1257">
        <v>-21.940999999998891</v>
      </c>
      <c r="I1257">
        <v>0</v>
      </c>
      <c r="J1257">
        <v>0</v>
      </c>
      <c r="K1257">
        <v>0.51</v>
      </c>
      <c r="L1257">
        <v>-363.62</v>
      </c>
      <c r="M1257">
        <v>0</v>
      </c>
      <c r="N1257">
        <v>0</v>
      </c>
      <c r="O1257">
        <v>2.7864129999906599</v>
      </c>
      <c r="P1257">
        <v>98344.858710999993</v>
      </c>
    </row>
    <row r="1258" spans="1:16" x14ac:dyDescent="0.25">
      <c r="A1258" s="10">
        <v>39457</v>
      </c>
      <c r="B1258">
        <v>696.24047900001472</v>
      </c>
      <c r="C1258">
        <v>670.93299999999999</v>
      </c>
      <c r="D1258">
        <v>0</v>
      </c>
      <c r="E1258">
        <v>0</v>
      </c>
      <c r="F1258">
        <v>0</v>
      </c>
      <c r="G1258">
        <v>-36.752999999999993</v>
      </c>
      <c r="H1258">
        <v>-5.5339999999996508</v>
      </c>
      <c r="I1258">
        <v>0</v>
      </c>
      <c r="J1258">
        <v>0</v>
      </c>
      <c r="K1258">
        <v>0.91</v>
      </c>
      <c r="L1258">
        <v>61.37</v>
      </c>
      <c r="M1258">
        <v>0</v>
      </c>
      <c r="N1258">
        <v>0</v>
      </c>
      <c r="O1258">
        <v>5.3144790000143303</v>
      </c>
      <c r="P1258">
        <v>99041.099190000008</v>
      </c>
    </row>
    <row r="1259" spans="1:16" x14ac:dyDescent="0.25">
      <c r="A1259" s="10">
        <v>39458</v>
      </c>
      <c r="B1259">
        <v>-218.03571999999991</v>
      </c>
      <c r="C1259">
        <v>261.2047</v>
      </c>
      <c r="D1259">
        <v>-130</v>
      </c>
      <c r="E1259">
        <v>0</v>
      </c>
      <c r="F1259">
        <v>0</v>
      </c>
      <c r="G1259">
        <v>-6.8480459854199864</v>
      </c>
      <c r="H1259">
        <v>-332.73400000000038</v>
      </c>
      <c r="I1259">
        <v>0</v>
      </c>
      <c r="J1259">
        <v>0</v>
      </c>
      <c r="K1259">
        <v>0.67</v>
      </c>
      <c r="L1259">
        <v>11.71</v>
      </c>
      <c r="M1259">
        <v>0</v>
      </c>
      <c r="N1259">
        <v>0</v>
      </c>
      <c r="O1259">
        <v>-22.03837401457956</v>
      </c>
      <c r="P1259">
        <v>98823.063470000008</v>
      </c>
    </row>
    <row r="1260" spans="1:16" x14ac:dyDescent="0.25">
      <c r="A1260" s="10">
        <v>39461</v>
      </c>
      <c r="B1260">
        <v>741.12209599999153</v>
      </c>
      <c r="C1260">
        <v>588.76400000000001</v>
      </c>
      <c r="D1260">
        <v>0</v>
      </c>
      <c r="E1260">
        <v>0</v>
      </c>
      <c r="F1260">
        <v>0</v>
      </c>
      <c r="G1260">
        <v>-43.62142399999999</v>
      </c>
      <c r="H1260">
        <v>186.72113500000069</v>
      </c>
      <c r="I1260">
        <v>0</v>
      </c>
      <c r="J1260">
        <v>0</v>
      </c>
      <c r="K1260">
        <v>2.1800000000000002</v>
      </c>
      <c r="L1260">
        <v>0</v>
      </c>
      <c r="M1260">
        <v>0</v>
      </c>
      <c r="N1260">
        <v>0</v>
      </c>
      <c r="O1260">
        <v>7.0783849999909307</v>
      </c>
      <c r="P1260">
        <v>99564.185566</v>
      </c>
    </row>
    <row r="1261" spans="1:16" x14ac:dyDescent="0.25">
      <c r="A1261" s="10">
        <v>39462</v>
      </c>
      <c r="B1261">
        <v>-75.665410999993767</v>
      </c>
      <c r="C1261">
        <v>124.04600000000001</v>
      </c>
      <c r="D1261">
        <v>0</v>
      </c>
      <c r="E1261">
        <v>0</v>
      </c>
      <c r="F1261">
        <v>0</v>
      </c>
      <c r="G1261">
        <v>-4.0399599999999793</v>
      </c>
      <c r="H1261">
        <v>-196.8134649999993</v>
      </c>
      <c r="I1261">
        <v>0</v>
      </c>
      <c r="J1261">
        <v>0</v>
      </c>
      <c r="K1261">
        <v>0.55000000000000004</v>
      </c>
      <c r="L1261">
        <v>-9.9999999999997868E-3</v>
      </c>
      <c r="M1261">
        <v>0</v>
      </c>
      <c r="N1261">
        <v>0</v>
      </c>
      <c r="O1261">
        <v>0.60201400000548233</v>
      </c>
      <c r="P1261">
        <v>99488.520155000006</v>
      </c>
    </row>
    <row r="1262" spans="1:16" x14ac:dyDescent="0.25">
      <c r="A1262" s="10">
        <v>39463</v>
      </c>
      <c r="B1262">
        <v>-1535.740004999999</v>
      </c>
      <c r="C1262">
        <v>475.30099999999999</v>
      </c>
      <c r="D1262">
        <v>0</v>
      </c>
      <c r="E1262">
        <v>0</v>
      </c>
      <c r="F1262">
        <v>0</v>
      </c>
      <c r="G1262">
        <v>31.626000000000001</v>
      </c>
      <c r="H1262">
        <v>-938.58399999999892</v>
      </c>
      <c r="I1262">
        <v>0</v>
      </c>
      <c r="J1262">
        <v>0</v>
      </c>
      <c r="K1262">
        <v>0.98</v>
      </c>
      <c r="L1262">
        <v>-1116.6500000000001</v>
      </c>
      <c r="M1262">
        <v>0</v>
      </c>
      <c r="N1262">
        <v>0</v>
      </c>
      <c r="O1262">
        <v>11.586994999999661</v>
      </c>
      <c r="P1262">
        <v>97952.780150000006</v>
      </c>
    </row>
    <row r="1263" spans="1:16" x14ac:dyDescent="0.25">
      <c r="A1263" s="10">
        <v>39464</v>
      </c>
      <c r="B1263">
        <v>-372.24161300000628</v>
      </c>
      <c r="C1263">
        <v>82.8245</v>
      </c>
      <c r="D1263">
        <v>0</v>
      </c>
      <c r="E1263">
        <v>0</v>
      </c>
      <c r="F1263">
        <v>0</v>
      </c>
      <c r="G1263">
        <v>-13.19251900000001</v>
      </c>
      <c r="H1263">
        <v>-466.40034200000082</v>
      </c>
      <c r="I1263">
        <v>0</v>
      </c>
      <c r="J1263">
        <v>0</v>
      </c>
      <c r="K1263">
        <v>1.53</v>
      </c>
      <c r="L1263">
        <v>7.6399999999999988</v>
      </c>
      <c r="M1263">
        <v>0</v>
      </c>
      <c r="N1263">
        <v>0</v>
      </c>
      <c r="O1263">
        <v>15.35674799999458</v>
      </c>
      <c r="P1263">
        <v>97580.538537</v>
      </c>
    </row>
    <row r="1264" spans="1:16" x14ac:dyDescent="0.25">
      <c r="A1264" s="10">
        <v>39465</v>
      </c>
      <c r="B1264">
        <v>-115.92595499999859</v>
      </c>
      <c r="C1264">
        <v>22.064</v>
      </c>
      <c r="D1264">
        <v>0</v>
      </c>
      <c r="E1264">
        <v>0</v>
      </c>
      <c r="F1264">
        <v>0</v>
      </c>
      <c r="G1264">
        <v>-15.334481</v>
      </c>
      <c r="H1264">
        <v>-207.41082999999981</v>
      </c>
      <c r="I1264">
        <v>0</v>
      </c>
      <c r="J1264">
        <v>0</v>
      </c>
      <c r="K1264">
        <v>1.24</v>
      </c>
      <c r="L1264">
        <v>51.73</v>
      </c>
      <c r="M1264">
        <v>0</v>
      </c>
      <c r="N1264">
        <v>0</v>
      </c>
      <c r="O1264">
        <v>31.785356000001229</v>
      </c>
      <c r="P1264">
        <v>97464.612582000002</v>
      </c>
    </row>
    <row r="1265" spans="1:16" x14ac:dyDescent="0.25">
      <c r="A1265" s="10">
        <v>39468</v>
      </c>
      <c r="B1265">
        <v>280.72868600000243</v>
      </c>
      <c r="C1265">
        <v>0</v>
      </c>
      <c r="D1265">
        <v>0</v>
      </c>
      <c r="E1265">
        <v>0</v>
      </c>
      <c r="F1265">
        <v>0</v>
      </c>
      <c r="G1265">
        <v>189.244786</v>
      </c>
      <c r="H1265">
        <v>-32.27100000000064</v>
      </c>
      <c r="I1265">
        <v>0</v>
      </c>
      <c r="J1265">
        <v>0</v>
      </c>
      <c r="K1265">
        <v>2.2400000000000002</v>
      </c>
      <c r="L1265">
        <v>101.68</v>
      </c>
      <c r="M1265">
        <v>0</v>
      </c>
      <c r="N1265">
        <v>0</v>
      </c>
      <c r="O1265">
        <v>19.834900000003021</v>
      </c>
      <c r="P1265">
        <v>97745.341268000004</v>
      </c>
    </row>
    <row r="1266" spans="1:16" x14ac:dyDescent="0.25">
      <c r="A1266" s="10">
        <v>39469</v>
      </c>
      <c r="B1266">
        <v>-224.00176899999499</v>
      </c>
      <c r="C1266">
        <v>115.16849999999999</v>
      </c>
      <c r="D1266">
        <v>-40</v>
      </c>
      <c r="E1266">
        <v>0</v>
      </c>
      <c r="F1266">
        <v>0</v>
      </c>
      <c r="G1266">
        <v>-15.842786006500001</v>
      </c>
      <c r="H1266">
        <v>-291.37599999999838</v>
      </c>
      <c r="I1266">
        <v>0</v>
      </c>
      <c r="J1266">
        <v>0</v>
      </c>
      <c r="K1266">
        <v>1.5</v>
      </c>
      <c r="L1266">
        <v>6.3199999999999994</v>
      </c>
      <c r="M1266">
        <v>0</v>
      </c>
      <c r="N1266">
        <v>0</v>
      </c>
      <c r="O1266">
        <v>0.22851700650339579</v>
      </c>
      <c r="P1266">
        <v>97521.339499000009</v>
      </c>
    </row>
    <row r="1267" spans="1:16" x14ac:dyDescent="0.25">
      <c r="A1267" s="10">
        <v>39470</v>
      </c>
      <c r="B1267">
        <v>-780.93813800001249</v>
      </c>
      <c r="C1267">
        <v>82.078399999999988</v>
      </c>
      <c r="D1267">
        <v>0</v>
      </c>
      <c r="E1267">
        <v>0</v>
      </c>
      <c r="F1267">
        <v>0</v>
      </c>
      <c r="G1267">
        <v>-8.8489999999999895</v>
      </c>
      <c r="H1267">
        <v>-557.06674400000156</v>
      </c>
      <c r="I1267">
        <v>0</v>
      </c>
      <c r="J1267">
        <v>0</v>
      </c>
      <c r="K1267">
        <v>1.51</v>
      </c>
      <c r="L1267">
        <v>-298.31999999999988</v>
      </c>
      <c r="M1267">
        <v>0</v>
      </c>
      <c r="N1267">
        <v>0</v>
      </c>
      <c r="O1267">
        <v>-0.2907940000109015</v>
      </c>
      <c r="P1267">
        <v>96740.401360999997</v>
      </c>
    </row>
    <row r="1268" spans="1:16" x14ac:dyDescent="0.25">
      <c r="A1268" s="10">
        <v>39471</v>
      </c>
      <c r="B1268">
        <v>-452.69173200000608</v>
      </c>
      <c r="C1268">
        <v>169.05240000000001</v>
      </c>
      <c r="D1268">
        <v>0</v>
      </c>
      <c r="E1268">
        <v>0</v>
      </c>
      <c r="F1268">
        <v>0</v>
      </c>
      <c r="G1268">
        <v>-36.996000000000002</v>
      </c>
      <c r="H1268">
        <v>-670.30649299999641</v>
      </c>
      <c r="I1268">
        <v>0</v>
      </c>
      <c r="J1268">
        <v>0</v>
      </c>
      <c r="K1268">
        <v>1.98</v>
      </c>
      <c r="L1268">
        <v>87.18</v>
      </c>
      <c r="M1268">
        <v>0</v>
      </c>
      <c r="N1268">
        <v>0</v>
      </c>
      <c r="O1268">
        <v>-3.6016390000096981</v>
      </c>
      <c r="P1268">
        <v>96287.70962899999</v>
      </c>
    </row>
    <row r="1269" spans="1:16" x14ac:dyDescent="0.25">
      <c r="A1269" s="10">
        <v>39472</v>
      </c>
      <c r="B1269">
        <v>-709.48096099999361</v>
      </c>
      <c r="C1269">
        <v>309.78870000000001</v>
      </c>
      <c r="D1269">
        <v>0</v>
      </c>
      <c r="E1269">
        <v>0</v>
      </c>
      <c r="F1269">
        <v>0</v>
      </c>
      <c r="G1269">
        <v>-17.818012</v>
      </c>
      <c r="H1269">
        <v>-1047.5994619999999</v>
      </c>
      <c r="I1269">
        <v>0</v>
      </c>
      <c r="J1269">
        <v>0</v>
      </c>
      <c r="K1269">
        <v>1.74</v>
      </c>
      <c r="L1269">
        <v>46.05</v>
      </c>
      <c r="M1269">
        <v>0</v>
      </c>
      <c r="N1269">
        <v>0</v>
      </c>
      <c r="O1269">
        <v>-1.642186999993442</v>
      </c>
      <c r="P1269">
        <v>95578.228667999996</v>
      </c>
    </row>
    <row r="1270" spans="1:16" x14ac:dyDescent="0.25">
      <c r="A1270" s="10">
        <v>39475</v>
      </c>
      <c r="B1270">
        <v>-260.94158299999242</v>
      </c>
      <c r="C1270">
        <v>92.966999999999999</v>
      </c>
      <c r="D1270">
        <v>0</v>
      </c>
      <c r="E1270">
        <v>0</v>
      </c>
      <c r="F1270">
        <v>0</v>
      </c>
      <c r="G1270">
        <v>1.9777680000000259</v>
      </c>
      <c r="H1270">
        <v>-367.39600000000058</v>
      </c>
      <c r="I1270">
        <v>0</v>
      </c>
      <c r="J1270">
        <v>0</v>
      </c>
      <c r="K1270">
        <v>2.99</v>
      </c>
      <c r="L1270">
        <v>1.5799999999999981</v>
      </c>
      <c r="M1270">
        <v>0</v>
      </c>
      <c r="N1270">
        <v>0</v>
      </c>
      <c r="O1270">
        <v>6.9396490000082602</v>
      </c>
      <c r="P1270">
        <v>95317.287085000004</v>
      </c>
    </row>
    <row r="1271" spans="1:16" x14ac:dyDescent="0.25">
      <c r="A1271" s="10">
        <v>39476</v>
      </c>
      <c r="B1271">
        <v>207.5471079999981</v>
      </c>
      <c r="C1271">
        <v>140.202</v>
      </c>
      <c r="D1271">
        <v>0</v>
      </c>
      <c r="E1271">
        <v>0</v>
      </c>
      <c r="F1271">
        <v>0</v>
      </c>
      <c r="G1271">
        <v>18.759107</v>
      </c>
      <c r="H1271">
        <v>27.733921999999438</v>
      </c>
      <c r="I1271">
        <v>0</v>
      </c>
      <c r="J1271">
        <v>0</v>
      </c>
      <c r="K1271">
        <v>2.4500000000000002</v>
      </c>
      <c r="L1271">
        <v>2.649999999999999</v>
      </c>
      <c r="M1271">
        <v>0</v>
      </c>
      <c r="N1271">
        <v>0</v>
      </c>
      <c r="O1271">
        <v>15.75207899999867</v>
      </c>
      <c r="P1271">
        <v>95524.834193000002</v>
      </c>
    </row>
    <row r="1272" spans="1:16" x14ac:dyDescent="0.25">
      <c r="A1272" s="10">
        <v>39477</v>
      </c>
      <c r="B1272">
        <v>-1077.876505999986</v>
      </c>
      <c r="C1272">
        <v>6.3120000000000003</v>
      </c>
      <c r="D1272">
        <v>0</v>
      </c>
      <c r="E1272">
        <v>0</v>
      </c>
      <c r="F1272">
        <v>0</v>
      </c>
      <c r="G1272">
        <v>-172.564863</v>
      </c>
      <c r="H1272">
        <v>-713.47485700000107</v>
      </c>
      <c r="I1272">
        <v>0</v>
      </c>
      <c r="J1272">
        <v>0</v>
      </c>
      <c r="K1272">
        <v>2.58</v>
      </c>
      <c r="L1272">
        <v>-206.99</v>
      </c>
      <c r="M1272">
        <v>0</v>
      </c>
      <c r="N1272">
        <v>0</v>
      </c>
      <c r="O1272">
        <v>6.2612140000151157</v>
      </c>
      <c r="P1272">
        <v>94446.957687000016</v>
      </c>
    </row>
    <row r="1273" spans="1:16" x14ac:dyDescent="0.25">
      <c r="A1273" s="10">
        <v>39478</v>
      </c>
      <c r="B1273">
        <v>19.800676999977</v>
      </c>
      <c r="C1273">
        <v>104.1665</v>
      </c>
      <c r="D1273">
        <v>-20</v>
      </c>
      <c r="E1273">
        <v>0</v>
      </c>
      <c r="F1273">
        <v>0</v>
      </c>
      <c r="G1273">
        <v>52.638435998280023</v>
      </c>
      <c r="H1273">
        <v>-119.6549840000025</v>
      </c>
      <c r="I1273">
        <v>0</v>
      </c>
      <c r="J1273">
        <v>0</v>
      </c>
      <c r="K1273">
        <v>2.77</v>
      </c>
      <c r="L1273">
        <v>0</v>
      </c>
      <c r="M1273">
        <v>0</v>
      </c>
      <c r="N1273">
        <v>0</v>
      </c>
      <c r="O1273">
        <v>-0.119274998300512</v>
      </c>
      <c r="P1273">
        <v>94466.758363999994</v>
      </c>
    </row>
    <row r="1274" spans="1:16" x14ac:dyDescent="0.25">
      <c r="A1274" s="10">
        <v>39479</v>
      </c>
      <c r="B1274">
        <v>-248.3864139999929</v>
      </c>
      <c r="C1274">
        <v>45.734999999999999</v>
      </c>
      <c r="D1274">
        <v>0</v>
      </c>
      <c r="E1274">
        <v>-1700</v>
      </c>
      <c r="F1274">
        <v>0</v>
      </c>
      <c r="G1274">
        <v>1701.6490349999999</v>
      </c>
      <c r="H1274">
        <v>-277.13100000000122</v>
      </c>
      <c r="I1274">
        <v>0</v>
      </c>
      <c r="J1274">
        <v>0</v>
      </c>
      <c r="K1274">
        <v>3.4</v>
      </c>
      <c r="L1274">
        <v>-15.59</v>
      </c>
      <c r="M1274">
        <v>0</v>
      </c>
      <c r="N1274">
        <v>0</v>
      </c>
      <c r="O1274">
        <v>-6.4494489999914633</v>
      </c>
      <c r="P1274">
        <v>94218.371950000001</v>
      </c>
    </row>
    <row r="1275" spans="1:16" x14ac:dyDescent="0.25">
      <c r="A1275" s="10">
        <v>39482</v>
      </c>
      <c r="B1275">
        <v>530.10198499998694</v>
      </c>
      <c r="C1275">
        <v>101.0115</v>
      </c>
      <c r="D1275">
        <v>0</v>
      </c>
      <c r="E1275">
        <v>0</v>
      </c>
      <c r="F1275">
        <v>0</v>
      </c>
      <c r="G1275">
        <v>-99.497471000000019</v>
      </c>
      <c r="H1275">
        <v>642.16237700000238</v>
      </c>
      <c r="I1275">
        <v>0</v>
      </c>
      <c r="J1275">
        <v>-41.770000000000437</v>
      </c>
      <c r="K1275">
        <v>-6.3199999999998004</v>
      </c>
      <c r="L1275">
        <v>0</v>
      </c>
      <c r="M1275">
        <v>0</v>
      </c>
      <c r="N1275">
        <v>0</v>
      </c>
      <c r="O1275">
        <v>-65.484421000015118</v>
      </c>
      <c r="P1275">
        <v>94748.473934999987</v>
      </c>
    </row>
    <row r="1276" spans="1:16" x14ac:dyDescent="0.25">
      <c r="A1276" s="10">
        <v>39483</v>
      </c>
      <c r="B1276">
        <v>-680.07502499998441</v>
      </c>
      <c r="C1276">
        <v>-6.321700000000007</v>
      </c>
      <c r="D1276">
        <v>-20</v>
      </c>
      <c r="E1276">
        <v>0</v>
      </c>
      <c r="F1276">
        <v>0</v>
      </c>
      <c r="G1276">
        <v>86.785319009658991</v>
      </c>
      <c r="H1276">
        <v>-799.69143700000132</v>
      </c>
      <c r="I1276">
        <v>0</v>
      </c>
      <c r="J1276">
        <v>0</v>
      </c>
      <c r="K1276">
        <v>1.95</v>
      </c>
      <c r="L1276">
        <v>-3.98</v>
      </c>
      <c r="M1276">
        <v>0</v>
      </c>
      <c r="N1276">
        <v>0</v>
      </c>
      <c r="O1276">
        <v>61.18279299035791</v>
      </c>
      <c r="P1276">
        <v>94068.398910000004</v>
      </c>
    </row>
    <row r="1277" spans="1:16" x14ac:dyDescent="0.25">
      <c r="A1277" s="10">
        <v>39484</v>
      </c>
      <c r="B1277">
        <v>-702.30899800000702</v>
      </c>
      <c r="C1277">
        <v>38.006</v>
      </c>
      <c r="D1277">
        <v>0</v>
      </c>
      <c r="E1277">
        <v>0</v>
      </c>
      <c r="F1277">
        <v>0</v>
      </c>
      <c r="G1277">
        <v>-7.2353190000000041</v>
      </c>
      <c r="H1277">
        <v>-578.68500000000313</v>
      </c>
      <c r="I1277">
        <v>0</v>
      </c>
      <c r="J1277">
        <v>0</v>
      </c>
      <c r="K1277">
        <v>3.55</v>
      </c>
      <c r="L1277">
        <v>-154.54599999999999</v>
      </c>
      <c r="M1277">
        <v>0</v>
      </c>
      <c r="N1277">
        <v>0</v>
      </c>
      <c r="O1277">
        <v>-3.3986790000037672</v>
      </c>
      <c r="P1277">
        <v>93366.089911999996</v>
      </c>
    </row>
    <row r="1278" spans="1:16" x14ac:dyDescent="0.25">
      <c r="A1278" s="10">
        <v>39485</v>
      </c>
      <c r="B1278">
        <v>876.04117799999915</v>
      </c>
      <c r="C1278">
        <v>229.66200000000001</v>
      </c>
      <c r="D1278">
        <v>0</v>
      </c>
      <c r="E1278">
        <v>1700</v>
      </c>
      <c r="F1278">
        <v>0</v>
      </c>
      <c r="G1278">
        <v>-1705.28</v>
      </c>
      <c r="H1278">
        <v>631.57583900000282</v>
      </c>
      <c r="I1278">
        <v>0</v>
      </c>
      <c r="J1278">
        <v>0</v>
      </c>
      <c r="K1278">
        <v>18.36</v>
      </c>
      <c r="L1278">
        <v>0</v>
      </c>
      <c r="M1278">
        <v>0</v>
      </c>
      <c r="N1278">
        <v>0</v>
      </c>
      <c r="O1278">
        <v>1.7233389999960309</v>
      </c>
      <c r="P1278">
        <v>94242.131089999995</v>
      </c>
    </row>
    <row r="1279" spans="1:16" x14ac:dyDescent="0.25">
      <c r="A1279" s="10">
        <v>39486</v>
      </c>
      <c r="B1279">
        <v>674.8524220000113</v>
      </c>
      <c r="C1279">
        <v>22.181000000000001</v>
      </c>
      <c r="D1279">
        <v>0</v>
      </c>
      <c r="E1279">
        <v>0</v>
      </c>
      <c r="F1279">
        <v>0</v>
      </c>
      <c r="G1279">
        <v>-5.9890000000000043</v>
      </c>
      <c r="H1279">
        <v>584.29780299999948</v>
      </c>
      <c r="I1279">
        <v>0</v>
      </c>
      <c r="J1279">
        <v>0</v>
      </c>
      <c r="K1279">
        <v>4.1900000000000004</v>
      </c>
      <c r="L1279">
        <v>39.389999999999993</v>
      </c>
      <c r="M1279">
        <v>0</v>
      </c>
      <c r="N1279">
        <v>0</v>
      </c>
      <c r="O1279">
        <v>30.782619000011781</v>
      </c>
      <c r="P1279">
        <v>94916.983512000006</v>
      </c>
    </row>
    <row r="1280" spans="1:16" x14ac:dyDescent="0.25">
      <c r="A1280" s="10">
        <v>39489</v>
      </c>
      <c r="B1280">
        <v>709.26453640998841</v>
      </c>
      <c r="C1280">
        <v>0</v>
      </c>
      <c r="D1280">
        <v>0</v>
      </c>
      <c r="E1280">
        <v>0</v>
      </c>
      <c r="F1280">
        <v>0</v>
      </c>
      <c r="G1280">
        <v>-9.710000000000008</v>
      </c>
      <c r="H1280">
        <v>556.76475300000129</v>
      </c>
      <c r="I1280">
        <v>0</v>
      </c>
      <c r="J1280">
        <v>0</v>
      </c>
      <c r="K1280">
        <v>4.4800000000000004</v>
      </c>
      <c r="L1280">
        <v>129.04</v>
      </c>
      <c r="M1280">
        <v>0</v>
      </c>
      <c r="N1280">
        <v>0</v>
      </c>
      <c r="O1280">
        <v>28.689783409987161</v>
      </c>
      <c r="P1280">
        <v>95626.248048409994</v>
      </c>
    </row>
    <row r="1281" spans="1:16" x14ac:dyDescent="0.25">
      <c r="A1281" s="10">
        <v>39490</v>
      </c>
      <c r="B1281">
        <v>347.39160658999822</v>
      </c>
      <c r="C1281">
        <v>49.017000000000003</v>
      </c>
      <c r="D1281">
        <v>0</v>
      </c>
      <c r="E1281">
        <v>0</v>
      </c>
      <c r="F1281">
        <v>0</v>
      </c>
      <c r="G1281">
        <v>-13.617483000000011</v>
      </c>
      <c r="H1281">
        <v>301.02370400000109</v>
      </c>
      <c r="I1281">
        <v>0</v>
      </c>
      <c r="J1281">
        <v>0</v>
      </c>
      <c r="K1281">
        <v>2.64</v>
      </c>
      <c r="L1281">
        <v>9.98</v>
      </c>
      <c r="M1281">
        <v>0</v>
      </c>
      <c r="N1281">
        <v>0</v>
      </c>
      <c r="O1281">
        <v>-1.65161441000294</v>
      </c>
      <c r="P1281">
        <v>95973.639654999992</v>
      </c>
    </row>
    <row r="1282" spans="1:16" x14ac:dyDescent="0.25">
      <c r="A1282" s="10">
        <v>39491</v>
      </c>
      <c r="B1282">
        <v>-796.7158579999807</v>
      </c>
      <c r="C1282">
        <v>56.893999999999998</v>
      </c>
      <c r="D1282">
        <v>0</v>
      </c>
      <c r="E1282">
        <v>0</v>
      </c>
      <c r="F1282">
        <v>0</v>
      </c>
      <c r="G1282">
        <v>-13.95289199999999</v>
      </c>
      <c r="H1282">
        <v>197.49578699999981</v>
      </c>
      <c r="I1282">
        <v>0</v>
      </c>
      <c r="J1282">
        <v>0</v>
      </c>
      <c r="K1282">
        <v>3.8450000000000002</v>
      </c>
      <c r="L1282">
        <v>-1040.885</v>
      </c>
      <c r="M1282">
        <v>0</v>
      </c>
      <c r="N1282">
        <v>0</v>
      </c>
      <c r="O1282">
        <v>-0.11275299998054859</v>
      </c>
      <c r="P1282">
        <v>95176.92379700001</v>
      </c>
    </row>
    <row r="1283" spans="1:16" x14ac:dyDescent="0.25">
      <c r="A1283" s="10">
        <v>39492</v>
      </c>
      <c r="B1283">
        <v>583.56985199999974</v>
      </c>
      <c r="C1283">
        <v>0</v>
      </c>
      <c r="D1283">
        <v>0</v>
      </c>
      <c r="E1283">
        <v>0</v>
      </c>
      <c r="F1283">
        <v>0</v>
      </c>
      <c r="G1283">
        <v>-8.329624999999993</v>
      </c>
      <c r="H1283">
        <v>473.88698099999971</v>
      </c>
      <c r="I1283">
        <v>0</v>
      </c>
      <c r="J1283">
        <v>0</v>
      </c>
      <c r="K1283">
        <v>2.0299999999999998</v>
      </c>
      <c r="L1283">
        <v>101.54</v>
      </c>
      <c r="M1283">
        <v>0</v>
      </c>
      <c r="N1283">
        <v>0</v>
      </c>
      <c r="O1283">
        <v>14.442496000000171</v>
      </c>
      <c r="P1283">
        <v>95760.493650000004</v>
      </c>
    </row>
    <row r="1284" spans="1:16" x14ac:dyDescent="0.25">
      <c r="A1284" s="10">
        <v>39493</v>
      </c>
      <c r="B1284">
        <v>5.1754358999903447</v>
      </c>
      <c r="C1284">
        <v>15.757999999999999</v>
      </c>
      <c r="D1284">
        <v>0</v>
      </c>
      <c r="E1284">
        <v>-1700</v>
      </c>
      <c r="F1284">
        <v>0</v>
      </c>
      <c r="G1284">
        <v>1571.808</v>
      </c>
      <c r="H1284">
        <v>103.62836900000001</v>
      </c>
      <c r="I1284">
        <v>0</v>
      </c>
      <c r="J1284">
        <v>0</v>
      </c>
      <c r="K1284">
        <v>2.48</v>
      </c>
      <c r="L1284">
        <v>1.72</v>
      </c>
      <c r="M1284">
        <v>0</v>
      </c>
      <c r="N1284">
        <v>0</v>
      </c>
      <c r="O1284">
        <v>9.781066899990293</v>
      </c>
      <c r="P1284">
        <v>95765.669084900001</v>
      </c>
    </row>
    <row r="1285" spans="1:16" x14ac:dyDescent="0.25">
      <c r="A1285" s="10">
        <v>39496</v>
      </c>
      <c r="B1285">
        <v>-740.60462590000031</v>
      </c>
      <c r="C1285">
        <v>0</v>
      </c>
      <c r="D1285">
        <v>0</v>
      </c>
      <c r="E1285">
        <v>0</v>
      </c>
      <c r="F1285">
        <v>0</v>
      </c>
      <c r="G1285">
        <v>-392.87299999999999</v>
      </c>
      <c r="H1285">
        <v>-357.25434400000091</v>
      </c>
      <c r="I1285">
        <v>0</v>
      </c>
      <c r="J1285">
        <v>0</v>
      </c>
      <c r="K1285">
        <v>3.754</v>
      </c>
      <c r="L1285">
        <v>7.895999999999999</v>
      </c>
      <c r="M1285">
        <v>0</v>
      </c>
      <c r="N1285">
        <v>0</v>
      </c>
      <c r="O1285">
        <v>-2.1272818999994429</v>
      </c>
      <c r="P1285">
        <v>95025.064459000001</v>
      </c>
    </row>
    <row r="1286" spans="1:16" x14ac:dyDescent="0.25">
      <c r="A1286" s="10">
        <v>39497</v>
      </c>
      <c r="B1286">
        <v>-211.15480220000561</v>
      </c>
      <c r="C1286">
        <v>0</v>
      </c>
      <c r="D1286">
        <v>0</v>
      </c>
      <c r="E1286">
        <v>0</v>
      </c>
      <c r="F1286">
        <v>0</v>
      </c>
      <c r="G1286">
        <v>14.948586000000009</v>
      </c>
      <c r="H1286">
        <v>-221.67421892000129</v>
      </c>
      <c r="I1286">
        <v>0</v>
      </c>
      <c r="J1286">
        <v>0</v>
      </c>
      <c r="K1286">
        <v>1.81</v>
      </c>
      <c r="L1286">
        <v>0.87000000000000011</v>
      </c>
      <c r="M1286">
        <v>0</v>
      </c>
      <c r="N1286">
        <v>0</v>
      </c>
      <c r="O1286">
        <v>-7.1091692800042949</v>
      </c>
      <c r="P1286">
        <v>94813.909656799995</v>
      </c>
    </row>
    <row r="1287" spans="1:16" x14ac:dyDescent="0.25">
      <c r="A1287" s="10">
        <v>39498</v>
      </c>
      <c r="B1287">
        <v>205.50155970000219</v>
      </c>
      <c r="C1287">
        <v>-39.423000000000002</v>
      </c>
      <c r="D1287">
        <v>0</v>
      </c>
      <c r="E1287">
        <v>0</v>
      </c>
      <c r="F1287">
        <v>0</v>
      </c>
      <c r="G1287">
        <v>592.446414</v>
      </c>
      <c r="H1287">
        <v>131.83648749999881</v>
      </c>
      <c r="I1287">
        <v>0</v>
      </c>
      <c r="J1287">
        <v>0</v>
      </c>
      <c r="K1287">
        <v>2.5169999999999999</v>
      </c>
      <c r="L1287">
        <v>-484.2369999999998</v>
      </c>
      <c r="M1287">
        <v>0</v>
      </c>
      <c r="N1287">
        <v>0</v>
      </c>
      <c r="O1287">
        <v>2.3616582000030921</v>
      </c>
      <c r="P1287">
        <v>95019.411216499997</v>
      </c>
    </row>
    <row r="1288" spans="1:16" x14ac:dyDescent="0.25">
      <c r="A1288" s="10">
        <v>39499</v>
      </c>
      <c r="B1288">
        <v>1259.000075630001</v>
      </c>
      <c r="C1288">
        <v>123.416</v>
      </c>
      <c r="D1288">
        <v>0</v>
      </c>
      <c r="E1288">
        <v>0</v>
      </c>
      <c r="F1288">
        <v>0</v>
      </c>
      <c r="G1288">
        <v>5.938999999999993</v>
      </c>
      <c r="H1288">
        <v>1121.206999999999</v>
      </c>
      <c r="I1288">
        <v>0</v>
      </c>
      <c r="J1288">
        <v>0</v>
      </c>
      <c r="K1288">
        <v>1.96</v>
      </c>
      <c r="L1288">
        <v>6.919999999999999</v>
      </c>
      <c r="M1288">
        <v>0</v>
      </c>
      <c r="N1288">
        <v>0</v>
      </c>
      <c r="O1288">
        <v>-0.44192436999806001</v>
      </c>
      <c r="P1288">
        <v>96278.411292129997</v>
      </c>
    </row>
    <row r="1289" spans="1:16" x14ac:dyDescent="0.25">
      <c r="A1289" s="10">
        <v>39500</v>
      </c>
      <c r="B1289">
        <v>-815.23174748999065</v>
      </c>
      <c r="C1289">
        <v>431.36964999999998</v>
      </c>
      <c r="D1289">
        <v>0</v>
      </c>
      <c r="E1289">
        <v>1700</v>
      </c>
      <c r="F1289">
        <v>0</v>
      </c>
      <c r="G1289">
        <v>-2100.3279229999998</v>
      </c>
      <c r="H1289">
        <v>-848.43235788999846</v>
      </c>
      <c r="I1289">
        <v>0</v>
      </c>
      <c r="J1289">
        <v>0</v>
      </c>
      <c r="K1289">
        <v>2.37</v>
      </c>
      <c r="L1289">
        <v>1.7099999999999991</v>
      </c>
      <c r="M1289">
        <v>0</v>
      </c>
      <c r="N1289">
        <v>0</v>
      </c>
      <c r="O1289">
        <v>-1.9211165999925019</v>
      </c>
      <c r="P1289">
        <v>95463.179544640006</v>
      </c>
    </row>
    <row r="1290" spans="1:16" x14ac:dyDescent="0.25">
      <c r="A1290" s="10">
        <v>39503</v>
      </c>
      <c r="B1290">
        <v>677.79702310998982</v>
      </c>
      <c r="C1290">
        <v>233.92</v>
      </c>
      <c r="D1290">
        <v>0</v>
      </c>
      <c r="E1290">
        <v>0</v>
      </c>
      <c r="F1290">
        <v>0</v>
      </c>
      <c r="G1290">
        <v>145.11592300000001</v>
      </c>
      <c r="H1290">
        <v>255.63095312000041</v>
      </c>
      <c r="I1290">
        <v>0</v>
      </c>
      <c r="J1290">
        <v>0</v>
      </c>
      <c r="K1290">
        <v>3.16</v>
      </c>
      <c r="L1290">
        <v>37.44</v>
      </c>
      <c r="M1290">
        <v>0</v>
      </c>
      <c r="N1290">
        <v>0</v>
      </c>
      <c r="O1290">
        <v>2.5301469899895439</v>
      </c>
      <c r="P1290">
        <v>96140.976567749996</v>
      </c>
    </row>
    <row r="1291" spans="1:16" x14ac:dyDescent="0.25">
      <c r="A1291" s="10">
        <v>39504</v>
      </c>
      <c r="B1291">
        <v>191.84977401001419</v>
      </c>
      <c r="C1291">
        <v>314.90204</v>
      </c>
      <c r="D1291">
        <v>0</v>
      </c>
      <c r="E1291">
        <v>0</v>
      </c>
      <c r="F1291">
        <v>0</v>
      </c>
      <c r="G1291">
        <v>212.232</v>
      </c>
      <c r="H1291">
        <v>-338.45400000000149</v>
      </c>
      <c r="I1291">
        <v>0</v>
      </c>
      <c r="J1291">
        <v>0</v>
      </c>
      <c r="K1291">
        <v>1.9</v>
      </c>
      <c r="L1291">
        <v>0</v>
      </c>
      <c r="M1291">
        <v>0</v>
      </c>
      <c r="N1291">
        <v>0</v>
      </c>
      <c r="O1291">
        <v>1.269734010015668</v>
      </c>
      <c r="P1291">
        <v>96332.82634176001</v>
      </c>
    </row>
    <row r="1292" spans="1:16" x14ac:dyDescent="0.25">
      <c r="A1292" s="10">
        <v>39505</v>
      </c>
      <c r="B1292">
        <v>-478.70750694999811</v>
      </c>
      <c r="C1292">
        <v>0</v>
      </c>
      <c r="D1292">
        <v>0</v>
      </c>
      <c r="E1292">
        <v>0</v>
      </c>
      <c r="F1292">
        <v>0</v>
      </c>
      <c r="G1292">
        <v>-92.437999999999988</v>
      </c>
      <c r="H1292">
        <v>203.1363485599995</v>
      </c>
      <c r="I1292">
        <v>0</v>
      </c>
      <c r="J1292">
        <v>0</v>
      </c>
      <c r="K1292">
        <v>2.327</v>
      </c>
      <c r="L1292">
        <v>-596.14699999999993</v>
      </c>
      <c r="M1292">
        <v>0</v>
      </c>
      <c r="N1292">
        <v>0</v>
      </c>
      <c r="O1292">
        <v>4.4141444900023004</v>
      </c>
      <c r="P1292">
        <v>95854.118834810011</v>
      </c>
    </row>
    <row r="1293" spans="1:16" x14ac:dyDescent="0.25">
      <c r="A1293" s="10">
        <v>39506</v>
      </c>
      <c r="B1293">
        <v>272.45436508998699</v>
      </c>
      <c r="C1293">
        <v>0</v>
      </c>
      <c r="D1293">
        <v>0</v>
      </c>
      <c r="E1293">
        <v>0</v>
      </c>
      <c r="F1293">
        <v>0</v>
      </c>
      <c r="G1293">
        <v>95.256</v>
      </c>
      <c r="H1293">
        <v>134.6738150300007</v>
      </c>
      <c r="I1293">
        <v>0</v>
      </c>
      <c r="J1293">
        <v>0</v>
      </c>
      <c r="K1293">
        <v>2.6030000000000002</v>
      </c>
      <c r="L1293">
        <v>42.307000000000002</v>
      </c>
      <c r="M1293">
        <v>0</v>
      </c>
      <c r="N1293">
        <v>0</v>
      </c>
      <c r="O1293">
        <v>-2.385450040013779</v>
      </c>
      <c r="P1293">
        <v>96126.573199799997</v>
      </c>
    </row>
    <row r="1294" spans="1:16" x14ac:dyDescent="0.25">
      <c r="A1294" s="10">
        <v>39507</v>
      </c>
      <c r="B1294">
        <v>1386.297141200004</v>
      </c>
      <c r="C1294">
        <v>-92.366600000000005</v>
      </c>
      <c r="D1294">
        <v>0</v>
      </c>
      <c r="E1294">
        <v>0</v>
      </c>
      <c r="F1294">
        <v>0</v>
      </c>
      <c r="G1294">
        <v>-134.69999999999999</v>
      </c>
      <c r="H1294">
        <v>1605.351564340001</v>
      </c>
      <c r="I1294">
        <v>0</v>
      </c>
      <c r="J1294">
        <v>0</v>
      </c>
      <c r="K1294">
        <v>3.01</v>
      </c>
      <c r="L1294">
        <v>-0.1199999999999992</v>
      </c>
      <c r="M1294">
        <v>0</v>
      </c>
      <c r="N1294">
        <v>0</v>
      </c>
      <c r="O1294">
        <v>5.122176860003492</v>
      </c>
      <c r="P1294">
        <v>97512.870341000002</v>
      </c>
    </row>
    <row r="1295" spans="1:16" x14ac:dyDescent="0.25">
      <c r="A1295" s="10">
        <v>39510</v>
      </c>
      <c r="B1295">
        <v>1325.152629920005</v>
      </c>
      <c r="C1295">
        <v>-17.374500000000001</v>
      </c>
      <c r="D1295">
        <v>0</v>
      </c>
      <c r="E1295">
        <v>0</v>
      </c>
      <c r="F1295">
        <v>0</v>
      </c>
      <c r="G1295">
        <v>6.1379999999999972</v>
      </c>
      <c r="H1295">
        <v>1326.250386240001</v>
      </c>
      <c r="I1295">
        <v>0</v>
      </c>
      <c r="J1295">
        <v>0</v>
      </c>
      <c r="K1295">
        <v>2.85</v>
      </c>
      <c r="L1295">
        <v>1.03</v>
      </c>
      <c r="M1295">
        <v>0</v>
      </c>
      <c r="N1295">
        <v>0</v>
      </c>
      <c r="O1295">
        <v>6.2587436800038176</v>
      </c>
      <c r="P1295">
        <v>98838.022970920007</v>
      </c>
    </row>
    <row r="1296" spans="1:16" x14ac:dyDescent="0.25">
      <c r="A1296" s="10">
        <v>39511</v>
      </c>
      <c r="B1296">
        <v>-803.88494544006267</v>
      </c>
      <c r="C1296">
        <v>0</v>
      </c>
      <c r="D1296">
        <v>0</v>
      </c>
      <c r="E1296">
        <v>0</v>
      </c>
      <c r="F1296">
        <v>0</v>
      </c>
      <c r="G1296">
        <v>-8.0317803300000037</v>
      </c>
      <c r="H1296">
        <v>-680.04200000000037</v>
      </c>
      <c r="I1296">
        <v>0</v>
      </c>
      <c r="J1296">
        <v>-42.149999999999643</v>
      </c>
      <c r="K1296">
        <v>-2.6079999999999091</v>
      </c>
      <c r="L1296">
        <v>-1.999999999998892E-3</v>
      </c>
      <c r="M1296">
        <v>0</v>
      </c>
      <c r="N1296">
        <v>0</v>
      </c>
      <c r="O1296">
        <v>-71.051165110062811</v>
      </c>
      <c r="P1296">
        <v>98034.138025479944</v>
      </c>
    </row>
    <row r="1297" spans="1:16" x14ac:dyDescent="0.25">
      <c r="A1297" s="10">
        <v>39512</v>
      </c>
      <c r="B1297">
        <v>193.37393203985951</v>
      </c>
      <c r="C1297">
        <v>162.304</v>
      </c>
      <c r="D1297">
        <v>0</v>
      </c>
      <c r="E1297">
        <v>0</v>
      </c>
      <c r="F1297">
        <v>0</v>
      </c>
      <c r="G1297">
        <v>-16.000966380000001</v>
      </c>
      <c r="H1297">
        <v>161.01296200000161</v>
      </c>
      <c r="I1297">
        <v>0</v>
      </c>
      <c r="J1297">
        <v>0</v>
      </c>
      <c r="K1297">
        <v>1.7065999999999999</v>
      </c>
      <c r="L1297">
        <v>-136.3466</v>
      </c>
      <c r="M1297">
        <v>0</v>
      </c>
      <c r="N1297">
        <v>0</v>
      </c>
      <c r="O1297">
        <v>20.697936419857939</v>
      </c>
      <c r="P1297">
        <v>98227.511957519804</v>
      </c>
    </row>
    <row r="1298" spans="1:16" x14ac:dyDescent="0.25">
      <c r="A1298" s="10">
        <v>39513</v>
      </c>
      <c r="B1298">
        <v>-701.50883747008663</v>
      </c>
      <c r="C1298">
        <v>165.82499999999999</v>
      </c>
      <c r="D1298">
        <v>0</v>
      </c>
      <c r="E1298">
        <v>0</v>
      </c>
      <c r="F1298">
        <v>0</v>
      </c>
      <c r="G1298">
        <v>10.073957890000001</v>
      </c>
      <c r="H1298">
        <v>-907.37500000000091</v>
      </c>
      <c r="I1298">
        <v>0</v>
      </c>
      <c r="J1298">
        <v>0</v>
      </c>
      <c r="K1298">
        <v>1.85</v>
      </c>
      <c r="L1298">
        <v>2.4200000000000008</v>
      </c>
      <c r="M1298">
        <v>0</v>
      </c>
      <c r="N1298">
        <v>0</v>
      </c>
      <c r="O1298">
        <v>25.697204639914229</v>
      </c>
      <c r="P1298">
        <v>97526.003120049718</v>
      </c>
    </row>
    <row r="1299" spans="1:16" x14ac:dyDescent="0.25">
      <c r="A1299" s="10">
        <v>39514</v>
      </c>
      <c r="B1299">
        <v>637.58670495028468</v>
      </c>
      <c r="C1299">
        <v>146.732</v>
      </c>
      <c r="D1299">
        <v>0</v>
      </c>
      <c r="E1299">
        <v>-1700</v>
      </c>
      <c r="F1299">
        <v>0</v>
      </c>
      <c r="G1299">
        <v>1687.4326458200001</v>
      </c>
      <c r="H1299">
        <v>487.75929999999971</v>
      </c>
      <c r="I1299">
        <v>0</v>
      </c>
      <c r="J1299">
        <v>0</v>
      </c>
      <c r="K1299">
        <v>18.45</v>
      </c>
      <c r="L1299">
        <v>-0.97999999999999865</v>
      </c>
      <c r="M1299">
        <v>0</v>
      </c>
      <c r="N1299">
        <v>0</v>
      </c>
      <c r="O1299">
        <v>-1.8072408697150879</v>
      </c>
      <c r="P1299">
        <v>98163.589825000003</v>
      </c>
    </row>
    <row r="1300" spans="1:16" x14ac:dyDescent="0.25">
      <c r="A1300" s="10">
        <v>39517</v>
      </c>
      <c r="B1300">
        <v>-131.4536249999951</v>
      </c>
      <c r="C1300">
        <v>0</v>
      </c>
      <c r="D1300">
        <v>0</v>
      </c>
      <c r="E1300">
        <v>0</v>
      </c>
      <c r="F1300">
        <v>0</v>
      </c>
      <c r="G1300">
        <v>-5.6098570000000052</v>
      </c>
      <c r="H1300">
        <v>-138.5799999999999</v>
      </c>
      <c r="I1300">
        <v>0</v>
      </c>
      <c r="J1300">
        <v>0</v>
      </c>
      <c r="K1300">
        <v>1.27</v>
      </c>
      <c r="L1300">
        <v>0</v>
      </c>
      <c r="M1300">
        <v>0</v>
      </c>
      <c r="N1300">
        <v>0</v>
      </c>
      <c r="O1300">
        <v>11.466232000004849</v>
      </c>
      <c r="P1300">
        <v>98032.136200000008</v>
      </c>
    </row>
    <row r="1301" spans="1:16" x14ac:dyDescent="0.25">
      <c r="A1301" s="10">
        <v>39518</v>
      </c>
      <c r="B1301">
        <v>-312.91788400000962</v>
      </c>
      <c r="C1301">
        <v>171.16329999999999</v>
      </c>
      <c r="D1301">
        <v>0</v>
      </c>
      <c r="E1301">
        <v>0</v>
      </c>
      <c r="F1301">
        <v>0</v>
      </c>
      <c r="G1301">
        <v>-7.4708480000000002</v>
      </c>
      <c r="H1301">
        <v>-476.609735</v>
      </c>
      <c r="I1301">
        <v>0</v>
      </c>
      <c r="J1301">
        <v>0</v>
      </c>
      <c r="K1301">
        <v>1.88</v>
      </c>
      <c r="L1301">
        <v>-9.9999999999988987E-3</v>
      </c>
      <c r="M1301">
        <v>0</v>
      </c>
      <c r="N1301">
        <v>0</v>
      </c>
      <c r="O1301">
        <v>-1.870601000009628</v>
      </c>
      <c r="P1301">
        <v>97719.218315999999</v>
      </c>
    </row>
    <row r="1302" spans="1:16" x14ac:dyDescent="0.25">
      <c r="A1302" s="10">
        <v>39519</v>
      </c>
      <c r="B1302">
        <v>-605.2036280000035</v>
      </c>
      <c r="C1302">
        <v>424.09300000000002</v>
      </c>
      <c r="D1302">
        <v>0</v>
      </c>
      <c r="E1302">
        <v>0</v>
      </c>
      <c r="F1302">
        <v>0</v>
      </c>
      <c r="G1302">
        <v>-16.985115</v>
      </c>
      <c r="H1302">
        <v>-296.99327599999918</v>
      </c>
      <c r="I1302">
        <v>0</v>
      </c>
      <c r="J1302">
        <v>0</v>
      </c>
      <c r="K1302">
        <v>2.0739999999999998</v>
      </c>
      <c r="L1302">
        <v>-673.35399999999993</v>
      </c>
      <c r="M1302">
        <v>0</v>
      </c>
      <c r="N1302">
        <v>0</v>
      </c>
      <c r="O1302">
        <v>-44.038237000004273</v>
      </c>
      <c r="P1302">
        <v>97114.014687999996</v>
      </c>
    </row>
    <row r="1303" spans="1:16" x14ac:dyDescent="0.25">
      <c r="A1303" s="10">
        <v>39520</v>
      </c>
      <c r="B1303">
        <v>393.95488100001211</v>
      </c>
      <c r="C1303">
        <v>0</v>
      </c>
      <c r="D1303">
        <v>0</v>
      </c>
      <c r="E1303">
        <v>0</v>
      </c>
      <c r="F1303">
        <v>1000</v>
      </c>
      <c r="G1303">
        <v>-1007.222403</v>
      </c>
      <c r="H1303">
        <v>364.24999999999909</v>
      </c>
      <c r="I1303">
        <v>0</v>
      </c>
      <c r="J1303">
        <v>0</v>
      </c>
      <c r="K1303">
        <v>1.796</v>
      </c>
      <c r="L1303">
        <v>40.834000000000003</v>
      </c>
      <c r="M1303">
        <v>0</v>
      </c>
      <c r="N1303">
        <v>0</v>
      </c>
      <c r="O1303">
        <v>-5.7027159999869923</v>
      </c>
      <c r="P1303">
        <v>97507.969569000008</v>
      </c>
    </row>
    <row r="1304" spans="1:16" x14ac:dyDescent="0.25">
      <c r="A1304" s="10">
        <v>39521</v>
      </c>
      <c r="B1304">
        <v>749.67462499998499</v>
      </c>
      <c r="C1304">
        <v>297.51100000000002</v>
      </c>
      <c r="D1304">
        <v>-125.8</v>
      </c>
      <c r="E1304">
        <v>1700</v>
      </c>
      <c r="F1304">
        <v>0</v>
      </c>
      <c r="G1304">
        <v>-1601.123746</v>
      </c>
      <c r="H1304">
        <v>457.97399999999931</v>
      </c>
      <c r="I1304">
        <v>0</v>
      </c>
      <c r="J1304">
        <v>0</v>
      </c>
      <c r="K1304">
        <v>1.99144023</v>
      </c>
      <c r="L1304">
        <v>26.848559770000001</v>
      </c>
      <c r="M1304">
        <v>0</v>
      </c>
      <c r="N1304">
        <v>0</v>
      </c>
      <c r="O1304">
        <v>-7.7266290000142126</v>
      </c>
      <c r="P1304">
        <v>98257.644193999993</v>
      </c>
    </row>
    <row r="1305" spans="1:16" x14ac:dyDescent="0.25">
      <c r="A1305" s="10">
        <v>39524</v>
      </c>
      <c r="B1305">
        <v>647.25542900001153</v>
      </c>
      <c r="C1305">
        <v>470.45499999999998</v>
      </c>
      <c r="D1305">
        <v>-314.89999999999998</v>
      </c>
      <c r="E1305">
        <v>0</v>
      </c>
      <c r="F1305">
        <v>0</v>
      </c>
      <c r="G1305">
        <v>336.005112</v>
      </c>
      <c r="H1305">
        <v>157.23177600000139</v>
      </c>
      <c r="I1305">
        <v>0</v>
      </c>
      <c r="J1305">
        <v>0</v>
      </c>
      <c r="K1305">
        <v>3.1350804200000009</v>
      </c>
      <c r="L1305">
        <v>-5.1000000000023249E-3</v>
      </c>
      <c r="M1305">
        <v>0</v>
      </c>
      <c r="N1305">
        <v>0</v>
      </c>
      <c r="O1305">
        <v>-4.6664394199899561</v>
      </c>
      <c r="P1305">
        <v>98904.899623000005</v>
      </c>
    </row>
    <row r="1306" spans="1:16" x14ac:dyDescent="0.25">
      <c r="A1306" s="10">
        <v>39525</v>
      </c>
      <c r="B1306">
        <v>-1124.3099309999971</v>
      </c>
      <c r="C1306">
        <v>365.20440000000002</v>
      </c>
      <c r="D1306">
        <v>-59.3</v>
      </c>
      <c r="E1306">
        <v>0</v>
      </c>
      <c r="F1306">
        <v>0</v>
      </c>
      <c r="G1306">
        <v>-36.708177999999997</v>
      </c>
      <c r="H1306">
        <v>-1452.72462</v>
      </c>
      <c r="I1306">
        <v>0</v>
      </c>
      <c r="J1306">
        <v>0</v>
      </c>
      <c r="K1306">
        <v>1.44</v>
      </c>
      <c r="L1306">
        <v>2.9400000000000008</v>
      </c>
      <c r="M1306">
        <v>0</v>
      </c>
      <c r="N1306">
        <v>0</v>
      </c>
      <c r="O1306">
        <v>54.838467000003313</v>
      </c>
      <c r="P1306">
        <v>97780.589692000009</v>
      </c>
    </row>
    <row r="1307" spans="1:16" x14ac:dyDescent="0.25">
      <c r="A1307" s="10">
        <v>39526</v>
      </c>
      <c r="B1307">
        <v>131.3085010599896</v>
      </c>
      <c r="C1307">
        <v>369.25200000000001</v>
      </c>
      <c r="D1307">
        <v>0</v>
      </c>
      <c r="E1307">
        <v>-700</v>
      </c>
      <c r="F1307">
        <v>0</v>
      </c>
      <c r="G1307">
        <v>870.57917799999996</v>
      </c>
      <c r="H1307">
        <v>149.02800000000019</v>
      </c>
      <c r="I1307">
        <v>0</v>
      </c>
      <c r="J1307">
        <v>0</v>
      </c>
      <c r="K1307">
        <v>2.59</v>
      </c>
      <c r="L1307">
        <v>-597.50099999999998</v>
      </c>
      <c r="M1307">
        <v>0</v>
      </c>
      <c r="N1307">
        <v>0</v>
      </c>
      <c r="O1307">
        <v>37.360323059989433</v>
      </c>
      <c r="P1307">
        <v>97911.898193059998</v>
      </c>
    </row>
    <row r="1308" spans="1:16" x14ac:dyDescent="0.25">
      <c r="A1308" s="10">
        <v>39532</v>
      </c>
      <c r="B1308">
        <v>-480.78457381999692</v>
      </c>
      <c r="C1308">
        <v>166</v>
      </c>
      <c r="D1308">
        <v>0</v>
      </c>
      <c r="E1308">
        <v>0</v>
      </c>
      <c r="F1308">
        <v>0</v>
      </c>
      <c r="G1308">
        <v>14.959</v>
      </c>
      <c r="H1308">
        <v>-765.1252050000021</v>
      </c>
      <c r="I1308">
        <v>0</v>
      </c>
      <c r="J1308">
        <v>0</v>
      </c>
      <c r="K1308">
        <v>8.5420975400000003</v>
      </c>
      <c r="L1308">
        <v>60.7</v>
      </c>
      <c r="M1308">
        <v>0</v>
      </c>
      <c r="N1308">
        <v>0</v>
      </c>
      <c r="O1308">
        <v>34.139533640005077</v>
      </c>
      <c r="P1308">
        <v>97431.113619240001</v>
      </c>
    </row>
    <row r="1309" spans="1:16" x14ac:dyDescent="0.25">
      <c r="A1309" s="10">
        <v>39533</v>
      </c>
      <c r="B1309">
        <v>449.31053707002138</v>
      </c>
      <c r="C1309">
        <v>-1.5840000000000001</v>
      </c>
      <c r="D1309">
        <v>0</v>
      </c>
      <c r="E1309">
        <v>0</v>
      </c>
      <c r="F1309">
        <v>0</v>
      </c>
      <c r="G1309">
        <v>8.6808694800000019</v>
      </c>
      <c r="H1309">
        <v>-98.142343760000585</v>
      </c>
      <c r="I1309">
        <v>0</v>
      </c>
      <c r="J1309">
        <v>0</v>
      </c>
      <c r="K1309">
        <v>4.25</v>
      </c>
      <c r="L1309">
        <v>522.90999999999985</v>
      </c>
      <c r="M1309">
        <v>0</v>
      </c>
      <c r="N1309">
        <v>0</v>
      </c>
      <c r="O1309">
        <v>13.19601135002212</v>
      </c>
      <c r="P1309">
        <v>97880.424156310022</v>
      </c>
    </row>
    <row r="1310" spans="1:16" x14ac:dyDescent="0.25">
      <c r="A1310" s="10">
        <v>39534</v>
      </c>
      <c r="B1310">
        <v>-1035.6123483100239</v>
      </c>
      <c r="C1310">
        <v>-161.1694</v>
      </c>
      <c r="D1310">
        <v>-126.688</v>
      </c>
      <c r="E1310">
        <v>0</v>
      </c>
      <c r="F1310">
        <v>0</v>
      </c>
      <c r="G1310">
        <v>-36.926457480000003</v>
      </c>
      <c r="H1310">
        <v>-731.23651599999903</v>
      </c>
      <c r="I1310">
        <v>0</v>
      </c>
      <c r="J1310">
        <v>0</v>
      </c>
      <c r="K1310">
        <v>1.19</v>
      </c>
      <c r="L1310">
        <v>22.6</v>
      </c>
      <c r="M1310">
        <v>0</v>
      </c>
      <c r="N1310">
        <v>0</v>
      </c>
      <c r="O1310">
        <v>-3.3819748300250558</v>
      </c>
      <c r="P1310">
        <v>96844.811807999999</v>
      </c>
    </row>
    <row r="1311" spans="1:16" x14ac:dyDescent="0.25">
      <c r="A1311" s="10">
        <v>39535</v>
      </c>
      <c r="B1311">
        <v>572.83406500000228</v>
      </c>
      <c r="C1311">
        <v>-251.40100000000001</v>
      </c>
      <c r="D1311">
        <v>-164.51759999999999</v>
      </c>
      <c r="E1311">
        <v>0</v>
      </c>
      <c r="F1311">
        <v>0</v>
      </c>
      <c r="G1311">
        <v>-31.64281199999996</v>
      </c>
      <c r="H1311">
        <v>916.51247800000056</v>
      </c>
      <c r="I1311">
        <v>0</v>
      </c>
      <c r="J1311">
        <v>0</v>
      </c>
      <c r="K1311">
        <v>1.1100000000000001</v>
      </c>
      <c r="L1311">
        <v>65.98</v>
      </c>
      <c r="M1311">
        <v>0</v>
      </c>
      <c r="N1311">
        <v>0</v>
      </c>
      <c r="O1311">
        <v>36.792999000001558</v>
      </c>
      <c r="P1311">
        <v>97417.645873000001</v>
      </c>
    </row>
    <row r="1312" spans="1:16" x14ac:dyDescent="0.25">
      <c r="A1312" s="10">
        <v>39538</v>
      </c>
      <c r="B1312">
        <v>1019.036331999989</v>
      </c>
      <c r="C1312">
        <v>-579.97469999999998</v>
      </c>
      <c r="D1312">
        <v>-142</v>
      </c>
      <c r="E1312">
        <v>700</v>
      </c>
      <c r="F1312">
        <v>0</v>
      </c>
      <c r="G1312">
        <v>-390.43500000000017</v>
      </c>
      <c r="H1312">
        <v>1396.5930000000019</v>
      </c>
      <c r="I1312">
        <v>0</v>
      </c>
      <c r="J1312">
        <v>0</v>
      </c>
      <c r="K1312">
        <v>2.5645559199999992</v>
      </c>
      <c r="L1312">
        <v>4.4359999999999999</v>
      </c>
      <c r="M1312">
        <v>0</v>
      </c>
      <c r="N1312">
        <v>0</v>
      </c>
      <c r="O1312">
        <v>27.85247607998701</v>
      </c>
      <c r="P1312">
        <v>98436.68220499999</v>
      </c>
    </row>
    <row r="1313" spans="1:16" x14ac:dyDescent="0.25">
      <c r="A1313" s="10">
        <v>39539</v>
      </c>
      <c r="B1313">
        <v>1635.0328110000121</v>
      </c>
      <c r="C1313">
        <v>-119.99914</v>
      </c>
      <c r="D1313">
        <v>0</v>
      </c>
      <c r="E1313">
        <v>0</v>
      </c>
      <c r="F1313">
        <v>0</v>
      </c>
      <c r="G1313">
        <v>68.257000000000019</v>
      </c>
      <c r="H1313">
        <v>1666.840222999999</v>
      </c>
      <c r="I1313">
        <v>0</v>
      </c>
      <c r="J1313">
        <v>0</v>
      </c>
      <c r="K1313">
        <v>3.1468260800000012</v>
      </c>
      <c r="L1313">
        <v>10.613200000000001</v>
      </c>
      <c r="M1313">
        <v>0</v>
      </c>
      <c r="N1313">
        <v>0</v>
      </c>
      <c r="O1313">
        <v>6.1747019200125211</v>
      </c>
      <c r="P1313">
        <v>100071.715016</v>
      </c>
    </row>
    <row r="1314" spans="1:16" x14ac:dyDescent="0.25">
      <c r="A1314" s="10">
        <v>39541</v>
      </c>
      <c r="B1314">
        <v>-135.2042409999998</v>
      </c>
      <c r="C1314">
        <v>-53.811999999999998</v>
      </c>
      <c r="D1314">
        <v>-524.91840001000003</v>
      </c>
      <c r="E1314">
        <v>0</v>
      </c>
      <c r="F1314">
        <v>0</v>
      </c>
      <c r="G1314">
        <v>515.02081300999998</v>
      </c>
      <c r="H1314">
        <v>74.99199999999928</v>
      </c>
      <c r="I1314">
        <v>0</v>
      </c>
      <c r="J1314">
        <v>-42.409999999999847</v>
      </c>
      <c r="K1314">
        <v>0.23703180999989121</v>
      </c>
      <c r="L1314">
        <v>-41.356999999999999</v>
      </c>
      <c r="M1314">
        <v>0</v>
      </c>
      <c r="N1314">
        <v>0</v>
      </c>
      <c r="O1314">
        <v>-62.956685809999072</v>
      </c>
      <c r="P1314">
        <v>99936.510775000002</v>
      </c>
    </row>
    <row r="1315" spans="1:16" x14ac:dyDescent="0.25">
      <c r="A1315" s="10">
        <v>39542</v>
      </c>
      <c r="B1315">
        <v>-562.99694199999749</v>
      </c>
      <c r="C1315">
        <v>-197.68199999999999</v>
      </c>
      <c r="D1315">
        <v>0</v>
      </c>
      <c r="E1315">
        <v>0</v>
      </c>
      <c r="F1315">
        <v>0</v>
      </c>
      <c r="G1315">
        <v>-19.140412999999999</v>
      </c>
      <c r="H1315">
        <v>-268.9271200000012</v>
      </c>
      <c r="I1315">
        <v>0</v>
      </c>
      <c r="J1315">
        <v>0</v>
      </c>
      <c r="K1315">
        <v>0.75812128000000001</v>
      </c>
      <c r="L1315">
        <v>1.7999999999993581E-3</v>
      </c>
      <c r="M1315">
        <v>0</v>
      </c>
      <c r="N1315">
        <v>0</v>
      </c>
      <c r="O1315">
        <v>-78.007330279996381</v>
      </c>
      <c r="P1315">
        <v>99373.513833000005</v>
      </c>
    </row>
    <row r="1316" spans="1:16" x14ac:dyDescent="0.25">
      <c r="A1316" s="10">
        <v>39545</v>
      </c>
      <c r="B1316">
        <v>-681.56898800001352</v>
      </c>
      <c r="C1316">
        <v>-94.828999999999994</v>
      </c>
      <c r="D1316">
        <v>0</v>
      </c>
      <c r="E1316">
        <v>0</v>
      </c>
      <c r="F1316">
        <v>0</v>
      </c>
      <c r="G1316">
        <v>-2.04000000000002</v>
      </c>
      <c r="H1316">
        <v>-597.76199999999699</v>
      </c>
      <c r="I1316">
        <v>0</v>
      </c>
      <c r="J1316">
        <v>0</v>
      </c>
      <c r="K1316">
        <v>1.51371115</v>
      </c>
      <c r="L1316">
        <v>-3.700000000002035E-3</v>
      </c>
      <c r="M1316">
        <v>0</v>
      </c>
      <c r="N1316">
        <v>0</v>
      </c>
      <c r="O1316">
        <v>11.552000849983489</v>
      </c>
      <c r="P1316">
        <v>98691.944844999991</v>
      </c>
    </row>
    <row r="1317" spans="1:16" x14ac:dyDescent="0.25">
      <c r="A1317" s="10">
        <v>39546</v>
      </c>
      <c r="B1317">
        <v>-894.36682599998267</v>
      </c>
      <c r="C1317">
        <v>0</v>
      </c>
      <c r="D1317">
        <v>0</v>
      </c>
      <c r="E1317">
        <v>0</v>
      </c>
      <c r="F1317">
        <v>0</v>
      </c>
      <c r="G1317">
        <v>-9.4572470000000237</v>
      </c>
      <c r="H1317">
        <v>-911.39457800000127</v>
      </c>
      <c r="I1317">
        <v>0</v>
      </c>
      <c r="J1317">
        <v>0</v>
      </c>
      <c r="K1317">
        <v>1.924212029999999</v>
      </c>
      <c r="L1317">
        <v>-4.2000000000008697E-3</v>
      </c>
      <c r="M1317">
        <v>0</v>
      </c>
      <c r="N1317">
        <v>0</v>
      </c>
      <c r="O1317">
        <v>24.564986970018591</v>
      </c>
      <c r="P1317">
        <v>97797.578019000008</v>
      </c>
    </row>
    <row r="1318" spans="1:16" x14ac:dyDescent="0.25">
      <c r="A1318" s="10">
        <v>39547</v>
      </c>
      <c r="B1318">
        <v>-75.619028000015533</v>
      </c>
      <c r="C1318">
        <v>-72.656999999999996</v>
      </c>
      <c r="D1318">
        <v>0</v>
      </c>
      <c r="E1318">
        <v>0</v>
      </c>
      <c r="F1318">
        <v>0</v>
      </c>
      <c r="G1318">
        <v>-272.78762399999999</v>
      </c>
      <c r="H1318">
        <v>-54.266000000000531</v>
      </c>
      <c r="I1318">
        <v>0</v>
      </c>
      <c r="J1318">
        <v>0</v>
      </c>
      <c r="K1318">
        <v>0.52712574000000001</v>
      </c>
      <c r="L1318">
        <v>311.63290000000001</v>
      </c>
      <c r="M1318">
        <v>0</v>
      </c>
      <c r="N1318">
        <v>0</v>
      </c>
      <c r="O1318">
        <v>11.931570259984991</v>
      </c>
      <c r="P1318">
        <v>97721.958990999992</v>
      </c>
    </row>
    <row r="1319" spans="1:16" x14ac:dyDescent="0.25">
      <c r="A1319" s="10">
        <v>39548</v>
      </c>
      <c r="B1319">
        <v>-61.006264999989369</v>
      </c>
      <c r="C1319">
        <v>0</v>
      </c>
      <c r="D1319">
        <v>0</v>
      </c>
      <c r="E1319">
        <v>0</v>
      </c>
      <c r="F1319">
        <v>0</v>
      </c>
      <c r="G1319">
        <v>-573.86679428000002</v>
      </c>
      <c r="H1319">
        <v>454.10791899999998</v>
      </c>
      <c r="I1319">
        <v>0</v>
      </c>
      <c r="J1319">
        <v>0</v>
      </c>
      <c r="K1319">
        <v>1.748250539999999</v>
      </c>
      <c r="L1319">
        <v>60.231749460000003</v>
      </c>
      <c r="M1319">
        <v>0</v>
      </c>
      <c r="N1319">
        <v>0</v>
      </c>
      <c r="O1319">
        <v>-3.2273897199893899</v>
      </c>
      <c r="P1319">
        <v>97660.952726000003</v>
      </c>
    </row>
    <row r="1320" spans="1:16" x14ac:dyDescent="0.25">
      <c r="A1320" s="10">
        <v>39549</v>
      </c>
      <c r="B1320">
        <v>124.9488339999949</v>
      </c>
      <c r="C1320">
        <v>119.80200000000001</v>
      </c>
      <c r="D1320">
        <v>0</v>
      </c>
      <c r="E1320">
        <v>0</v>
      </c>
      <c r="F1320">
        <v>0</v>
      </c>
      <c r="G1320">
        <v>5.2440000000000033</v>
      </c>
      <c r="H1320">
        <v>31.49042499999905</v>
      </c>
      <c r="I1320">
        <v>0</v>
      </c>
      <c r="J1320">
        <v>0</v>
      </c>
      <c r="K1320">
        <v>1.83906171</v>
      </c>
      <c r="L1320">
        <v>-0.94905999999999935</v>
      </c>
      <c r="M1320">
        <v>0</v>
      </c>
      <c r="N1320">
        <v>0</v>
      </c>
      <c r="O1320">
        <v>-32.477592710004153</v>
      </c>
      <c r="P1320">
        <v>97785.901559999998</v>
      </c>
    </row>
    <row r="1321" spans="1:16" x14ac:dyDescent="0.25">
      <c r="A1321" s="10">
        <v>39552</v>
      </c>
      <c r="B1321">
        <v>-402.08027199999208</v>
      </c>
      <c r="C1321">
        <v>153.58500000000001</v>
      </c>
      <c r="D1321">
        <v>-245.98859999999999</v>
      </c>
      <c r="E1321">
        <v>0</v>
      </c>
      <c r="F1321">
        <v>0</v>
      </c>
      <c r="G1321">
        <v>153.04759999999999</v>
      </c>
      <c r="H1321">
        <v>-488.23900000000049</v>
      </c>
      <c r="I1321">
        <v>0</v>
      </c>
      <c r="J1321">
        <v>0</v>
      </c>
      <c r="K1321">
        <v>19.36506353</v>
      </c>
      <c r="L1321">
        <v>-4.9600000000040723E-3</v>
      </c>
      <c r="M1321">
        <v>0</v>
      </c>
      <c r="N1321">
        <v>0</v>
      </c>
      <c r="O1321">
        <v>6.1547244700083459</v>
      </c>
      <c r="P1321">
        <v>97383.821288000006</v>
      </c>
    </row>
    <row r="1322" spans="1:16" x14ac:dyDescent="0.25">
      <c r="A1322" s="10">
        <v>39553</v>
      </c>
      <c r="B1322">
        <v>-235.47512300001151</v>
      </c>
      <c r="C1322">
        <v>399.358</v>
      </c>
      <c r="D1322">
        <v>-179.9718</v>
      </c>
      <c r="E1322">
        <v>0</v>
      </c>
      <c r="F1322">
        <v>0</v>
      </c>
      <c r="G1322">
        <v>-369.93920000000003</v>
      </c>
      <c r="H1322">
        <v>-110.7759999999998</v>
      </c>
      <c r="I1322">
        <v>0</v>
      </c>
      <c r="J1322">
        <v>0</v>
      </c>
      <c r="K1322">
        <v>4.1272830999999996</v>
      </c>
      <c r="L1322">
        <v>2.7169000000011319E-3</v>
      </c>
      <c r="M1322">
        <v>0</v>
      </c>
      <c r="N1322">
        <v>0</v>
      </c>
      <c r="O1322">
        <v>21.72387699998831</v>
      </c>
      <c r="P1322">
        <v>97148.346164999995</v>
      </c>
    </row>
    <row r="1323" spans="1:16" x14ac:dyDescent="0.25">
      <c r="A1323" s="10">
        <v>39554</v>
      </c>
      <c r="B1323">
        <v>-1466.171269119993</v>
      </c>
      <c r="C1323">
        <v>3.1633</v>
      </c>
      <c r="D1323">
        <v>-395.41250000000002</v>
      </c>
      <c r="E1323">
        <v>0</v>
      </c>
      <c r="F1323">
        <v>0</v>
      </c>
      <c r="G1323">
        <v>882.95150000000001</v>
      </c>
      <c r="H1323">
        <v>-1769.857</v>
      </c>
      <c r="I1323">
        <v>0</v>
      </c>
      <c r="J1323">
        <v>0</v>
      </c>
      <c r="K1323">
        <v>1.98975813</v>
      </c>
      <c r="L1323">
        <v>-200.39975813000001</v>
      </c>
      <c r="M1323">
        <v>0</v>
      </c>
      <c r="N1323">
        <v>0</v>
      </c>
      <c r="O1323">
        <v>11.39343088000714</v>
      </c>
      <c r="P1323">
        <v>95682.174895880002</v>
      </c>
    </row>
    <row r="1324" spans="1:16" x14ac:dyDescent="0.25">
      <c r="A1324" s="10">
        <v>39555</v>
      </c>
      <c r="B1324">
        <v>94.098769119998153</v>
      </c>
      <c r="C1324">
        <v>123.474</v>
      </c>
      <c r="D1324">
        <v>0</v>
      </c>
      <c r="E1324">
        <v>0</v>
      </c>
      <c r="F1324">
        <v>0</v>
      </c>
      <c r="G1324">
        <v>85.817999999999984</v>
      </c>
      <c r="H1324">
        <v>-189.4419999999991</v>
      </c>
      <c r="I1324">
        <v>0</v>
      </c>
      <c r="J1324">
        <v>0</v>
      </c>
      <c r="K1324">
        <v>2.2534943200000002</v>
      </c>
      <c r="L1324">
        <v>55.216506000000003</v>
      </c>
      <c r="M1324">
        <v>0</v>
      </c>
      <c r="N1324">
        <v>0</v>
      </c>
      <c r="O1324">
        <v>16.77876879999728</v>
      </c>
      <c r="P1324">
        <v>95776.273665000001</v>
      </c>
    </row>
    <row r="1325" spans="1:16" x14ac:dyDescent="0.25">
      <c r="A1325" s="10">
        <v>39556</v>
      </c>
      <c r="B1325">
        <v>-68.705188000007411</v>
      </c>
      <c r="C1325">
        <v>-172.49299999999999</v>
      </c>
      <c r="D1325">
        <v>0</v>
      </c>
      <c r="E1325">
        <v>0</v>
      </c>
      <c r="F1325">
        <v>0</v>
      </c>
      <c r="G1325">
        <v>25.568000000000001</v>
      </c>
      <c r="H1325">
        <v>6.91899999999805</v>
      </c>
      <c r="I1325">
        <v>0</v>
      </c>
      <c r="J1325">
        <v>0</v>
      </c>
      <c r="K1325">
        <v>2.2599999999999998</v>
      </c>
      <c r="L1325">
        <v>64.64</v>
      </c>
      <c r="M1325">
        <v>0</v>
      </c>
      <c r="N1325">
        <v>0</v>
      </c>
      <c r="O1325">
        <v>4.4008119999945592</v>
      </c>
      <c r="P1325">
        <v>95707.568476999993</v>
      </c>
    </row>
    <row r="1326" spans="1:16" x14ac:dyDescent="0.25">
      <c r="A1326" s="10">
        <v>39559</v>
      </c>
      <c r="B1326">
        <v>1482.021994000009</v>
      </c>
      <c r="C1326">
        <v>25.388000000000002</v>
      </c>
      <c r="D1326">
        <v>0</v>
      </c>
      <c r="E1326">
        <v>0</v>
      </c>
      <c r="F1326">
        <v>0</v>
      </c>
      <c r="G1326">
        <v>130.875</v>
      </c>
      <c r="H1326">
        <v>1228.9340000000011</v>
      </c>
      <c r="I1326">
        <v>0</v>
      </c>
      <c r="J1326">
        <v>0</v>
      </c>
      <c r="K1326">
        <v>4.1883155099999998</v>
      </c>
      <c r="L1326">
        <v>65.67168448999999</v>
      </c>
      <c r="M1326">
        <v>0</v>
      </c>
      <c r="N1326">
        <v>0</v>
      </c>
      <c r="O1326">
        <v>26.964994000008321</v>
      </c>
      <c r="P1326">
        <v>97189.590471000003</v>
      </c>
    </row>
    <row r="1327" spans="1:16" x14ac:dyDescent="0.25">
      <c r="A1327" s="10">
        <v>39560</v>
      </c>
      <c r="B1327">
        <v>721.90732399999956</v>
      </c>
      <c r="C1327">
        <v>-278.61500000000001</v>
      </c>
      <c r="D1327">
        <v>-222.91499999999999</v>
      </c>
      <c r="E1327">
        <v>0</v>
      </c>
      <c r="F1327">
        <v>0</v>
      </c>
      <c r="G1327">
        <v>215.14400000000001</v>
      </c>
      <c r="H1327">
        <v>980.69299999999748</v>
      </c>
      <c r="I1327">
        <v>0</v>
      </c>
      <c r="J1327">
        <v>0</v>
      </c>
      <c r="K1327">
        <v>1.76</v>
      </c>
      <c r="L1327">
        <v>22.51</v>
      </c>
      <c r="M1327">
        <v>0</v>
      </c>
      <c r="N1327">
        <v>0</v>
      </c>
      <c r="O1327">
        <v>3.3303240000020651</v>
      </c>
      <c r="P1327">
        <v>97911.497795000003</v>
      </c>
    </row>
    <row r="1328" spans="1:16" x14ac:dyDescent="0.25">
      <c r="A1328" s="10">
        <v>39561</v>
      </c>
      <c r="B1328">
        <v>1212.3246369999979</v>
      </c>
      <c r="C1328">
        <v>0</v>
      </c>
      <c r="D1328">
        <v>0</v>
      </c>
      <c r="E1328">
        <v>0</v>
      </c>
      <c r="F1328">
        <v>0</v>
      </c>
      <c r="G1328">
        <v>-6.1880000000000024</v>
      </c>
      <c r="H1328">
        <v>1095.774977999999</v>
      </c>
      <c r="I1328">
        <v>0</v>
      </c>
      <c r="J1328">
        <v>0</v>
      </c>
      <c r="K1328">
        <v>2.17</v>
      </c>
      <c r="L1328">
        <v>118.6</v>
      </c>
      <c r="M1328">
        <v>0</v>
      </c>
      <c r="N1328">
        <v>0</v>
      </c>
      <c r="O1328">
        <v>1.9676589999985481</v>
      </c>
      <c r="P1328">
        <v>99123.822432000001</v>
      </c>
    </row>
    <row r="1329" spans="1:16" x14ac:dyDescent="0.25">
      <c r="A1329" s="10">
        <v>39562</v>
      </c>
      <c r="B1329">
        <v>-78.997401999993343</v>
      </c>
      <c r="C1329">
        <v>0</v>
      </c>
      <c r="D1329">
        <v>-286.947</v>
      </c>
      <c r="E1329">
        <v>0</v>
      </c>
      <c r="F1329">
        <v>0</v>
      </c>
      <c r="G1329">
        <v>285.28399999999999</v>
      </c>
      <c r="H1329">
        <v>-198.074999999998</v>
      </c>
      <c r="I1329">
        <v>0</v>
      </c>
      <c r="J1329">
        <v>0</v>
      </c>
      <c r="K1329">
        <v>2.06516184</v>
      </c>
      <c r="L1329">
        <v>106.04</v>
      </c>
      <c r="M1329">
        <v>0</v>
      </c>
      <c r="N1329">
        <v>0</v>
      </c>
      <c r="O1329">
        <v>12.635436160004669</v>
      </c>
      <c r="P1329">
        <v>99044.825030000007</v>
      </c>
    </row>
    <row r="1330" spans="1:16" x14ac:dyDescent="0.25">
      <c r="A1330" s="10">
        <v>39563</v>
      </c>
      <c r="B1330">
        <v>177.85485799999159</v>
      </c>
      <c r="C1330">
        <v>-1164.538</v>
      </c>
      <c r="D1330">
        <v>0</v>
      </c>
      <c r="E1330">
        <v>0</v>
      </c>
      <c r="F1330">
        <v>0</v>
      </c>
      <c r="G1330">
        <v>-10.68482200000005</v>
      </c>
      <c r="H1330">
        <v>1272.6642539999989</v>
      </c>
      <c r="I1330">
        <v>0</v>
      </c>
      <c r="J1330">
        <v>0</v>
      </c>
      <c r="K1330">
        <v>1.8582722199999999</v>
      </c>
      <c r="L1330">
        <v>64.811727780000012</v>
      </c>
      <c r="M1330">
        <v>0</v>
      </c>
      <c r="N1330">
        <v>0</v>
      </c>
      <c r="O1330">
        <v>13.743425999992439</v>
      </c>
      <c r="P1330">
        <v>99222.679887999999</v>
      </c>
    </row>
    <row r="1331" spans="1:16" x14ac:dyDescent="0.25">
      <c r="A1331" s="10">
        <v>39566</v>
      </c>
      <c r="B1331">
        <v>-1285.5974819999969</v>
      </c>
      <c r="C1331">
        <v>-7.9320000000000022</v>
      </c>
      <c r="D1331">
        <v>0</v>
      </c>
      <c r="E1331">
        <v>0</v>
      </c>
      <c r="F1331">
        <v>450</v>
      </c>
      <c r="G1331">
        <v>-590.46035800000004</v>
      </c>
      <c r="H1331">
        <v>-1204.0356149999991</v>
      </c>
      <c r="I1331">
        <v>0</v>
      </c>
      <c r="J1331">
        <v>0</v>
      </c>
      <c r="K1331">
        <v>3.3762956100000001</v>
      </c>
      <c r="L1331">
        <v>43.393704390000003</v>
      </c>
      <c r="M1331">
        <v>0</v>
      </c>
      <c r="N1331">
        <v>0</v>
      </c>
      <c r="O1331">
        <v>20.060491000001551</v>
      </c>
      <c r="P1331">
        <v>97937.082406000001</v>
      </c>
    </row>
    <row r="1332" spans="1:16" x14ac:dyDescent="0.25">
      <c r="A1332" s="10">
        <v>39567</v>
      </c>
      <c r="B1332">
        <v>-324.8977420000009</v>
      </c>
      <c r="C1332">
        <v>153.6352</v>
      </c>
      <c r="D1332">
        <v>-364.2165</v>
      </c>
      <c r="E1332">
        <v>0</v>
      </c>
      <c r="F1332">
        <v>0</v>
      </c>
      <c r="G1332">
        <v>428.12376899999998</v>
      </c>
      <c r="H1332">
        <v>-568.88676300000043</v>
      </c>
      <c r="I1332">
        <v>0</v>
      </c>
      <c r="J1332">
        <v>0</v>
      </c>
      <c r="K1332">
        <v>0.96302044999999992</v>
      </c>
      <c r="L1332">
        <v>45.63697955</v>
      </c>
      <c r="M1332">
        <v>0</v>
      </c>
      <c r="N1332">
        <v>0</v>
      </c>
      <c r="O1332">
        <v>-20.153448000000541</v>
      </c>
      <c r="P1332">
        <v>97612.184664</v>
      </c>
    </row>
    <row r="1333" spans="1:16" x14ac:dyDescent="0.25">
      <c r="A1333" s="10">
        <v>39568</v>
      </c>
      <c r="B1333">
        <v>487.33634800001181</v>
      </c>
      <c r="C1333">
        <v>56.317999999999991</v>
      </c>
      <c r="D1333">
        <v>0</v>
      </c>
      <c r="E1333">
        <v>0</v>
      </c>
      <c r="F1333">
        <v>0</v>
      </c>
      <c r="G1333">
        <v>-71.094089000000054</v>
      </c>
      <c r="H1333">
        <v>428.01628599999998</v>
      </c>
      <c r="I1333">
        <v>0</v>
      </c>
      <c r="J1333">
        <v>0</v>
      </c>
      <c r="K1333">
        <v>1.6390310699999999</v>
      </c>
      <c r="L1333">
        <v>102.42096893</v>
      </c>
      <c r="M1333">
        <v>0</v>
      </c>
      <c r="N1333">
        <v>0</v>
      </c>
      <c r="O1333">
        <v>-29.963848999988159</v>
      </c>
      <c r="P1333">
        <v>98099.521012000012</v>
      </c>
    </row>
    <row r="1334" spans="1:16" x14ac:dyDescent="0.25">
      <c r="A1334" s="10">
        <v>39570</v>
      </c>
      <c r="B1334">
        <v>2114.615112999993</v>
      </c>
      <c r="C1334">
        <v>320.53910000000002</v>
      </c>
      <c r="D1334">
        <v>0</v>
      </c>
      <c r="E1334">
        <v>0</v>
      </c>
      <c r="F1334">
        <v>0</v>
      </c>
      <c r="G1334">
        <v>6.1510000000000096</v>
      </c>
      <c r="H1334">
        <v>1732.8390000000011</v>
      </c>
      <c r="I1334">
        <v>0</v>
      </c>
      <c r="J1334">
        <v>0</v>
      </c>
      <c r="K1334">
        <v>2.4796867300000009</v>
      </c>
      <c r="L1334">
        <v>47.040313269999999</v>
      </c>
      <c r="M1334">
        <v>0</v>
      </c>
      <c r="N1334">
        <v>0</v>
      </c>
      <c r="O1334">
        <v>5.5660129999919263</v>
      </c>
      <c r="P1334">
        <v>100214.136125</v>
      </c>
    </row>
    <row r="1335" spans="1:16" x14ac:dyDescent="0.25">
      <c r="A1335" s="10">
        <v>39573</v>
      </c>
      <c r="B1335">
        <v>-351.61866700000257</v>
      </c>
      <c r="C1335">
        <v>103.13800000000001</v>
      </c>
      <c r="D1335">
        <v>0</v>
      </c>
      <c r="E1335">
        <v>0</v>
      </c>
      <c r="F1335">
        <v>0</v>
      </c>
      <c r="G1335">
        <v>-0.65209999999999724</v>
      </c>
      <c r="H1335">
        <v>-384.773639</v>
      </c>
      <c r="I1335">
        <v>0</v>
      </c>
      <c r="J1335">
        <v>-42.75</v>
      </c>
      <c r="K1335">
        <v>-2.4402358200000909</v>
      </c>
      <c r="L1335">
        <v>46.990235820000002</v>
      </c>
      <c r="M1335">
        <v>0</v>
      </c>
      <c r="N1335">
        <v>0</v>
      </c>
      <c r="O1335">
        <v>-71.130928000002484</v>
      </c>
      <c r="P1335">
        <v>99862.517458000002</v>
      </c>
    </row>
    <row r="1336" spans="1:16" x14ac:dyDescent="0.25">
      <c r="A1336" s="10">
        <v>39574</v>
      </c>
      <c r="B1336">
        <v>-521.93613900001196</v>
      </c>
      <c r="C1336">
        <v>-145.155</v>
      </c>
      <c r="D1336">
        <v>0</v>
      </c>
      <c r="E1336">
        <v>0</v>
      </c>
      <c r="F1336">
        <v>0</v>
      </c>
      <c r="G1336">
        <v>-14.433315</v>
      </c>
      <c r="H1336">
        <v>-461.98737700000038</v>
      </c>
      <c r="I1336">
        <v>0</v>
      </c>
      <c r="J1336">
        <v>0</v>
      </c>
      <c r="K1336">
        <v>0.79338148999999991</v>
      </c>
      <c r="L1336">
        <v>44.046618510000002</v>
      </c>
      <c r="M1336">
        <v>0</v>
      </c>
      <c r="N1336">
        <v>0</v>
      </c>
      <c r="O1336">
        <v>54.79955299998835</v>
      </c>
      <c r="P1336">
        <v>99340.58131899999</v>
      </c>
    </row>
    <row r="1337" spans="1:16" x14ac:dyDescent="0.25">
      <c r="A1337" s="10">
        <v>39575</v>
      </c>
      <c r="B1337">
        <v>660.1944350000125</v>
      </c>
      <c r="C1337">
        <v>-36.2761</v>
      </c>
      <c r="D1337">
        <v>-53.9495</v>
      </c>
      <c r="E1337">
        <v>0</v>
      </c>
      <c r="F1337">
        <v>0</v>
      </c>
      <c r="G1337">
        <v>47.050915000000003</v>
      </c>
      <c r="H1337">
        <v>-320.08544499999971</v>
      </c>
      <c r="I1337">
        <v>0</v>
      </c>
      <c r="J1337">
        <v>0</v>
      </c>
      <c r="K1337">
        <v>1.31892396</v>
      </c>
      <c r="L1337">
        <v>953.12107603999993</v>
      </c>
      <c r="M1337">
        <v>0</v>
      </c>
      <c r="N1337">
        <v>0</v>
      </c>
      <c r="O1337">
        <v>69.014565000012311</v>
      </c>
      <c r="P1337">
        <v>100000.775754</v>
      </c>
    </row>
    <row r="1338" spans="1:16" x14ac:dyDescent="0.25">
      <c r="A1338" s="10">
        <v>39576</v>
      </c>
      <c r="B1338">
        <v>-460.50407100000348</v>
      </c>
      <c r="C1338">
        <v>-148.916</v>
      </c>
      <c r="D1338">
        <v>0</v>
      </c>
      <c r="E1338">
        <v>0</v>
      </c>
      <c r="F1338">
        <v>0</v>
      </c>
      <c r="G1338">
        <v>-2.2259999999999991</v>
      </c>
      <c r="H1338">
        <v>-445.8149999999996</v>
      </c>
      <c r="I1338">
        <v>0</v>
      </c>
      <c r="J1338">
        <v>0</v>
      </c>
      <c r="K1338">
        <v>0.37192249999999999</v>
      </c>
      <c r="L1338">
        <v>118.9480775</v>
      </c>
      <c r="M1338">
        <v>0</v>
      </c>
      <c r="N1338">
        <v>0</v>
      </c>
      <c r="O1338">
        <v>17.132928999996182</v>
      </c>
      <c r="P1338">
        <v>99540.271682999999</v>
      </c>
    </row>
    <row r="1339" spans="1:16" x14ac:dyDescent="0.25">
      <c r="A1339" s="10">
        <v>39577</v>
      </c>
      <c r="B1339">
        <v>-262.3914643600001</v>
      </c>
      <c r="C1339">
        <v>-387.46600000000001</v>
      </c>
      <c r="D1339">
        <v>0</v>
      </c>
      <c r="E1339">
        <v>0</v>
      </c>
      <c r="F1339">
        <v>0</v>
      </c>
      <c r="G1339">
        <v>-17.96899999999998</v>
      </c>
      <c r="H1339">
        <v>48.230492000000588</v>
      </c>
      <c r="I1339">
        <v>0</v>
      </c>
      <c r="J1339">
        <v>0</v>
      </c>
      <c r="K1339">
        <v>1.2184390199999999</v>
      </c>
      <c r="L1339">
        <v>115.77156098</v>
      </c>
      <c r="M1339">
        <v>0</v>
      </c>
      <c r="N1339">
        <v>0</v>
      </c>
      <c r="O1339">
        <v>-22.176956360000698</v>
      </c>
      <c r="P1339">
        <v>99277.880218639999</v>
      </c>
    </row>
    <row r="1340" spans="1:16" x14ac:dyDescent="0.25">
      <c r="A1340" s="10">
        <v>39580</v>
      </c>
      <c r="B1340">
        <v>176.874349360005</v>
      </c>
      <c r="C1340">
        <v>-545.28099999999995</v>
      </c>
      <c r="D1340">
        <v>-336.82560000000001</v>
      </c>
      <c r="E1340">
        <v>0</v>
      </c>
      <c r="F1340">
        <v>0</v>
      </c>
      <c r="G1340">
        <v>335.52632699999998</v>
      </c>
      <c r="H1340">
        <v>542.26852199999939</v>
      </c>
      <c r="I1340">
        <v>0</v>
      </c>
      <c r="J1340">
        <v>0</v>
      </c>
      <c r="K1340">
        <v>2.2292150300000002</v>
      </c>
      <c r="L1340">
        <v>103.13078496999999</v>
      </c>
      <c r="M1340">
        <v>0</v>
      </c>
      <c r="N1340">
        <v>0</v>
      </c>
      <c r="O1340">
        <v>75.826100360005654</v>
      </c>
      <c r="P1340">
        <v>99454.754568000004</v>
      </c>
    </row>
    <row r="1341" spans="1:16" x14ac:dyDescent="0.25">
      <c r="A1341" s="10">
        <v>39581</v>
      </c>
      <c r="B1341">
        <v>215.1517370000079</v>
      </c>
      <c r="C1341">
        <v>-909.07949999999994</v>
      </c>
      <c r="D1341">
        <v>0</v>
      </c>
      <c r="E1341">
        <v>0</v>
      </c>
      <c r="F1341">
        <v>0</v>
      </c>
      <c r="G1341">
        <v>-10.059727000000001</v>
      </c>
      <c r="H1341">
        <v>1013.069598000001</v>
      </c>
      <c r="I1341">
        <v>0</v>
      </c>
      <c r="J1341">
        <v>0</v>
      </c>
      <c r="K1341">
        <v>1.88423732</v>
      </c>
      <c r="L1341">
        <v>80.235762680000008</v>
      </c>
      <c r="M1341">
        <v>0</v>
      </c>
      <c r="N1341">
        <v>0</v>
      </c>
      <c r="O1341">
        <v>39.101366000006813</v>
      </c>
      <c r="P1341">
        <v>99669.906305000011</v>
      </c>
    </row>
    <row r="1342" spans="1:16" x14ac:dyDescent="0.25">
      <c r="A1342" s="10">
        <v>39582</v>
      </c>
      <c r="B1342">
        <v>474.19375499998557</v>
      </c>
      <c r="C1342">
        <v>-526.94480999999996</v>
      </c>
      <c r="D1342">
        <v>0</v>
      </c>
      <c r="E1342">
        <v>0</v>
      </c>
      <c r="F1342">
        <v>0</v>
      </c>
      <c r="G1342">
        <v>-14.606</v>
      </c>
      <c r="H1342">
        <v>430.50643899999977</v>
      </c>
      <c r="I1342">
        <v>0</v>
      </c>
      <c r="J1342">
        <v>0</v>
      </c>
      <c r="K1342">
        <v>18.7716122</v>
      </c>
      <c r="L1342">
        <v>505.6683878</v>
      </c>
      <c r="M1342">
        <v>0</v>
      </c>
      <c r="N1342">
        <v>0</v>
      </c>
      <c r="O1342">
        <v>60.798125999985757</v>
      </c>
      <c r="P1342">
        <v>100144.10006</v>
      </c>
    </row>
    <row r="1343" spans="1:16" x14ac:dyDescent="0.25">
      <c r="A1343" s="10">
        <v>39583</v>
      </c>
      <c r="B1343">
        <v>741.96631000001787</v>
      </c>
      <c r="C1343">
        <v>-303.33965000000001</v>
      </c>
      <c r="D1343">
        <v>0</v>
      </c>
      <c r="E1343">
        <v>0</v>
      </c>
      <c r="F1343">
        <v>0</v>
      </c>
      <c r="G1343">
        <v>-74.32200000000006</v>
      </c>
      <c r="H1343">
        <v>734.13799999999992</v>
      </c>
      <c r="I1343">
        <v>0</v>
      </c>
      <c r="J1343">
        <v>0</v>
      </c>
      <c r="K1343">
        <v>1.6189181800000001</v>
      </c>
      <c r="L1343">
        <v>280.78108182</v>
      </c>
      <c r="M1343">
        <v>0</v>
      </c>
      <c r="N1343">
        <v>0</v>
      </c>
      <c r="O1343">
        <v>103.0899600000181</v>
      </c>
      <c r="P1343">
        <v>100886.06637</v>
      </c>
    </row>
    <row r="1344" spans="1:16" x14ac:dyDescent="0.25">
      <c r="A1344" s="10">
        <v>39584</v>
      </c>
      <c r="B1344">
        <v>-1160.10637400001</v>
      </c>
      <c r="C1344">
        <v>-290.69510000000002</v>
      </c>
      <c r="D1344">
        <v>0</v>
      </c>
      <c r="E1344">
        <v>0</v>
      </c>
      <c r="F1344">
        <v>0</v>
      </c>
      <c r="G1344">
        <v>35.820138000000007</v>
      </c>
      <c r="H1344">
        <v>-901.41263600000002</v>
      </c>
      <c r="I1344">
        <v>0</v>
      </c>
      <c r="J1344">
        <v>0</v>
      </c>
      <c r="K1344">
        <v>1.0938511099999999</v>
      </c>
      <c r="L1344">
        <v>36.336148889999997</v>
      </c>
      <c r="M1344">
        <v>0</v>
      </c>
      <c r="N1344">
        <v>0</v>
      </c>
      <c r="O1344">
        <v>-41.248776000010139</v>
      </c>
      <c r="P1344">
        <v>99725.959996000005</v>
      </c>
    </row>
    <row r="1345" spans="1:16" x14ac:dyDescent="0.25">
      <c r="A1345" s="10">
        <v>39587</v>
      </c>
      <c r="B1345">
        <v>786.21183999998948</v>
      </c>
      <c r="C1345">
        <v>-83.307000000000002</v>
      </c>
      <c r="D1345">
        <v>-182.36940000000001</v>
      </c>
      <c r="E1345">
        <v>0</v>
      </c>
      <c r="F1345">
        <v>0</v>
      </c>
      <c r="G1345">
        <v>302.04196999999999</v>
      </c>
      <c r="H1345">
        <v>703.24202299999979</v>
      </c>
      <c r="I1345">
        <v>0</v>
      </c>
      <c r="J1345">
        <v>0</v>
      </c>
      <c r="K1345">
        <v>1.6570594000000001</v>
      </c>
      <c r="L1345">
        <v>16.222940600000001</v>
      </c>
      <c r="M1345">
        <v>0</v>
      </c>
      <c r="N1345">
        <v>0</v>
      </c>
      <c r="O1345">
        <v>28.724246999989649</v>
      </c>
      <c r="P1345">
        <v>100512.17183599999</v>
      </c>
    </row>
    <row r="1346" spans="1:16" x14ac:dyDescent="0.25">
      <c r="A1346" s="10">
        <v>39588</v>
      </c>
      <c r="B1346">
        <v>-3043.870980999985</v>
      </c>
      <c r="C1346">
        <v>-411.68939999999998</v>
      </c>
      <c r="D1346">
        <v>0</v>
      </c>
      <c r="E1346">
        <v>0</v>
      </c>
      <c r="F1346">
        <v>0</v>
      </c>
      <c r="G1346">
        <v>-1777.3047079999999</v>
      </c>
      <c r="H1346">
        <v>-907.45961100000022</v>
      </c>
      <c r="I1346">
        <v>0</v>
      </c>
      <c r="J1346">
        <v>0</v>
      </c>
      <c r="K1346">
        <v>0.47171176999999992</v>
      </c>
      <c r="L1346">
        <v>54.458288230000001</v>
      </c>
      <c r="M1346">
        <v>0</v>
      </c>
      <c r="N1346">
        <v>0</v>
      </c>
      <c r="O1346">
        <v>-2.3472619999856761</v>
      </c>
      <c r="P1346">
        <v>97468.300855000009</v>
      </c>
    </row>
    <row r="1347" spans="1:16" x14ac:dyDescent="0.25">
      <c r="A1347" s="10">
        <v>39589</v>
      </c>
      <c r="B1347">
        <v>761.71850800000516</v>
      </c>
      <c r="C1347">
        <v>-223.6645</v>
      </c>
      <c r="D1347">
        <v>0</v>
      </c>
      <c r="E1347">
        <v>0</v>
      </c>
      <c r="F1347">
        <v>0</v>
      </c>
      <c r="G1347">
        <v>1664.5509999999999</v>
      </c>
      <c r="H1347">
        <v>-1040.483541999999</v>
      </c>
      <c r="I1347">
        <v>0</v>
      </c>
      <c r="J1347">
        <v>0</v>
      </c>
      <c r="K1347">
        <v>0.73215649999999999</v>
      </c>
      <c r="L1347">
        <v>356.57784349999997</v>
      </c>
      <c r="M1347">
        <v>0</v>
      </c>
      <c r="N1347">
        <v>0</v>
      </c>
      <c r="O1347">
        <v>4.0055500000044049</v>
      </c>
      <c r="P1347">
        <v>98230.019363000014</v>
      </c>
    </row>
    <row r="1348" spans="1:16" x14ac:dyDescent="0.25">
      <c r="A1348" s="10">
        <v>39590</v>
      </c>
      <c r="B1348">
        <v>-625.21335000000477</v>
      </c>
      <c r="C1348">
        <v>-237.863</v>
      </c>
      <c r="D1348">
        <v>0</v>
      </c>
      <c r="E1348">
        <v>0</v>
      </c>
      <c r="F1348">
        <v>0</v>
      </c>
      <c r="G1348">
        <v>-10.688336000000049</v>
      </c>
      <c r="H1348">
        <v>-402.67628499999859</v>
      </c>
      <c r="I1348">
        <v>0</v>
      </c>
      <c r="J1348">
        <v>0</v>
      </c>
      <c r="K1348">
        <v>0.42345230999999989</v>
      </c>
      <c r="L1348">
        <v>28.346547690000001</v>
      </c>
      <c r="M1348">
        <v>0</v>
      </c>
      <c r="N1348">
        <v>0</v>
      </c>
      <c r="O1348">
        <v>-2.755729000006113</v>
      </c>
      <c r="P1348">
        <v>97604.806013000009</v>
      </c>
    </row>
    <row r="1349" spans="1:16" x14ac:dyDescent="0.25">
      <c r="A1349" s="10">
        <v>39591</v>
      </c>
      <c r="B1349">
        <v>-565.96639000000073</v>
      </c>
      <c r="C1349">
        <v>-596.40200000000004</v>
      </c>
      <c r="D1349">
        <v>0</v>
      </c>
      <c r="E1349">
        <v>0</v>
      </c>
      <c r="F1349">
        <v>0</v>
      </c>
      <c r="G1349">
        <v>-8.6915220000000204</v>
      </c>
      <c r="H1349">
        <v>-69.342000000000553</v>
      </c>
      <c r="I1349">
        <v>0</v>
      </c>
      <c r="J1349">
        <v>0</v>
      </c>
      <c r="K1349">
        <v>0.54710081999999993</v>
      </c>
      <c r="L1349">
        <v>96.402899180000006</v>
      </c>
      <c r="M1349">
        <v>0</v>
      </c>
      <c r="N1349">
        <v>0</v>
      </c>
      <c r="O1349">
        <v>11.51913200000001</v>
      </c>
      <c r="P1349">
        <v>97038.839623000007</v>
      </c>
    </row>
    <row r="1350" spans="1:16" x14ac:dyDescent="0.25">
      <c r="A1350" s="10">
        <v>39594</v>
      </c>
      <c r="B1350">
        <v>964.11962799999969</v>
      </c>
      <c r="C1350">
        <v>0</v>
      </c>
      <c r="D1350">
        <v>0</v>
      </c>
      <c r="E1350">
        <v>0</v>
      </c>
      <c r="F1350">
        <v>0</v>
      </c>
      <c r="G1350">
        <v>-6.2629949999999992</v>
      </c>
      <c r="H1350">
        <v>883.15087999999923</v>
      </c>
      <c r="I1350">
        <v>0</v>
      </c>
      <c r="J1350">
        <v>0</v>
      </c>
      <c r="K1350">
        <v>2.3953741700000002</v>
      </c>
      <c r="L1350">
        <v>72.164625830000006</v>
      </c>
      <c r="M1350">
        <v>0</v>
      </c>
      <c r="N1350">
        <v>0</v>
      </c>
      <c r="O1350">
        <v>12.671743000000561</v>
      </c>
      <c r="P1350">
        <v>98002.959251000007</v>
      </c>
    </row>
    <row r="1351" spans="1:16" x14ac:dyDescent="0.25">
      <c r="A1351" s="10">
        <v>39595</v>
      </c>
      <c r="B1351">
        <v>-1420.3956869999961</v>
      </c>
      <c r="C1351">
        <v>-617.96906000000001</v>
      </c>
      <c r="D1351">
        <v>-12.534000000000001</v>
      </c>
      <c r="E1351">
        <v>0</v>
      </c>
      <c r="F1351">
        <v>0</v>
      </c>
      <c r="G1351">
        <v>-123.483892</v>
      </c>
      <c r="H1351">
        <v>-674.51098999999977</v>
      </c>
      <c r="I1351">
        <v>0</v>
      </c>
      <c r="J1351">
        <v>0</v>
      </c>
      <c r="K1351">
        <v>0.96733789000000026</v>
      </c>
      <c r="L1351">
        <v>26.432662109999999</v>
      </c>
      <c r="M1351">
        <v>0</v>
      </c>
      <c r="N1351">
        <v>0</v>
      </c>
      <c r="O1351">
        <v>-19.2977449999964</v>
      </c>
      <c r="P1351">
        <v>96582.563564000011</v>
      </c>
    </row>
    <row r="1352" spans="1:16" x14ac:dyDescent="0.25">
      <c r="A1352" s="10">
        <v>39596</v>
      </c>
      <c r="B1352">
        <v>-116.3137740000097</v>
      </c>
      <c r="C1352">
        <v>-133.70400000000001</v>
      </c>
      <c r="D1352">
        <v>0</v>
      </c>
      <c r="E1352">
        <v>0</v>
      </c>
      <c r="F1352">
        <v>0</v>
      </c>
      <c r="G1352">
        <v>105.901235</v>
      </c>
      <c r="H1352">
        <v>-198.24487499999941</v>
      </c>
      <c r="I1352">
        <v>0</v>
      </c>
      <c r="J1352">
        <v>0</v>
      </c>
      <c r="K1352">
        <v>1.82324208</v>
      </c>
      <c r="L1352">
        <v>138.14675792</v>
      </c>
      <c r="M1352">
        <v>0</v>
      </c>
      <c r="N1352">
        <v>0</v>
      </c>
      <c r="O1352">
        <v>-30.23613400001031</v>
      </c>
      <c r="P1352">
        <v>96466.249790000002</v>
      </c>
    </row>
    <row r="1353" spans="1:16" x14ac:dyDescent="0.25">
      <c r="A1353" s="10">
        <v>39597</v>
      </c>
      <c r="B1353">
        <v>97.281491000001665</v>
      </c>
      <c r="C1353">
        <v>-0.93400000000000005</v>
      </c>
      <c r="D1353">
        <v>0</v>
      </c>
      <c r="E1353">
        <v>0</v>
      </c>
      <c r="F1353">
        <v>950</v>
      </c>
      <c r="G1353">
        <v>-950.14587299999994</v>
      </c>
      <c r="H1353">
        <v>-10.26521200000025</v>
      </c>
      <c r="I1353">
        <v>0</v>
      </c>
      <c r="J1353">
        <v>0</v>
      </c>
      <c r="K1353">
        <v>1.60611222</v>
      </c>
      <c r="L1353">
        <v>145.95388778</v>
      </c>
      <c r="M1353">
        <v>0</v>
      </c>
      <c r="N1353">
        <v>0</v>
      </c>
      <c r="O1353">
        <v>-38.933423999998183</v>
      </c>
      <c r="P1353">
        <v>96563.531281000003</v>
      </c>
    </row>
    <row r="1354" spans="1:16" x14ac:dyDescent="0.25">
      <c r="A1354" s="10">
        <v>39598</v>
      </c>
      <c r="B1354">
        <v>692.62085400000774</v>
      </c>
      <c r="C1354">
        <v>-28.853999999999999</v>
      </c>
      <c r="D1354">
        <v>0</v>
      </c>
      <c r="E1354">
        <v>0</v>
      </c>
      <c r="F1354">
        <v>0</v>
      </c>
      <c r="G1354">
        <v>-117.728655</v>
      </c>
      <c r="H1354">
        <v>749.34875300000022</v>
      </c>
      <c r="I1354">
        <v>0</v>
      </c>
      <c r="J1354">
        <v>0</v>
      </c>
      <c r="K1354">
        <v>1.0395951699999999</v>
      </c>
      <c r="L1354">
        <v>89.200404829999997</v>
      </c>
      <c r="M1354">
        <v>0</v>
      </c>
      <c r="N1354">
        <v>0</v>
      </c>
      <c r="O1354">
        <v>-0.38524399999255371</v>
      </c>
      <c r="P1354">
        <v>97256.152135000011</v>
      </c>
    </row>
    <row r="1355" spans="1:16" x14ac:dyDescent="0.25">
      <c r="A1355" s="10">
        <v>39601</v>
      </c>
      <c r="B1355">
        <v>1965.221317999996</v>
      </c>
      <c r="C1355">
        <v>-28.792999999999999</v>
      </c>
      <c r="D1355">
        <v>-278.38799999999998</v>
      </c>
      <c r="E1355">
        <v>0</v>
      </c>
      <c r="F1355">
        <v>0</v>
      </c>
      <c r="G1355">
        <v>275.21376099999998</v>
      </c>
      <c r="H1355">
        <v>2037.63</v>
      </c>
      <c r="I1355">
        <v>0</v>
      </c>
      <c r="J1355">
        <v>0</v>
      </c>
      <c r="K1355">
        <v>2.37969366</v>
      </c>
      <c r="L1355">
        <v>88.990306340000004</v>
      </c>
      <c r="M1355">
        <v>0</v>
      </c>
      <c r="N1355">
        <v>0</v>
      </c>
      <c r="O1355">
        <v>-131.81144300000409</v>
      </c>
      <c r="P1355">
        <v>99221.373453000007</v>
      </c>
    </row>
    <row r="1356" spans="1:16" x14ac:dyDescent="0.25">
      <c r="A1356" s="10">
        <v>39602</v>
      </c>
      <c r="B1356">
        <v>553.37855999998305</v>
      </c>
      <c r="C1356">
        <v>-0.92300000000000004</v>
      </c>
      <c r="D1356">
        <v>0</v>
      </c>
      <c r="E1356">
        <v>0</v>
      </c>
      <c r="F1356">
        <v>0</v>
      </c>
      <c r="G1356">
        <v>-8.7237230000000068</v>
      </c>
      <c r="H1356">
        <v>597.56623700000046</v>
      </c>
      <c r="I1356">
        <v>0</v>
      </c>
      <c r="J1356">
        <v>-43.199999999999818</v>
      </c>
      <c r="K1356">
        <v>-2.8644385199999269</v>
      </c>
      <c r="L1356">
        <v>57.43443852</v>
      </c>
      <c r="M1356">
        <v>0</v>
      </c>
      <c r="N1356">
        <v>0</v>
      </c>
      <c r="O1356">
        <v>-45.910954000017682</v>
      </c>
      <c r="P1356">
        <v>99774.75201299999</v>
      </c>
    </row>
    <row r="1357" spans="1:16" x14ac:dyDescent="0.25">
      <c r="A1357" s="10">
        <v>39603</v>
      </c>
      <c r="B1357">
        <v>228.93309700001581</v>
      </c>
      <c r="C1357">
        <v>8.266</v>
      </c>
      <c r="D1357">
        <v>0</v>
      </c>
      <c r="E1357">
        <v>0</v>
      </c>
      <c r="F1357">
        <v>0</v>
      </c>
      <c r="G1357">
        <v>-8.3539999999999992</v>
      </c>
      <c r="H1357">
        <v>-422.7377890000007</v>
      </c>
      <c r="I1357">
        <v>0</v>
      </c>
      <c r="J1357">
        <v>0</v>
      </c>
      <c r="K1357">
        <v>0.21972282000000001</v>
      </c>
      <c r="L1357">
        <v>659.23027718000003</v>
      </c>
      <c r="M1357">
        <v>0</v>
      </c>
      <c r="N1357">
        <v>0</v>
      </c>
      <c r="O1357">
        <v>-7.6911139999835427</v>
      </c>
      <c r="P1357">
        <v>100003.68511000001</v>
      </c>
    </row>
    <row r="1358" spans="1:16" x14ac:dyDescent="0.25">
      <c r="A1358" s="10">
        <v>39604</v>
      </c>
      <c r="B1358">
        <v>-579.24854900001037</v>
      </c>
      <c r="C1358">
        <v>-216.77549999999999</v>
      </c>
      <c r="D1358">
        <v>0</v>
      </c>
      <c r="E1358">
        <v>0</v>
      </c>
      <c r="F1358">
        <v>0</v>
      </c>
      <c r="G1358">
        <v>-8.0277010000000075</v>
      </c>
      <c r="H1358">
        <v>-421.02689999999978</v>
      </c>
      <c r="I1358">
        <v>0</v>
      </c>
      <c r="J1358">
        <v>0</v>
      </c>
      <c r="K1358">
        <v>0.27266181</v>
      </c>
      <c r="L1358">
        <v>74.127338189999989</v>
      </c>
      <c r="M1358">
        <v>0</v>
      </c>
      <c r="N1358">
        <v>0</v>
      </c>
      <c r="O1358">
        <v>-7.8184480000104486</v>
      </c>
      <c r="P1358">
        <v>99424.436560999995</v>
      </c>
    </row>
    <row r="1359" spans="1:16" x14ac:dyDescent="0.25">
      <c r="A1359" s="10">
        <v>39605</v>
      </c>
      <c r="B1359">
        <v>449.73250300002093</v>
      </c>
      <c r="C1359">
        <v>-366.1755</v>
      </c>
      <c r="D1359">
        <v>0</v>
      </c>
      <c r="E1359">
        <v>0</v>
      </c>
      <c r="F1359">
        <v>0</v>
      </c>
      <c r="G1359">
        <v>-89.473299000000026</v>
      </c>
      <c r="H1359">
        <v>749.33940819999953</v>
      </c>
      <c r="I1359">
        <v>0</v>
      </c>
      <c r="J1359">
        <v>0</v>
      </c>
      <c r="K1359">
        <v>0.8</v>
      </c>
      <c r="L1359">
        <v>119.6</v>
      </c>
      <c r="M1359">
        <v>0</v>
      </c>
      <c r="N1359">
        <v>0</v>
      </c>
      <c r="O1359">
        <v>35.641893800021421</v>
      </c>
      <c r="P1359">
        <v>99874.169064000016</v>
      </c>
    </row>
    <row r="1360" spans="1:16" x14ac:dyDescent="0.25">
      <c r="A1360" s="10">
        <v>39608</v>
      </c>
      <c r="B1360">
        <v>-173.7297400000096</v>
      </c>
      <c r="C1360">
        <v>-319.08499999999998</v>
      </c>
      <c r="D1360">
        <v>0</v>
      </c>
      <c r="E1360">
        <v>0</v>
      </c>
      <c r="F1360">
        <v>0</v>
      </c>
      <c r="G1360">
        <v>-25.337999999999969</v>
      </c>
      <c r="H1360">
        <v>31.388999999999669</v>
      </c>
      <c r="I1360">
        <v>0</v>
      </c>
      <c r="J1360">
        <v>0</v>
      </c>
      <c r="K1360">
        <v>0.69253576000000006</v>
      </c>
      <c r="L1360">
        <v>65.957464240000007</v>
      </c>
      <c r="M1360">
        <v>0</v>
      </c>
      <c r="N1360">
        <v>0</v>
      </c>
      <c r="O1360">
        <v>72.654259999990714</v>
      </c>
      <c r="P1360">
        <v>99700.439324000006</v>
      </c>
    </row>
    <row r="1361" spans="1:16" x14ac:dyDescent="0.25">
      <c r="A1361" s="10">
        <v>39609</v>
      </c>
      <c r="B1361">
        <v>10.82860799999594</v>
      </c>
      <c r="C1361">
        <v>-34.570900000000002</v>
      </c>
      <c r="D1361">
        <v>0</v>
      </c>
      <c r="E1361">
        <v>0</v>
      </c>
      <c r="F1361">
        <v>0</v>
      </c>
      <c r="G1361">
        <v>20.28466899999998</v>
      </c>
      <c r="H1361">
        <v>-69.653172000000268</v>
      </c>
      <c r="I1361">
        <v>0</v>
      </c>
      <c r="J1361">
        <v>0</v>
      </c>
      <c r="K1361">
        <v>0.47381823000000012</v>
      </c>
      <c r="L1361">
        <v>50.616181769999997</v>
      </c>
      <c r="M1361">
        <v>0</v>
      </c>
      <c r="N1361">
        <v>0</v>
      </c>
      <c r="O1361">
        <v>43.678010999996218</v>
      </c>
      <c r="P1361">
        <v>99711.267932000002</v>
      </c>
    </row>
    <row r="1362" spans="1:16" x14ac:dyDescent="0.25">
      <c r="A1362" s="10">
        <v>39610</v>
      </c>
      <c r="B1362">
        <v>806.53982800000836</v>
      </c>
      <c r="C1362">
        <v>-47.13</v>
      </c>
      <c r="D1362">
        <v>-171.4272</v>
      </c>
      <c r="E1362">
        <v>0</v>
      </c>
      <c r="F1362">
        <v>0</v>
      </c>
      <c r="G1362">
        <v>235.673531</v>
      </c>
      <c r="H1362">
        <v>-184.32417100000021</v>
      </c>
      <c r="I1362">
        <v>0</v>
      </c>
      <c r="J1362">
        <v>0</v>
      </c>
      <c r="K1362">
        <v>0.31398594000000002</v>
      </c>
      <c r="L1362">
        <v>963.73601405999989</v>
      </c>
      <c r="M1362">
        <v>0</v>
      </c>
      <c r="N1362">
        <v>0</v>
      </c>
      <c r="O1362">
        <v>9.697668000008612</v>
      </c>
      <c r="P1362">
        <v>100517.80776</v>
      </c>
    </row>
    <row r="1363" spans="1:16" x14ac:dyDescent="0.25">
      <c r="A1363" s="10">
        <v>39611</v>
      </c>
      <c r="B1363">
        <v>-302.81512400000082</v>
      </c>
      <c r="C1363">
        <v>-13.442</v>
      </c>
      <c r="D1363">
        <v>0</v>
      </c>
      <c r="E1363">
        <v>0</v>
      </c>
      <c r="F1363">
        <v>0</v>
      </c>
      <c r="G1363">
        <v>-16.422000000000001</v>
      </c>
      <c r="H1363">
        <v>-337.64419199999969</v>
      </c>
      <c r="I1363">
        <v>0</v>
      </c>
      <c r="J1363">
        <v>0</v>
      </c>
      <c r="K1363">
        <v>15.56112727</v>
      </c>
      <c r="L1363">
        <v>114.33887273000001</v>
      </c>
      <c r="M1363">
        <v>0</v>
      </c>
      <c r="N1363">
        <v>0</v>
      </c>
      <c r="O1363">
        <v>-65.206932000001032</v>
      </c>
      <c r="P1363">
        <v>100214.992636</v>
      </c>
    </row>
    <row r="1364" spans="1:16" x14ac:dyDescent="0.25">
      <c r="A1364" s="10">
        <v>39612</v>
      </c>
      <c r="B1364">
        <v>-208.0522190000049</v>
      </c>
      <c r="C1364">
        <v>-40.477900000000012</v>
      </c>
      <c r="D1364">
        <v>0</v>
      </c>
      <c r="E1364">
        <v>0</v>
      </c>
      <c r="F1364">
        <v>0</v>
      </c>
      <c r="G1364">
        <v>-9.910773000000006</v>
      </c>
      <c r="H1364">
        <v>-255.22999999999871</v>
      </c>
      <c r="I1364">
        <v>0</v>
      </c>
      <c r="J1364">
        <v>0</v>
      </c>
      <c r="K1364">
        <v>0.82022638999999997</v>
      </c>
      <c r="L1364">
        <v>57.699773609999987</v>
      </c>
      <c r="M1364">
        <v>0</v>
      </c>
      <c r="N1364">
        <v>0</v>
      </c>
      <c r="O1364">
        <v>39.046453999993759</v>
      </c>
      <c r="P1364">
        <v>100006.94041700001</v>
      </c>
    </row>
    <row r="1365" spans="1:16" x14ac:dyDescent="0.25">
      <c r="A1365" s="10">
        <v>39616</v>
      </c>
      <c r="B1365">
        <v>229.87279399999551</v>
      </c>
      <c r="C1365">
        <v>-31.311</v>
      </c>
      <c r="D1365">
        <v>-121.372</v>
      </c>
      <c r="E1365">
        <v>0</v>
      </c>
      <c r="F1365">
        <v>0</v>
      </c>
      <c r="G1365">
        <v>114.374773</v>
      </c>
      <c r="H1365">
        <v>69.22899999999936</v>
      </c>
      <c r="I1365">
        <v>0</v>
      </c>
      <c r="J1365">
        <v>0</v>
      </c>
      <c r="K1365">
        <v>2.4817423500000002</v>
      </c>
      <c r="L1365">
        <v>54.318257650000007</v>
      </c>
      <c r="M1365">
        <v>0</v>
      </c>
      <c r="N1365">
        <v>0</v>
      </c>
      <c r="O1365">
        <v>142.1520209999961</v>
      </c>
      <c r="P1365">
        <v>100236.813211</v>
      </c>
    </row>
    <row r="1366" spans="1:16" x14ac:dyDescent="0.25">
      <c r="A1366" s="10">
        <v>39617</v>
      </c>
      <c r="B1366">
        <v>-772.4038730000027</v>
      </c>
      <c r="C1366">
        <v>0</v>
      </c>
      <c r="D1366">
        <v>0</v>
      </c>
      <c r="E1366">
        <v>0</v>
      </c>
      <c r="F1366">
        <v>0</v>
      </c>
      <c r="G1366">
        <v>-36</v>
      </c>
      <c r="H1366">
        <v>-1490.523592</v>
      </c>
      <c r="I1366">
        <v>0</v>
      </c>
      <c r="J1366">
        <v>0</v>
      </c>
      <c r="K1366">
        <v>0.61</v>
      </c>
      <c r="L1366">
        <v>558.46</v>
      </c>
      <c r="M1366">
        <v>0</v>
      </c>
      <c r="N1366">
        <v>0</v>
      </c>
      <c r="O1366">
        <v>195.04971899999779</v>
      </c>
      <c r="P1366">
        <v>99464.409337999998</v>
      </c>
    </row>
    <row r="1367" spans="1:16" x14ac:dyDescent="0.25">
      <c r="A1367" s="10">
        <v>39618</v>
      </c>
      <c r="B1367">
        <v>152.79411200000291</v>
      </c>
      <c r="C1367">
        <v>-0.9</v>
      </c>
      <c r="D1367">
        <v>0</v>
      </c>
      <c r="E1367">
        <v>0</v>
      </c>
      <c r="F1367">
        <v>0</v>
      </c>
      <c r="G1367">
        <v>161.01</v>
      </c>
      <c r="H1367">
        <v>-251.01590900000059</v>
      </c>
      <c r="I1367">
        <v>0</v>
      </c>
      <c r="J1367">
        <v>0</v>
      </c>
      <c r="K1367">
        <v>0.74673168000000001</v>
      </c>
      <c r="L1367">
        <v>13.35326832</v>
      </c>
      <c r="M1367">
        <v>0</v>
      </c>
      <c r="N1367">
        <v>0</v>
      </c>
      <c r="O1367">
        <v>229.60002100000361</v>
      </c>
      <c r="P1367">
        <v>99617.203450000001</v>
      </c>
    </row>
    <row r="1368" spans="1:16" x14ac:dyDescent="0.25">
      <c r="A1368" s="10">
        <v>39619</v>
      </c>
      <c r="B1368">
        <v>2577.695137000002</v>
      </c>
      <c r="C1368">
        <v>-0.90800000000000003</v>
      </c>
      <c r="D1368">
        <v>0</v>
      </c>
      <c r="E1368">
        <v>0</v>
      </c>
      <c r="F1368">
        <v>1000</v>
      </c>
      <c r="G1368">
        <v>-689.63400000000001</v>
      </c>
      <c r="H1368">
        <v>1875.942741000001</v>
      </c>
      <c r="I1368">
        <v>0</v>
      </c>
      <c r="J1368">
        <v>0</v>
      </c>
      <c r="K1368">
        <v>1.4287316699999999</v>
      </c>
      <c r="L1368">
        <v>103.97126833</v>
      </c>
      <c r="M1368">
        <v>0</v>
      </c>
      <c r="N1368">
        <v>0</v>
      </c>
      <c r="O1368">
        <v>286.89439600000139</v>
      </c>
      <c r="P1368">
        <v>102194.898587</v>
      </c>
    </row>
    <row r="1369" spans="1:16" x14ac:dyDescent="0.25">
      <c r="A1369" s="10">
        <v>39622</v>
      </c>
      <c r="B1369">
        <v>-24.51301299998882</v>
      </c>
      <c r="C1369">
        <v>-31.12</v>
      </c>
      <c r="D1369">
        <v>-803.3732</v>
      </c>
      <c r="E1369">
        <v>0</v>
      </c>
      <c r="F1369">
        <v>0</v>
      </c>
      <c r="G1369">
        <v>965.63582299999996</v>
      </c>
      <c r="H1369">
        <v>-217.8576900000007</v>
      </c>
      <c r="I1369">
        <v>0</v>
      </c>
      <c r="J1369">
        <v>0</v>
      </c>
      <c r="K1369">
        <v>1.4432834000000001</v>
      </c>
      <c r="L1369">
        <v>-3.283400000000825E-3</v>
      </c>
      <c r="M1369">
        <v>0</v>
      </c>
      <c r="N1369">
        <v>0</v>
      </c>
      <c r="O1369">
        <v>60.762054000011958</v>
      </c>
      <c r="P1369">
        <v>102170.385574</v>
      </c>
    </row>
    <row r="1370" spans="1:16" x14ac:dyDescent="0.25">
      <c r="A1370" s="10">
        <v>39623</v>
      </c>
      <c r="B1370">
        <v>104.1987499999955</v>
      </c>
      <c r="C1370">
        <v>-22.022600000000001</v>
      </c>
      <c r="D1370">
        <v>0</v>
      </c>
      <c r="E1370">
        <v>0</v>
      </c>
      <c r="F1370">
        <v>0</v>
      </c>
      <c r="G1370">
        <v>-147.49877000000001</v>
      </c>
      <c r="H1370">
        <v>172.1921890000003</v>
      </c>
      <c r="I1370">
        <v>0</v>
      </c>
      <c r="J1370">
        <v>0</v>
      </c>
      <c r="K1370">
        <v>0.63369027</v>
      </c>
      <c r="L1370">
        <v>-9.3690270000001519E-2</v>
      </c>
      <c r="M1370">
        <v>0</v>
      </c>
      <c r="N1370">
        <v>0</v>
      </c>
      <c r="O1370">
        <v>100.9879309999951</v>
      </c>
      <c r="P1370">
        <v>102274.584324</v>
      </c>
    </row>
    <row r="1371" spans="1:16" x14ac:dyDescent="0.25">
      <c r="A1371" s="10">
        <v>39624</v>
      </c>
      <c r="B1371">
        <v>-166.6986150000013</v>
      </c>
      <c r="C1371">
        <v>-14.473000000000001</v>
      </c>
      <c r="D1371">
        <v>0</v>
      </c>
      <c r="E1371">
        <v>0</v>
      </c>
      <c r="F1371">
        <v>0</v>
      </c>
      <c r="G1371">
        <v>7.3591470000000143</v>
      </c>
      <c r="H1371">
        <v>-1096.675999999999</v>
      </c>
      <c r="I1371">
        <v>0</v>
      </c>
      <c r="J1371">
        <v>0</v>
      </c>
      <c r="K1371">
        <v>1.02467598</v>
      </c>
      <c r="L1371">
        <v>753.20532402000003</v>
      </c>
      <c r="M1371">
        <v>0</v>
      </c>
      <c r="N1371">
        <v>0</v>
      </c>
      <c r="O1371">
        <v>182.86123799999831</v>
      </c>
      <c r="P1371">
        <v>102107.88570899999</v>
      </c>
    </row>
    <row r="1372" spans="1:16" x14ac:dyDescent="0.25">
      <c r="A1372" s="10">
        <v>39625</v>
      </c>
      <c r="B1372">
        <v>-117.7123470000075</v>
      </c>
      <c r="C1372">
        <v>-57.459000000000003</v>
      </c>
      <c r="D1372">
        <v>0</v>
      </c>
      <c r="E1372">
        <v>0</v>
      </c>
      <c r="F1372">
        <v>0</v>
      </c>
      <c r="G1372">
        <v>104.32299999999999</v>
      </c>
      <c r="H1372">
        <v>-325.44839700000011</v>
      </c>
      <c r="I1372">
        <v>0</v>
      </c>
      <c r="J1372">
        <v>0</v>
      </c>
      <c r="K1372">
        <v>0.92013910000000021</v>
      </c>
      <c r="L1372">
        <v>-1.3910000000016959E-4</v>
      </c>
      <c r="M1372">
        <v>0</v>
      </c>
      <c r="N1372">
        <v>0</v>
      </c>
      <c r="O1372">
        <v>159.95204999999251</v>
      </c>
      <c r="P1372">
        <v>101990.173362</v>
      </c>
    </row>
    <row r="1373" spans="1:16" x14ac:dyDescent="0.25">
      <c r="A1373" s="10">
        <v>39626</v>
      </c>
      <c r="B1373">
        <v>-920.2103000000061</v>
      </c>
      <c r="C1373">
        <v>-416.77068000000003</v>
      </c>
      <c r="D1373">
        <v>0</v>
      </c>
      <c r="E1373">
        <v>0</v>
      </c>
      <c r="F1373">
        <v>0</v>
      </c>
      <c r="G1373">
        <v>-52.766473000000019</v>
      </c>
      <c r="H1373">
        <v>-705.99058500000046</v>
      </c>
      <c r="I1373">
        <v>0</v>
      </c>
      <c r="J1373">
        <v>0</v>
      </c>
      <c r="K1373">
        <v>0.88669585999999989</v>
      </c>
      <c r="L1373">
        <v>41.403304140000003</v>
      </c>
      <c r="M1373">
        <v>0</v>
      </c>
      <c r="N1373">
        <v>0</v>
      </c>
      <c r="O1373">
        <v>213.02743799999439</v>
      </c>
      <c r="P1373">
        <v>101069.963062</v>
      </c>
    </row>
    <row r="1374" spans="1:16" x14ac:dyDescent="0.25">
      <c r="A1374" s="10">
        <v>39629</v>
      </c>
      <c r="B1374">
        <v>1152.674560000014</v>
      </c>
      <c r="C1374">
        <v>-432.75099999999998</v>
      </c>
      <c r="D1374">
        <v>0</v>
      </c>
      <c r="E1374">
        <v>0</v>
      </c>
      <c r="F1374">
        <v>0</v>
      </c>
      <c r="G1374">
        <v>-106.153527</v>
      </c>
      <c r="H1374">
        <v>1400.3910460000011</v>
      </c>
      <c r="I1374">
        <v>0</v>
      </c>
      <c r="J1374">
        <v>0</v>
      </c>
      <c r="K1374">
        <v>3.3179689000000012</v>
      </c>
      <c r="L1374">
        <v>145.12203109999999</v>
      </c>
      <c r="M1374">
        <v>0</v>
      </c>
      <c r="N1374">
        <v>0</v>
      </c>
      <c r="O1374">
        <v>142.7480410000135</v>
      </c>
      <c r="P1374">
        <v>102222.63762199999</v>
      </c>
    </row>
    <row r="1375" spans="1:16" x14ac:dyDescent="0.25">
      <c r="A1375" s="10">
        <v>39630</v>
      </c>
      <c r="B1375">
        <v>-1160.227218000015</v>
      </c>
      <c r="C1375">
        <v>-24.207999999999998</v>
      </c>
      <c r="D1375">
        <v>-907.26</v>
      </c>
      <c r="E1375">
        <v>0</v>
      </c>
      <c r="F1375">
        <v>0</v>
      </c>
      <c r="G1375">
        <v>913.58611999999994</v>
      </c>
      <c r="H1375">
        <v>-1255.305000000001</v>
      </c>
      <c r="I1375">
        <v>0</v>
      </c>
      <c r="J1375">
        <v>0</v>
      </c>
      <c r="K1375">
        <v>1.2586822799999999</v>
      </c>
      <c r="L1375">
        <v>1.317719999999412E-3</v>
      </c>
      <c r="M1375">
        <v>0</v>
      </c>
      <c r="N1375">
        <v>0</v>
      </c>
      <c r="O1375">
        <v>111.6996619999862</v>
      </c>
      <c r="P1375">
        <v>101062.41040399999</v>
      </c>
    </row>
    <row r="1376" spans="1:16" x14ac:dyDescent="0.25">
      <c r="A1376" s="10">
        <v>39631</v>
      </c>
      <c r="B1376">
        <v>-69.025125999993179</v>
      </c>
      <c r="C1376">
        <v>-10.577</v>
      </c>
      <c r="D1376">
        <v>0</v>
      </c>
      <c r="E1376">
        <v>0</v>
      </c>
      <c r="F1376">
        <v>0</v>
      </c>
      <c r="G1376">
        <v>-6.7241200000000028</v>
      </c>
      <c r="H1376">
        <v>-447.60366800000071</v>
      </c>
      <c r="I1376">
        <v>0</v>
      </c>
      <c r="J1376">
        <v>-43.489999999999782</v>
      </c>
      <c r="K1376">
        <v>-1.9687633799999089</v>
      </c>
      <c r="L1376">
        <v>333.30876338000002</v>
      </c>
      <c r="M1376">
        <v>0</v>
      </c>
      <c r="N1376">
        <v>0</v>
      </c>
      <c r="O1376">
        <v>108.02966200000721</v>
      </c>
      <c r="P1376">
        <v>100993.385278</v>
      </c>
    </row>
    <row r="1377" spans="1:16" x14ac:dyDescent="0.25">
      <c r="A1377" s="10">
        <v>39632</v>
      </c>
      <c r="B1377">
        <v>438.68495399999659</v>
      </c>
      <c r="C1377">
        <v>55.238999999999997</v>
      </c>
      <c r="D1377">
        <v>0</v>
      </c>
      <c r="E1377">
        <v>0</v>
      </c>
      <c r="F1377">
        <v>0</v>
      </c>
      <c r="G1377">
        <v>-7.6135269999999764</v>
      </c>
      <c r="H1377">
        <v>295.91310900000008</v>
      </c>
      <c r="I1377">
        <v>0</v>
      </c>
      <c r="J1377">
        <v>0</v>
      </c>
      <c r="K1377">
        <v>1.7081895899999999</v>
      </c>
      <c r="L1377">
        <v>11.28181041</v>
      </c>
      <c r="M1377">
        <v>0</v>
      </c>
      <c r="N1377">
        <v>0</v>
      </c>
      <c r="O1377">
        <v>82.156371999996452</v>
      </c>
      <c r="P1377">
        <v>101432.070232</v>
      </c>
    </row>
    <row r="1378" spans="1:16" x14ac:dyDescent="0.25">
      <c r="A1378" s="10">
        <v>39633</v>
      </c>
      <c r="B1378">
        <v>-593.76361699998995</v>
      </c>
      <c r="C1378">
        <v>0</v>
      </c>
      <c r="D1378">
        <v>0</v>
      </c>
      <c r="E1378">
        <v>0</v>
      </c>
      <c r="F1378">
        <v>0</v>
      </c>
      <c r="G1378">
        <v>-7.2014730000000027</v>
      </c>
      <c r="H1378">
        <v>-596.3045979999988</v>
      </c>
      <c r="I1378">
        <v>0</v>
      </c>
      <c r="J1378">
        <v>0</v>
      </c>
      <c r="K1378">
        <v>0.93295766000000002</v>
      </c>
      <c r="L1378">
        <v>25.437042340000001</v>
      </c>
      <c r="M1378">
        <v>0</v>
      </c>
      <c r="N1378">
        <v>0</v>
      </c>
      <c r="O1378">
        <v>-16.627545999991138</v>
      </c>
      <c r="P1378">
        <v>100838.30661499999</v>
      </c>
    </row>
    <row r="1379" spans="1:16" x14ac:dyDescent="0.25">
      <c r="A1379" s="10">
        <v>39636</v>
      </c>
      <c r="B1379">
        <v>649.32160300000373</v>
      </c>
      <c r="C1379">
        <v>333.94158499999998</v>
      </c>
      <c r="D1379">
        <v>-905.84999999999991</v>
      </c>
      <c r="E1379">
        <v>-1000</v>
      </c>
      <c r="F1379">
        <v>0</v>
      </c>
      <c r="G1379">
        <v>1900.413</v>
      </c>
      <c r="H1379">
        <v>76.692999999999302</v>
      </c>
      <c r="I1379">
        <v>0</v>
      </c>
      <c r="J1379">
        <v>0</v>
      </c>
      <c r="K1379">
        <v>2.9442493399999989</v>
      </c>
      <c r="L1379">
        <v>3.5757506600000011</v>
      </c>
      <c r="M1379">
        <v>0</v>
      </c>
      <c r="N1379">
        <v>0</v>
      </c>
      <c r="O1379">
        <v>237.6040180000044</v>
      </c>
      <c r="P1379">
        <v>101487.628218</v>
      </c>
    </row>
    <row r="1380" spans="1:16" x14ac:dyDescent="0.25">
      <c r="A1380" s="10">
        <v>39637</v>
      </c>
      <c r="B1380">
        <v>-468.88028200001293</v>
      </c>
      <c r="C1380">
        <v>148.648</v>
      </c>
      <c r="D1380">
        <v>0</v>
      </c>
      <c r="E1380">
        <v>0</v>
      </c>
      <c r="F1380">
        <v>0</v>
      </c>
      <c r="G1380">
        <v>-27.780000000000019</v>
      </c>
      <c r="H1380">
        <v>-656.57028100000025</v>
      </c>
      <c r="I1380">
        <v>0</v>
      </c>
      <c r="J1380">
        <v>0</v>
      </c>
      <c r="K1380">
        <v>2.0510966900000001</v>
      </c>
      <c r="L1380">
        <v>8.890330999999918E-2</v>
      </c>
      <c r="M1380">
        <v>0</v>
      </c>
      <c r="N1380">
        <v>0</v>
      </c>
      <c r="O1380">
        <v>64.6819989999874</v>
      </c>
      <c r="P1380">
        <v>101018.747936</v>
      </c>
    </row>
    <row r="1381" spans="1:16" x14ac:dyDescent="0.25">
      <c r="A1381" s="10">
        <v>39639</v>
      </c>
      <c r="B1381">
        <v>1533.85059799999</v>
      </c>
      <c r="C1381">
        <v>290.51733000000002</v>
      </c>
      <c r="D1381">
        <v>0</v>
      </c>
      <c r="E1381">
        <v>0</v>
      </c>
      <c r="F1381">
        <v>0</v>
      </c>
      <c r="G1381">
        <v>-13.891999999999999</v>
      </c>
      <c r="H1381">
        <v>1330.187999999999</v>
      </c>
      <c r="I1381">
        <v>0</v>
      </c>
      <c r="J1381">
        <v>0</v>
      </c>
      <c r="K1381">
        <v>3.4957524599999998</v>
      </c>
      <c r="L1381">
        <v>-198.4257524599999</v>
      </c>
      <c r="M1381">
        <v>0</v>
      </c>
      <c r="N1381">
        <v>0</v>
      </c>
      <c r="O1381">
        <v>121.9672679999906</v>
      </c>
      <c r="P1381">
        <v>102552.598534</v>
      </c>
    </row>
    <row r="1382" spans="1:16" x14ac:dyDescent="0.25">
      <c r="A1382" s="10">
        <v>39640</v>
      </c>
      <c r="B1382">
        <v>110.2073687200172</v>
      </c>
      <c r="C1382">
        <v>218.11949999999999</v>
      </c>
      <c r="D1382">
        <v>0</v>
      </c>
      <c r="E1382">
        <v>-950</v>
      </c>
      <c r="F1382">
        <v>0</v>
      </c>
      <c r="G1382">
        <v>944.0200000000001</v>
      </c>
      <c r="H1382">
        <v>-255.15961684999911</v>
      </c>
      <c r="I1382">
        <v>0</v>
      </c>
      <c r="J1382">
        <v>0</v>
      </c>
      <c r="K1382">
        <v>1.6628268399999999</v>
      </c>
      <c r="L1382">
        <v>11.63717316</v>
      </c>
      <c r="M1382">
        <v>0</v>
      </c>
      <c r="N1382">
        <v>0</v>
      </c>
      <c r="O1382">
        <v>139.92748557001619</v>
      </c>
      <c r="P1382">
        <v>102662.80590272001</v>
      </c>
    </row>
    <row r="1383" spans="1:16" x14ac:dyDescent="0.25">
      <c r="A1383" s="10">
        <v>39643</v>
      </c>
      <c r="B1383">
        <v>338.05955406998669</v>
      </c>
      <c r="C1383">
        <v>-0.90600000000000003</v>
      </c>
      <c r="D1383">
        <v>0</v>
      </c>
      <c r="E1383">
        <v>0</v>
      </c>
      <c r="F1383">
        <v>0</v>
      </c>
      <c r="G1383">
        <v>-61.199000000000012</v>
      </c>
      <c r="H1383">
        <v>177.63852206999849</v>
      </c>
      <c r="I1383">
        <v>0</v>
      </c>
      <c r="J1383">
        <v>0</v>
      </c>
      <c r="K1383">
        <v>16.337999499999999</v>
      </c>
      <c r="L1383">
        <v>11.102000500000001</v>
      </c>
      <c r="M1383">
        <v>0</v>
      </c>
      <c r="N1383">
        <v>0</v>
      </c>
      <c r="O1383">
        <v>195.08603199998819</v>
      </c>
      <c r="P1383">
        <v>103000.86545678999</v>
      </c>
    </row>
    <row r="1384" spans="1:16" x14ac:dyDescent="0.25">
      <c r="A1384" s="10">
        <v>39644</v>
      </c>
      <c r="B1384">
        <v>649.23068890000241</v>
      </c>
      <c r="C1384">
        <v>196.52799999999999</v>
      </c>
      <c r="D1384">
        <v>0</v>
      </c>
      <c r="E1384">
        <v>0</v>
      </c>
      <c r="F1384">
        <v>0</v>
      </c>
      <c r="G1384">
        <v>57.636999999999993</v>
      </c>
      <c r="H1384">
        <v>189.80021806000059</v>
      </c>
      <c r="I1384">
        <v>0</v>
      </c>
      <c r="J1384">
        <v>0</v>
      </c>
      <c r="K1384">
        <v>2.06</v>
      </c>
      <c r="L1384">
        <v>2.6999999999999988</v>
      </c>
      <c r="M1384">
        <v>0</v>
      </c>
      <c r="N1384">
        <v>0</v>
      </c>
      <c r="O1384">
        <v>200.50547084000189</v>
      </c>
      <c r="P1384">
        <v>103650.09614569</v>
      </c>
    </row>
    <row r="1385" spans="1:16" x14ac:dyDescent="0.25">
      <c r="A1385" s="10">
        <v>39645</v>
      </c>
      <c r="B1385">
        <v>-400.05883619999781</v>
      </c>
      <c r="C1385">
        <v>66.483000000000004</v>
      </c>
      <c r="D1385">
        <v>0</v>
      </c>
      <c r="E1385">
        <v>0</v>
      </c>
      <c r="F1385">
        <v>0</v>
      </c>
      <c r="G1385">
        <v>-28.939000000000011</v>
      </c>
      <c r="H1385">
        <v>-1377.1539407099999</v>
      </c>
      <c r="I1385">
        <v>0</v>
      </c>
      <c r="J1385">
        <v>0</v>
      </c>
      <c r="K1385">
        <v>0.82836625999999991</v>
      </c>
      <c r="L1385">
        <v>790.44163373999993</v>
      </c>
      <c r="M1385">
        <v>0</v>
      </c>
      <c r="N1385">
        <v>0</v>
      </c>
      <c r="O1385">
        <v>148.28110451000211</v>
      </c>
      <c r="P1385">
        <v>103250.03730949</v>
      </c>
    </row>
    <row r="1386" spans="1:16" x14ac:dyDescent="0.25">
      <c r="A1386" s="10">
        <v>39646</v>
      </c>
      <c r="B1386">
        <v>-2281.7017461199998</v>
      </c>
      <c r="C1386">
        <v>226.03952000000001</v>
      </c>
      <c r="D1386">
        <v>0</v>
      </c>
      <c r="E1386">
        <v>0</v>
      </c>
      <c r="F1386">
        <v>0</v>
      </c>
      <c r="G1386">
        <v>-58.622</v>
      </c>
      <c r="H1386">
        <v>-2578.9129999999991</v>
      </c>
      <c r="I1386">
        <v>0</v>
      </c>
      <c r="J1386">
        <v>0</v>
      </c>
      <c r="K1386">
        <v>1.46338061</v>
      </c>
      <c r="L1386">
        <v>27.436619390000001</v>
      </c>
      <c r="M1386">
        <v>0</v>
      </c>
      <c r="N1386">
        <v>0</v>
      </c>
      <c r="O1386">
        <v>100.89373387999829</v>
      </c>
      <c r="P1386">
        <v>100968.33556337</v>
      </c>
    </row>
    <row r="1387" spans="1:16" x14ac:dyDescent="0.25">
      <c r="A1387" s="10">
        <v>39647</v>
      </c>
      <c r="B1387">
        <v>96.226925630005212</v>
      </c>
      <c r="C1387">
        <v>682.62</v>
      </c>
      <c r="D1387">
        <v>0</v>
      </c>
      <c r="E1387">
        <v>1950</v>
      </c>
      <c r="F1387">
        <v>0</v>
      </c>
      <c r="G1387">
        <v>-1992.9449999999999</v>
      </c>
      <c r="H1387">
        <v>-628.95146505999946</v>
      </c>
      <c r="I1387">
        <v>0</v>
      </c>
      <c r="J1387">
        <v>0</v>
      </c>
      <c r="K1387">
        <v>1.9525259500000001</v>
      </c>
      <c r="L1387">
        <v>80.057474049999996</v>
      </c>
      <c r="M1387">
        <v>0</v>
      </c>
      <c r="N1387">
        <v>0</v>
      </c>
      <c r="O1387">
        <v>3.49339069000473</v>
      </c>
      <c r="P1387">
        <v>101064.562489</v>
      </c>
    </row>
    <row r="1388" spans="1:16" x14ac:dyDescent="0.25">
      <c r="A1388" s="10">
        <v>39650</v>
      </c>
      <c r="B1388">
        <v>511.23541100000222</v>
      </c>
      <c r="C1388">
        <v>322.93200000000002</v>
      </c>
      <c r="D1388">
        <v>0</v>
      </c>
      <c r="E1388">
        <v>0</v>
      </c>
      <c r="F1388">
        <v>0</v>
      </c>
      <c r="G1388">
        <v>230.77073700000011</v>
      </c>
      <c r="H1388">
        <v>-43.005437999998321</v>
      </c>
      <c r="I1388">
        <v>0</v>
      </c>
      <c r="J1388">
        <v>0</v>
      </c>
      <c r="K1388">
        <v>5.6270925500000004</v>
      </c>
      <c r="L1388">
        <v>1.712907449999999</v>
      </c>
      <c r="M1388">
        <v>0</v>
      </c>
      <c r="N1388">
        <v>0</v>
      </c>
      <c r="O1388">
        <v>-6.8018879999996216</v>
      </c>
      <c r="P1388">
        <v>101575.79790000001</v>
      </c>
    </row>
    <row r="1389" spans="1:16" x14ac:dyDescent="0.25">
      <c r="A1389" s="10">
        <v>39651</v>
      </c>
      <c r="B1389">
        <v>-1034.2263766200631</v>
      </c>
      <c r="C1389">
        <v>-9.9857999999999993</v>
      </c>
      <c r="D1389">
        <v>0</v>
      </c>
      <c r="E1389">
        <v>0</v>
      </c>
      <c r="F1389">
        <v>0</v>
      </c>
      <c r="G1389">
        <v>10.751262999999989</v>
      </c>
      <c r="H1389">
        <v>-1022.106997999999</v>
      </c>
      <c r="I1389">
        <v>0</v>
      </c>
      <c r="J1389">
        <v>0</v>
      </c>
      <c r="K1389">
        <v>1.9909091800000001</v>
      </c>
      <c r="L1389">
        <v>6.3390908199999991</v>
      </c>
      <c r="M1389">
        <v>0</v>
      </c>
      <c r="N1389">
        <v>0</v>
      </c>
      <c r="O1389">
        <v>-21.21484162006379</v>
      </c>
      <c r="P1389">
        <v>100541.5715233799</v>
      </c>
    </row>
    <row r="1390" spans="1:16" x14ac:dyDescent="0.25">
      <c r="A1390" s="10">
        <v>39652</v>
      </c>
      <c r="B1390">
        <v>126.24957462004301</v>
      </c>
      <c r="C1390">
        <v>-0.60399999999999998</v>
      </c>
      <c r="D1390">
        <v>0</v>
      </c>
      <c r="E1390">
        <v>0</v>
      </c>
      <c r="F1390">
        <v>0</v>
      </c>
      <c r="G1390">
        <v>-21.42427600000002</v>
      </c>
      <c r="H1390">
        <v>407.56900000000309</v>
      </c>
      <c r="I1390">
        <v>0</v>
      </c>
      <c r="J1390">
        <v>0</v>
      </c>
      <c r="K1390">
        <v>2.78874662</v>
      </c>
      <c r="L1390">
        <v>-222.76874662</v>
      </c>
      <c r="M1390">
        <v>0</v>
      </c>
      <c r="N1390">
        <v>0</v>
      </c>
      <c r="O1390">
        <v>-39.311149379960149</v>
      </c>
      <c r="P1390">
        <v>100667.821098</v>
      </c>
    </row>
    <row r="1391" spans="1:16" x14ac:dyDescent="0.25">
      <c r="A1391" s="10">
        <v>39653</v>
      </c>
      <c r="B1391">
        <v>-946.58361799997579</v>
      </c>
      <c r="C1391">
        <v>254.25399999999999</v>
      </c>
      <c r="D1391">
        <v>0</v>
      </c>
      <c r="E1391">
        <v>0</v>
      </c>
      <c r="F1391">
        <v>0</v>
      </c>
      <c r="G1391">
        <v>4.6352760000000011</v>
      </c>
      <c r="H1391">
        <v>-1289.7840000000001</v>
      </c>
      <c r="I1391">
        <v>0</v>
      </c>
      <c r="J1391">
        <v>0</v>
      </c>
      <c r="K1391">
        <v>2.7178191499999991</v>
      </c>
      <c r="L1391">
        <v>91.602180849999996</v>
      </c>
      <c r="M1391">
        <v>0</v>
      </c>
      <c r="N1391">
        <v>0</v>
      </c>
      <c r="O1391">
        <v>-10.00889399997595</v>
      </c>
      <c r="P1391">
        <v>99721.237480000011</v>
      </c>
    </row>
    <row r="1392" spans="1:16" x14ac:dyDescent="0.25">
      <c r="A1392" s="10">
        <v>39654</v>
      </c>
      <c r="B1392">
        <v>-1188.3142900000089</v>
      </c>
      <c r="C1392">
        <v>40.131999999999998</v>
      </c>
      <c r="D1392">
        <v>0</v>
      </c>
      <c r="E1392">
        <v>0</v>
      </c>
      <c r="F1392">
        <v>1000</v>
      </c>
      <c r="G1392">
        <v>-1027.4880000000001</v>
      </c>
      <c r="H1392">
        <v>-1245.92698</v>
      </c>
      <c r="I1392">
        <v>0</v>
      </c>
      <c r="J1392">
        <v>0</v>
      </c>
      <c r="K1392">
        <v>2.63610378</v>
      </c>
      <c r="L1392">
        <v>32.803896219999999</v>
      </c>
      <c r="M1392">
        <v>0</v>
      </c>
      <c r="N1392">
        <v>0</v>
      </c>
      <c r="O1392">
        <v>9.5286899999912187</v>
      </c>
      <c r="P1392">
        <v>98532.923190000001</v>
      </c>
    </row>
    <row r="1393" spans="1:16" x14ac:dyDescent="0.25">
      <c r="A1393" s="10">
        <v>39657</v>
      </c>
      <c r="B1393">
        <v>-930.05149199999835</v>
      </c>
      <c r="C1393">
        <v>14.487</v>
      </c>
      <c r="D1393">
        <v>-1750.73</v>
      </c>
      <c r="E1393">
        <v>0</v>
      </c>
      <c r="F1393">
        <v>0</v>
      </c>
      <c r="G1393">
        <v>1257.52</v>
      </c>
      <c r="H1393">
        <v>-448.06299999999828</v>
      </c>
      <c r="I1393">
        <v>0</v>
      </c>
      <c r="J1393">
        <v>0</v>
      </c>
      <c r="K1393">
        <v>7.1582232400000008</v>
      </c>
      <c r="L1393">
        <v>-3.3882232400000021</v>
      </c>
      <c r="M1393">
        <v>0</v>
      </c>
      <c r="N1393">
        <v>0</v>
      </c>
      <c r="O1393">
        <v>-7.0354920000001266</v>
      </c>
      <c r="P1393">
        <v>97602.871698000003</v>
      </c>
    </row>
    <row r="1394" spans="1:16" x14ac:dyDescent="0.25">
      <c r="A1394" s="10">
        <v>39658</v>
      </c>
      <c r="B1394">
        <v>-848.71066200001189</v>
      </c>
      <c r="C1394">
        <v>-33.876700000000007</v>
      </c>
      <c r="D1394">
        <v>0</v>
      </c>
      <c r="E1394">
        <v>0</v>
      </c>
      <c r="F1394">
        <v>0</v>
      </c>
      <c r="G1394">
        <v>-9.4464320000000033</v>
      </c>
      <c r="H1394">
        <v>-871.04641400000037</v>
      </c>
      <c r="I1394">
        <v>0</v>
      </c>
      <c r="J1394">
        <v>0</v>
      </c>
      <c r="K1394">
        <v>2.8663400800000001</v>
      </c>
      <c r="L1394">
        <v>3.6599200000004828E-3</v>
      </c>
      <c r="M1394">
        <v>0</v>
      </c>
      <c r="N1394">
        <v>0</v>
      </c>
      <c r="O1394">
        <v>62.788883999988457</v>
      </c>
      <c r="P1394">
        <v>96754.16103599999</v>
      </c>
    </row>
    <row r="1395" spans="1:16" x14ac:dyDescent="0.25">
      <c r="A1395" s="10">
        <v>39659</v>
      </c>
      <c r="B1395">
        <v>-90.101420999998936</v>
      </c>
      <c r="C1395">
        <v>-200.3218</v>
      </c>
      <c r="D1395">
        <v>0</v>
      </c>
      <c r="E1395">
        <v>0</v>
      </c>
      <c r="F1395">
        <v>0</v>
      </c>
      <c r="G1395">
        <v>-123.956568</v>
      </c>
      <c r="H1395">
        <v>61.520591999997123</v>
      </c>
      <c r="I1395">
        <v>0</v>
      </c>
      <c r="J1395">
        <v>0</v>
      </c>
      <c r="K1395">
        <v>4.2267651599999994</v>
      </c>
      <c r="L1395">
        <v>158.89323483999991</v>
      </c>
      <c r="M1395">
        <v>0</v>
      </c>
      <c r="N1395">
        <v>0</v>
      </c>
      <c r="O1395">
        <v>9.5363550000040505</v>
      </c>
      <c r="P1395">
        <v>96664.059614999991</v>
      </c>
    </row>
    <row r="1396" spans="1:16" x14ac:dyDescent="0.25">
      <c r="A1396" s="10">
        <v>39660</v>
      </c>
      <c r="B1396">
        <v>1045.2249170000141</v>
      </c>
      <c r="C1396">
        <v>-143.82220000000001</v>
      </c>
      <c r="D1396">
        <v>0</v>
      </c>
      <c r="E1396">
        <v>0</v>
      </c>
      <c r="F1396">
        <v>0</v>
      </c>
      <c r="G1396">
        <v>-17.478380000000019</v>
      </c>
      <c r="H1396">
        <v>1127.1618760000019</v>
      </c>
      <c r="I1396">
        <v>0</v>
      </c>
      <c r="J1396">
        <v>0</v>
      </c>
      <c r="K1396">
        <v>4.2687928700000004</v>
      </c>
      <c r="L1396">
        <v>-1.8792870000000409E-2</v>
      </c>
      <c r="M1396">
        <v>0</v>
      </c>
      <c r="N1396">
        <v>0</v>
      </c>
      <c r="O1396">
        <v>75.113621000012358</v>
      </c>
      <c r="P1396">
        <v>97709.284532000005</v>
      </c>
    </row>
    <row r="1397" spans="1:16" x14ac:dyDescent="0.25">
      <c r="A1397" s="10">
        <v>39661</v>
      </c>
      <c r="B1397">
        <v>5782.5083529999974</v>
      </c>
      <c r="C1397">
        <v>-315.38029999999998</v>
      </c>
      <c r="D1397">
        <v>0</v>
      </c>
      <c r="E1397">
        <v>0</v>
      </c>
      <c r="F1397">
        <v>0</v>
      </c>
      <c r="G1397">
        <v>5.0090919999999954</v>
      </c>
      <c r="H1397">
        <v>6075.9523889999973</v>
      </c>
      <c r="I1397">
        <v>0</v>
      </c>
      <c r="J1397">
        <v>0</v>
      </c>
      <c r="K1397">
        <v>4.3571547700000002</v>
      </c>
      <c r="L1397">
        <v>2.8452300000019188E-3</v>
      </c>
      <c r="M1397">
        <v>0</v>
      </c>
      <c r="N1397">
        <v>0</v>
      </c>
      <c r="O1397">
        <v>12.56717199999912</v>
      </c>
      <c r="P1397">
        <v>103491.792885</v>
      </c>
    </row>
    <row r="1398" spans="1:16" x14ac:dyDescent="0.25">
      <c r="A1398" s="10">
        <v>39664</v>
      </c>
      <c r="B1398">
        <v>-446.88152799999762</v>
      </c>
      <c r="C1398">
        <v>-1.4980000000000011</v>
      </c>
      <c r="D1398">
        <v>-30.4</v>
      </c>
      <c r="E1398">
        <v>0</v>
      </c>
      <c r="F1398">
        <v>0</v>
      </c>
      <c r="G1398">
        <v>21.981641999999869</v>
      </c>
      <c r="H1398">
        <v>-125.9637639999992</v>
      </c>
      <c r="I1398">
        <v>0</v>
      </c>
      <c r="J1398">
        <v>-192.7699999999995</v>
      </c>
      <c r="K1398">
        <v>-7.2976679799999644</v>
      </c>
      <c r="L1398">
        <v>7.6679800000007958E-3</v>
      </c>
      <c r="M1398">
        <v>0</v>
      </c>
      <c r="N1398">
        <v>0</v>
      </c>
      <c r="O1398">
        <v>-110.94140599999881</v>
      </c>
      <c r="P1398">
        <v>103044.911357</v>
      </c>
    </row>
    <row r="1399" spans="1:16" x14ac:dyDescent="0.25">
      <c r="A1399" s="10">
        <v>39665</v>
      </c>
      <c r="B1399">
        <v>-1580.7103300000031</v>
      </c>
      <c r="C1399">
        <v>216.15374</v>
      </c>
      <c r="D1399">
        <v>0</v>
      </c>
      <c r="E1399">
        <v>0</v>
      </c>
      <c r="F1399">
        <v>0</v>
      </c>
      <c r="G1399">
        <v>-7.1353539999999986</v>
      </c>
      <c r="H1399">
        <v>-1849.5955299999989</v>
      </c>
      <c r="I1399">
        <v>0</v>
      </c>
      <c r="J1399">
        <v>0</v>
      </c>
      <c r="K1399">
        <v>1.3301059500000001</v>
      </c>
      <c r="L1399">
        <v>-1.059500000000213E-4</v>
      </c>
      <c r="M1399">
        <v>0</v>
      </c>
      <c r="N1399">
        <v>0</v>
      </c>
      <c r="O1399">
        <v>58.536813999996191</v>
      </c>
      <c r="P1399">
        <v>101464.201027</v>
      </c>
    </row>
    <row r="1400" spans="1:16" x14ac:dyDescent="0.25">
      <c r="A1400" s="10">
        <v>39666</v>
      </c>
      <c r="B1400">
        <v>153.28815999999651</v>
      </c>
      <c r="C1400">
        <v>213.04499999999999</v>
      </c>
      <c r="D1400">
        <v>0</v>
      </c>
      <c r="E1400">
        <v>0</v>
      </c>
      <c r="F1400">
        <v>0</v>
      </c>
      <c r="G1400">
        <v>-9.5450000000000017</v>
      </c>
      <c r="H1400">
        <v>256.2156619999987</v>
      </c>
      <c r="I1400">
        <v>0</v>
      </c>
      <c r="J1400">
        <v>0</v>
      </c>
      <c r="K1400">
        <v>2.7949564100000002</v>
      </c>
      <c r="L1400">
        <v>-314.60495640999989</v>
      </c>
      <c r="M1400">
        <v>0</v>
      </c>
      <c r="N1400">
        <v>0</v>
      </c>
      <c r="O1400">
        <v>5.3824979999977236</v>
      </c>
      <c r="P1400">
        <v>101617.489187</v>
      </c>
    </row>
    <row r="1401" spans="1:16" x14ac:dyDescent="0.25">
      <c r="A1401" s="10">
        <v>39667</v>
      </c>
      <c r="B1401">
        <v>256.78799000001169</v>
      </c>
      <c r="C1401">
        <v>-24.376000000000001</v>
      </c>
      <c r="D1401">
        <v>0</v>
      </c>
      <c r="E1401">
        <v>0</v>
      </c>
      <c r="F1401">
        <v>0</v>
      </c>
      <c r="G1401">
        <v>-6.6392809999999969</v>
      </c>
      <c r="H1401">
        <v>275.06460300000072</v>
      </c>
      <c r="I1401">
        <v>0</v>
      </c>
      <c r="J1401">
        <v>0</v>
      </c>
      <c r="K1401">
        <v>2.0246028200000001</v>
      </c>
      <c r="L1401">
        <v>-4.6028200000005626E-3</v>
      </c>
      <c r="M1401">
        <v>0</v>
      </c>
      <c r="N1401">
        <v>0</v>
      </c>
      <c r="O1401">
        <v>10.718668000011011</v>
      </c>
      <c r="P1401">
        <v>101874.277177</v>
      </c>
    </row>
    <row r="1402" spans="1:16" x14ac:dyDescent="0.25">
      <c r="A1402" s="10">
        <v>39668</v>
      </c>
      <c r="B1402">
        <v>-194.27826500001629</v>
      </c>
      <c r="C1402">
        <v>-227.31399999999999</v>
      </c>
      <c r="D1402">
        <v>0</v>
      </c>
      <c r="E1402">
        <v>0</v>
      </c>
      <c r="F1402">
        <v>0</v>
      </c>
      <c r="G1402">
        <v>-9.0545699999999982</v>
      </c>
      <c r="H1402">
        <v>-62.311028000000078</v>
      </c>
      <c r="I1402">
        <v>0</v>
      </c>
      <c r="J1402">
        <v>0</v>
      </c>
      <c r="K1402">
        <v>2.96967838</v>
      </c>
      <c r="L1402">
        <v>47.080321619999999</v>
      </c>
      <c r="M1402">
        <v>0</v>
      </c>
      <c r="N1402">
        <v>0</v>
      </c>
      <c r="O1402">
        <v>54.351332999983747</v>
      </c>
      <c r="P1402">
        <v>101679.998912</v>
      </c>
    </row>
    <row r="1403" spans="1:16" x14ac:dyDescent="0.25">
      <c r="A1403" s="10">
        <v>39671</v>
      </c>
      <c r="B1403">
        <v>1143.806817000004</v>
      </c>
      <c r="C1403">
        <v>-6.0940000000000012</v>
      </c>
      <c r="D1403">
        <v>0</v>
      </c>
      <c r="E1403">
        <v>0</v>
      </c>
      <c r="F1403">
        <v>0</v>
      </c>
      <c r="G1403">
        <v>11.35953400000002</v>
      </c>
      <c r="H1403">
        <v>1159.607810999998</v>
      </c>
      <c r="I1403">
        <v>0</v>
      </c>
      <c r="J1403">
        <v>0</v>
      </c>
      <c r="K1403">
        <v>5.0622579600000011</v>
      </c>
      <c r="L1403">
        <v>-2.2257959999997471E-2</v>
      </c>
      <c r="M1403">
        <v>0</v>
      </c>
      <c r="N1403">
        <v>0</v>
      </c>
      <c r="O1403">
        <v>-26.106527999994341</v>
      </c>
      <c r="P1403">
        <v>102823.805729</v>
      </c>
    </row>
    <row r="1404" spans="1:16" x14ac:dyDescent="0.25">
      <c r="A1404" s="10">
        <v>39672</v>
      </c>
      <c r="B1404">
        <v>-487.6746880000004</v>
      </c>
      <c r="C1404">
        <v>135.9375</v>
      </c>
      <c r="D1404">
        <v>-470.32900000000001</v>
      </c>
      <c r="E1404">
        <v>0</v>
      </c>
      <c r="F1404">
        <v>0</v>
      </c>
      <c r="G1404">
        <v>231.11517799999999</v>
      </c>
      <c r="H1404">
        <v>-417.16011500000059</v>
      </c>
      <c r="I1404">
        <v>0</v>
      </c>
      <c r="J1404">
        <v>0</v>
      </c>
      <c r="K1404">
        <v>2.0999494300000001</v>
      </c>
      <c r="L1404">
        <v>5.0570000000860198E-5</v>
      </c>
      <c r="M1404">
        <v>0</v>
      </c>
      <c r="N1404">
        <v>0</v>
      </c>
      <c r="O1404">
        <v>30.661749000000079</v>
      </c>
      <c r="P1404">
        <v>102336.131041</v>
      </c>
    </row>
    <row r="1405" spans="1:16" x14ac:dyDescent="0.25">
      <c r="A1405" s="10">
        <v>39673</v>
      </c>
      <c r="B1405">
        <v>-631.58711500000209</v>
      </c>
      <c r="C1405">
        <v>25.415399999999991</v>
      </c>
      <c r="D1405">
        <v>0</v>
      </c>
      <c r="E1405">
        <v>0</v>
      </c>
      <c r="F1405">
        <v>0</v>
      </c>
      <c r="G1405">
        <v>-16.972014000000001</v>
      </c>
      <c r="H1405">
        <v>-230.5341420000004</v>
      </c>
      <c r="I1405">
        <v>0</v>
      </c>
      <c r="J1405">
        <v>0</v>
      </c>
      <c r="K1405">
        <v>1.822407909999999</v>
      </c>
      <c r="L1405">
        <v>-419.90240791000002</v>
      </c>
      <c r="M1405">
        <v>0</v>
      </c>
      <c r="N1405">
        <v>0</v>
      </c>
      <c r="O1405">
        <v>8.5836409999983516</v>
      </c>
      <c r="P1405">
        <v>101704.543926</v>
      </c>
    </row>
    <row r="1406" spans="1:16" x14ac:dyDescent="0.25">
      <c r="A1406" s="10">
        <v>39674</v>
      </c>
      <c r="B1406">
        <v>-54.716159999995909</v>
      </c>
      <c r="C1406">
        <v>34.216000000000001</v>
      </c>
      <c r="D1406">
        <v>0</v>
      </c>
      <c r="E1406">
        <v>0</v>
      </c>
      <c r="F1406">
        <v>0</v>
      </c>
      <c r="G1406">
        <v>-82.728135000000009</v>
      </c>
      <c r="H1406">
        <v>-165.43615700000009</v>
      </c>
      <c r="I1406">
        <v>0</v>
      </c>
      <c r="J1406">
        <v>0</v>
      </c>
      <c r="K1406">
        <v>1.62556042</v>
      </c>
      <c r="L1406">
        <v>103.15443958</v>
      </c>
      <c r="M1406">
        <v>0</v>
      </c>
      <c r="N1406">
        <v>0</v>
      </c>
      <c r="O1406">
        <v>54.452132000004177</v>
      </c>
      <c r="P1406">
        <v>101649.827766</v>
      </c>
    </row>
    <row r="1407" spans="1:16" x14ac:dyDescent="0.25">
      <c r="A1407" s="10">
        <v>39675</v>
      </c>
      <c r="B1407">
        <v>-110.2493600000012</v>
      </c>
      <c r="C1407">
        <v>178.1122</v>
      </c>
      <c r="D1407">
        <v>0</v>
      </c>
      <c r="E1407">
        <v>0</v>
      </c>
      <c r="F1407">
        <v>0</v>
      </c>
      <c r="G1407">
        <v>79.155586000000028</v>
      </c>
      <c r="H1407">
        <v>-383.06355400000029</v>
      </c>
      <c r="I1407">
        <v>0</v>
      </c>
      <c r="J1407">
        <v>0</v>
      </c>
      <c r="K1407">
        <v>2.4664575100000001</v>
      </c>
      <c r="L1407">
        <v>3.5424900000009529E-3</v>
      </c>
      <c r="M1407">
        <v>0</v>
      </c>
      <c r="N1407">
        <v>0</v>
      </c>
      <c r="O1407">
        <v>13.07640799999907</v>
      </c>
      <c r="P1407">
        <v>101539.578406</v>
      </c>
    </row>
    <row r="1408" spans="1:16" x14ac:dyDescent="0.25">
      <c r="A1408" s="10">
        <v>39679</v>
      </c>
      <c r="B1408">
        <v>-1312.1900980000071</v>
      </c>
      <c r="C1408">
        <v>439.59100000000001</v>
      </c>
      <c r="D1408">
        <v>-30.29</v>
      </c>
      <c r="E1408">
        <v>0</v>
      </c>
      <c r="F1408">
        <v>0</v>
      </c>
      <c r="G1408">
        <v>139.837434</v>
      </c>
      <c r="H1408">
        <v>-1858.9140000000009</v>
      </c>
      <c r="I1408">
        <v>0</v>
      </c>
      <c r="J1408">
        <v>0</v>
      </c>
      <c r="K1408">
        <v>5.174637839999999</v>
      </c>
      <c r="L1408">
        <v>-4.6378400000008924E-3</v>
      </c>
      <c r="M1408">
        <v>0</v>
      </c>
      <c r="N1408">
        <v>0</v>
      </c>
      <c r="O1408">
        <v>-7.5845320000059928</v>
      </c>
      <c r="P1408">
        <v>100227.38830799999</v>
      </c>
    </row>
    <row r="1409" spans="1:16" x14ac:dyDescent="0.25">
      <c r="A1409" s="10">
        <v>39680</v>
      </c>
      <c r="B1409">
        <v>-1614.597540999981</v>
      </c>
      <c r="C1409">
        <v>324.34949999999998</v>
      </c>
      <c r="D1409">
        <v>0</v>
      </c>
      <c r="E1409">
        <v>0</v>
      </c>
      <c r="F1409">
        <v>0</v>
      </c>
      <c r="G1409">
        <v>6.0815060000000054</v>
      </c>
      <c r="H1409">
        <v>-1999.280077999998</v>
      </c>
      <c r="I1409">
        <v>0</v>
      </c>
      <c r="J1409">
        <v>0</v>
      </c>
      <c r="K1409">
        <v>2.6522357300000001</v>
      </c>
      <c r="L1409">
        <v>79.317764269999998</v>
      </c>
      <c r="M1409">
        <v>0</v>
      </c>
      <c r="N1409">
        <v>0</v>
      </c>
      <c r="O1409">
        <v>-27.718468999983092</v>
      </c>
      <c r="P1409">
        <v>98612.790767000013</v>
      </c>
    </row>
    <row r="1410" spans="1:16" x14ac:dyDescent="0.25">
      <c r="A1410" s="10">
        <v>39681</v>
      </c>
      <c r="B1410">
        <v>-758.27262300001121</v>
      </c>
      <c r="C1410">
        <v>255.63499999999999</v>
      </c>
      <c r="D1410">
        <v>0</v>
      </c>
      <c r="E1410">
        <v>0</v>
      </c>
      <c r="F1410">
        <v>0</v>
      </c>
      <c r="G1410">
        <v>14.498761999999999</v>
      </c>
      <c r="H1410">
        <v>-1006.343800000004</v>
      </c>
      <c r="I1410">
        <v>0</v>
      </c>
      <c r="J1410">
        <v>0</v>
      </c>
      <c r="K1410">
        <v>2.3188843299999999</v>
      </c>
      <c r="L1410">
        <v>1.11567000000079E-3</v>
      </c>
      <c r="M1410">
        <v>0</v>
      </c>
      <c r="N1410">
        <v>0</v>
      </c>
      <c r="O1410">
        <v>-24.38258500000688</v>
      </c>
      <c r="P1410">
        <v>97854.518144000001</v>
      </c>
    </row>
    <row r="1411" spans="1:16" x14ac:dyDescent="0.25">
      <c r="A1411" s="10">
        <v>39682</v>
      </c>
      <c r="B1411">
        <v>465.60327500000051</v>
      </c>
      <c r="C1411">
        <v>243.387</v>
      </c>
      <c r="D1411">
        <v>0</v>
      </c>
      <c r="E1411">
        <v>0</v>
      </c>
      <c r="F1411">
        <v>0</v>
      </c>
      <c r="G1411">
        <v>-1.3149999999999979</v>
      </c>
      <c r="H1411">
        <v>227.79515099999841</v>
      </c>
      <c r="I1411">
        <v>0</v>
      </c>
      <c r="J1411">
        <v>0</v>
      </c>
      <c r="K1411">
        <v>16.153594940000001</v>
      </c>
      <c r="L1411">
        <v>-3.594940000000157E-3</v>
      </c>
      <c r="M1411">
        <v>0</v>
      </c>
      <c r="N1411">
        <v>0</v>
      </c>
      <c r="O1411">
        <v>-20.41387599999797</v>
      </c>
      <c r="P1411">
        <v>98320.121419000003</v>
      </c>
    </row>
    <row r="1412" spans="1:16" x14ac:dyDescent="0.25">
      <c r="A1412" s="10">
        <v>39685</v>
      </c>
      <c r="B1412">
        <v>1557.04735600001</v>
      </c>
      <c r="C1412">
        <v>114.96550000000001</v>
      </c>
      <c r="D1412">
        <v>0</v>
      </c>
      <c r="E1412">
        <v>0</v>
      </c>
      <c r="F1412">
        <v>0</v>
      </c>
      <c r="G1412">
        <v>-17.58272000000002</v>
      </c>
      <c r="H1412">
        <v>1415.993539000003</v>
      </c>
      <c r="I1412">
        <v>0</v>
      </c>
      <c r="J1412">
        <v>0</v>
      </c>
      <c r="K1412">
        <v>6.1212112199999993</v>
      </c>
      <c r="L1412">
        <v>38.358788779999998</v>
      </c>
      <c r="M1412">
        <v>0</v>
      </c>
      <c r="N1412">
        <v>0</v>
      </c>
      <c r="O1412">
        <v>-0.80896299999267285</v>
      </c>
      <c r="P1412">
        <v>99877.168775000013</v>
      </c>
    </row>
    <row r="1413" spans="1:16" x14ac:dyDescent="0.25">
      <c r="A1413" s="10">
        <v>39686</v>
      </c>
      <c r="B1413">
        <v>-998.20724500001245</v>
      </c>
      <c r="C1413">
        <v>175.2056</v>
      </c>
      <c r="D1413">
        <v>-647.6</v>
      </c>
      <c r="E1413">
        <v>0</v>
      </c>
      <c r="F1413">
        <v>0</v>
      </c>
      <c r="G1413">
        <v>-15.03655300000003</v>
      </c>
      <c r="H1413">
        <v>-560.99863100000221</v>
      </c>
      <c r="I1413">
        <v>0</v>
      </c>
      <c r="J1413">
        <v>0</v>
      </c>
      <c r="K1413">
        <v>3.2753207199999999</v>
      </c>
      <c r="L1413">
        <v>0.89467928000000008</v>
      </c>
      <c r="M1413">
        <v>0</v>
      </c>
      <c r="N1413">
        <v>0</v>
      </c>
      <c r="O1413">
        <v>46.052338999989701</v>
      </c>
      <c r="P1413">
        <v>98878.96153</v>
      </c>
    </row>
    <row r="1414" spans="1:16" x14ac:dyDescent="0.25">
      <c r="A1414" s="10">
        <v>39687</v>
      </c>
      <c r="B1414">
        <v>-665.53657599999849</v>
      </c>
      <c r="C1414">
        <v>-2.4295</v>
      </c>
      <c r="D1414">
        <v>0</v>
      </c>
      <c r="E1414">
        <v>0</v>
      </c>
      <c r="F1414">
        <v>0</v>
      </c>
      <c r="G1414">
        <v>-26.422726999999998</v>
      </c>
      <c r="H1414">
        <v>-726.70045199999913</v>
      </c>
      <c r="I1414">
        <v>0</v>
      </c>
      <c r="J1414">
        <v>0</v>
      </c>
      <c r="K1414">
        <v>3.8182060000000009</v>
      </c>
      <c r="L1414">
        <v>70.411793999999873</v>
      </c>
      <c r="M1414">
        <v>0</v>
      </c>
      <c r="N1414">
        <v>0</v>
      </c>
      <c r="O1414">
        <v>15.786103000000709</v>
      </c>
      <c r="P1414">
        <v>98213.424954000002</v>
      </c>
    </row>
    <row r="1415" spans="1:16" x14ac:dyDescent="0.25">
      <c r="A1415" s="10">
        <v>39688</v>
      </c>
      <c r="B1415">
        <v>128.66717499999419</v>
      </c>
      <c r="C1415">
        <v>134.07900000000001</v>
      </c>
      <c r="D1415">
        <v>0</v>
      </c>
      <c r="E1415">
        <v>0</v>
      </c>
      <c r="F1415">
        <v>0</v>
      </c>
      <c r="G1415">
        <v>6.8652219999999957</v>
      </c>
      <c r="H1415">
        <v>-69.084828999997626</v>
      </c>
      <c r="I1415">
        <v>0</v>
      </c>
      <c r="J1415">
        <v>0</v>
      </c>
      <c r="K1415">
        <v>3.2361908299999991</v>
      </c>
      <c r="L1415">
        <v>50.91380917</v>
      </c>
      <c r="M1415">
        <v>0</v>
      </c>
      <c r="N1415">
        <v>0</v>
      </c>
      <c r="O1415">
        <v>2.6577819999918302</v>
      </c>
      <c r="P1415">
        <v>98342.092128999997</v>
      </c>
    </row>
    <row r="1416" spans="1:16" x14ac:dyDescent="0.25">
      <c r="A1416" s="10">
        <v>39689</v>
      </c>
      <c r="B1416">
        <v>748.35652800000446</v>
      </c>
      <c r="C1416">
        <v>66.646999999999991</v>
      </c>
      <c r="D1416">
        <v>0</v>
      </c>
      <c r="E1416">
        <v>0</v>
      </c>
      <c r="F1416">
        <v>0</v>
      </c>
      <c r="G1416">
        <v>-20.543524999999999</v>
      </c>
      <c r="H1416">
        <v>658.85920699999588</v>
      </c>
      <c r="I1416">
        <v>0</v>
      </c>
      <c r="J1416">
        <v>0</v>
      </c>
      <c r="K1416">
        <v>6.4910393499999994</v>
      </c>
      <c r="L1416">
        <v>1.8089606499999999</v>
      </c>
      <c r="M1416">
        <v>0</v>
      </c>
      <c r="N1416">
        <v>0</v>
      </c>
      <c r="O1416">
        <v>35.093846000008512</v>
      </c>
      <c r="P1416">
        <v>99090.448657000001</v>
      </c>
    </row>
    <row r="1417" spans="1:16" x14ac:dyDescent="0.25">
      <c r="A1417" s="10">
        <v>39692</v>
      </c>
      <c r="B1417">
        <v>3221.9799288899958</v>
      </c>
      <c r="C1417">
        <v>-0.90959999999999996</v>
      </c>
      <c r="D1417">
        <v>0</v>
      </c>
      <c r="E1417">
        <v>0</v>
      </c>
      <c r="F1417">
        <v>0</v>
      </c>
      <c r="G1417">
        <v>-107.72469700000001</v>
      </c>
      <c r="H1417">
        <v>3307.2061044799989</v>
      </c>
      <c r="I1417">
        <v>0</v>
      </c>
      <c r="J1417">
        <v>0</v>
      </c>
      <c r="K1417">
        <v>6.0543904800000012</v>
      </c>
      <c r="L1417">
        <v>-0.43439048000000108</v>
      </c>
      <c r="M1417">
        <v>0</v>
      </c>
      <c r="N1417">
        <v>0</v>
      </c>
      <c r="O1417">
        <v>17.78812140999662</v>
      </c>
      <c r="P1417">
        <v>102312.42858589</v>
      </c>
    </row>
    <row r="1418" spans="1:16" x14ac:dyDescent="0.25">
      <c r="A1418" s="10">
        <v>39693</v>
      </c>
      <c r="B1418">
        <v>470.69192111000223</v>
      </c>
      <c r="C1418">
        <v>33.878999999999991</v>
      </c>
      <c r="D1418">
        <v>0</v>
      </c>
      <c r="E1418">
        <v>0</v>
      </c>
      <c r="F1418">
        <v>0</v>
      </c>
      <c r="G1418">
        <v>-6.9440000000000026</v>
      </c>
      <c r="H1418">
        <v>431.87303500000053</v>
      </c>
      <c r="I1418">
        <v>0</v>
      </c>
      <c r="J1418">
        <v>-43.980000000000473</v>
      </c>
      <c r="K1418">
        <v>-1.0530197800001999</v>
      </c>
      <c r="L1418">
        <v>3.019780000000694E-3</v>
      </c>
      <c r="M1418">
        <v>0</v>
      </c>
      <c r="N1418">
        <v>0</v>
      </c>
      <c r="O1418">
        <v>56.913886110002409</v>
      </c>
      <c r="P1418">
        <v>102783.120507</v>
      </c>
    </row>
    <row r="1419" spans="1:16" x14ac:dyDescent="0.25">
      <c r="A1419" s="10">
        <v>39694</v>
      </c>
      <c r="B1419">
        <v>168.17031400000269</v>
      </c>
      <c r="C1419">
        <v>-0.89900000000000002</v>
      </c>
      <c r="D1419">
        <v>0</v>
      </c>
      <c r="E1419">
        <v>0</v>
      </c>
      <c r="F1419">
        <v>0</v>
      </c>
      <c r="G1419">
        <v>-9.147112000000007</v>
      </c>
      <c r="H1419">
        <v>718.59247890000006</v>
      </c>
      <c r="I1419">
        <v>0</v>
      </c>
      <c r="J1419">
        <v>0</v>
      </c>
      <c r="K1419">
        <v>2.7606688499999992</v>
      </c>
      <c r="L1419">
        <v>-506.31066885000013</v>
      </c>
      <c r="M1419">
        <v>0</v>
      </c>
      <c r="N1419">
        <v>0</v>
      </c>
      <c r="O1419">
        <v>-36.826052899997308</v>
      </c>
      <c r="P1419">
        <v>102951.290821</v>
      </c>
    </row>
    <row r="1420" spans="1:16" x14ac:dyDescent="0.25">
      <c r="A1420" s="10">
        <v>39695</v>
      </c>
      <c r="B1420">
        <v>-128.93500800000041</v>
      </c>
      <c r="C1420">
        <v>0</v>
      </c>
      <c r="D1420">
        <v>0</v>
      </c>
      <c r="E1420">
        <v>0</v>
      </c>
      <c r="F1420">
        <v>0</v>
      </c>
      <c r="G1420">
        <v>-8.8161130000000014</v>
      </c>
      <c r="H1420">
        <v>-36.625319999999192</v>
      </c>
      <c r="I1420">
        <v>0</v>
      </c>
      <c r="J1420">
        <v>0</v>
      </c>
      <c r="K1420">
        <v>2.432632770000001</v>
      </c>
      <c r="L1420">
        <v>7.3672299999998359E-3</v>
      </c>
      <c r="M1420">
        <v>0</v>
      </c>
      <c r="N1420">
        <v>0</v>
      </c>
      <c r="O1420">
        <v>-85.933575000001241</v>
      </c>
      <c r="P1420">
        <v>102822.355813</v>
      </c>
    </row>
    <row r="1421" spans="1:16" x14ac:dyDescent="0.25">
      <c r="A1421" s="10">
        <v>39696</v>
      </c>
      <c r="B1421">
        <v>-20.48237000001204</v>
      </c>
      <c r="C1421">
        <v>107.88549999999999</v>
      </c>
      <c r="D1421">
        <v>0</v>
      </c>
      <c r="E1421">
        <v>0</v>
      </c>
      <c r="F1421">
        <v>0</v>
      </c>
      <c r="G1421">
        <v>-9.1217749999999995</v>
      </c>
      <c r="H1421">
        <v>-122.0913489999984</v>
      </c>
      <c r="I1421">
        <v>0</v>
      </c>
      <c r="J1421">
        <v>0</v>
      </c>
      <c r="K1421">
        <v>2.5750488699999998</v>
      </c>
      <c r="L1421">
        <v>1.4951130000000029E-2</v>
      </c>
      <c r="M1421">
        <v>0</v>
      </c>
      <c r="N1421">
        <v>0</v>
      </c>
      <c r="O1421">
        <v>0.25525399998639559</v>
      </c>
      <c r="P1421">
        <v>102801.873443</v>
      </c>
    </row>
    <row r="1422" spans="1:16" x14ac:dyDescent="0.25">
      <c r="A1422" s="10">
        <v>39699</v>
      </c>
      <c r="B1422">
        <v>510.6641930000049</v>
      </c>
      <c r="C1422">
        <v>294.69760000000002</v>
      </c>
      <c r="D1422">
        <v>0</v>
      </c>
      <c r="E1422">
        <v>0</v>
      </c>
      <c r="F1422">
        <v>0</v>
      </c>
      <c r="G1422">
        <v>-6.6812749999999994</v>
      </c>
      <c r="H1422">
        <v>95.552419999999984</v>
      </c>
      <c r="I1422">
        <v>0</v>
      </c>
      <c r="J1422">
        <v>0</v>
      </c>
      <c r="K1422">
        <v>2.4490770899999998</v>
      </c>
      <c r="L1422">
        <v>3.359999999999999</v>
      </c>
      <c r="M1422">
        <v>0</v>
      </c>
      <c r="N1422">
        <v>0</v>
      </c>
      <c r="O1422">
        <v>121.2863709100049</v>
      </c>
      <c r="P1422">
        <v>103312.53763599999</v>
      </c>
    </row>
    <row r="1423" spans="1:16" x14ac:dyDescent="0.25">
      <c r="A1423" s="10">
        <v>39700</v>
      </c>
      <c r="B1423">
        <v>586.1382680000105</v>
      </c>
      <c r="C1423">
        <v>393.71600000000001</v>
      </c>
      <c r="D1423">
        <v>0</v>
      </c>
      <c r="E1423">
        <v>0</v>
      </c>
      <c r="F1423">
        <v>0</v>
      </c>
      <c r="G1423">
        <v>-22.787668</v>
      </c>
      <c r="H1423">
        <v>158.58598900000109</v>
      </c>
      <c r="I1423">
        <v>0</v>
      </c>
      <c r="J1423">
        <v>0</v>
      </c>
      <c r="K1423">
        <v>1.7436860599999999</v>
      </c>
      <c r="L1423">
        <v>9.9999999999997868E-3</v>
      </c>
      <c r="M1423">
        <v>0</v>
      </c>
      <c r="N1423">
        <v>0</v>
      </c>
      <c r="O1423">
        <v>54.87026094000953</v>
      </c>
      <c r="P1423">
        <v>103898.675904</v>
      </c>
    </row>
    <row r="1424" spans="1:16" x14ac:dyDescent="0.25">
      <c r="A1424" s="10">
        <v>39701</v>
      </c>
      <c r="B1424">
        <v>-200.45571000000899</v>
      </c>
      <c r="C1424">
        <v>-12.297000000000001</v>
      </c>
      <c r="D1424">
        <v>0</v>
      </c>
      <c r="E1424">
        <v>0</v>
      </c>
      <c r="F1424">
        <v>0</v>
      </c>
      <c r="G1424">
        <v>-10.645613000000001</v>
      </c>
      <c r="H1424">
        <v>-481.34841500000039</v>
      </c>
      <c r="I1424">
        <v>0</v>
      </c>
      <c r="J1424">
        <v>0</v>
      </c>
      <c r="K1424">
        <v>1.38733566</v>
      </c>
      <c r="L1424">
        <v>192.47</v>
      </c>
      <c r="M1424">
        <v>0</v>
      </c>
      <c r="N1424">
        <v>0</v>
      </c>
      <c r="O1424">
        <v>109.9779823399913</v>
      </c>
      <c r="P1424">
        <v>103698.22019399999</v>
      </c>
    </row>
    <row r="1425" spans="1:16" x14ac:dyDescent="0.25">
      <c r="A1425" s="10">
        <v>39702</v>
      </c>
      <c r="B1425">
        <v>-941.20340099999157</v>
      </c>
      <c r="C1425">
        <v>-289.69299999999998</v>
      </c>
      <c r="D1425">
        <v>0</v>
      </c>
      <c r="E1425">
        <v>0</v>
      </c>
      <c r="F1425">
        <v>0</v>
      </c>
      <c r="G1425">
        <v>3.775474999999997</v>
      </c>
      <c r="H1425">
        <v>-613.37969499999963</v>
      </c>
      <c r="I1425">
        <v>0</v>
      </c>
      <c r="J1425">
        <v>0</v>
      </c>
      <c r="K1425">
        <v>2</v>
      </c>
      <c r="L1425">
        <v>-2.0000000000000458E-2</v>
      </c>
      <c r="M1425">
        <v>0</v>
      </c>
      <c r="N1425">
        <v>0</v>
      </c>
      <c r="O1425">
        <v>-43.88618099999195</v>
      </c>
      <c r="P1425">
        <v>102757.016793</v>
      </c>
    </row>
    <row r="1426" spans="1:16" x14ac:dyDescent="0.25">
      <c r="A1426" s="10">
        <v>39703</v>
      </c>
      <c r="B1426">
        <v>-58.331233000003763</v>
      </c>
      <c r="C1426">
        <v>-96.174000000000007</v>
      </c>
      <c r="D1426">
        <v>0</v>
      </c>
      <c r="E1426">
        <v>0</v>
      </c>
      <c r="F1426">
        <v>0</v>
      </c>
      <c r="G1426">
        <v>-19.35756499999999</v>
      </c>
      <c r="H1426">
        <v>47.772956000000697</v>
      </c>
      <c r="I1426">
        <v>0</v>
      </c>
      <c r="J1426">
        <v>0</v>
      </c>
      <c r="K1426">
        <v>3.62005131</v>
      </c>
      <c r="L1426">
        <v>-5.130999999991559E-5</v>
      </c>
      <c r="M1426">
        <v>0</v>
      </c>
      <c r="N1426">
        <v>0</v>
      </c>
      <c r="O1426">
        <v>5.8073759999955454</v>
      </c>
      <c r="P1426">
        <v>102698.68556</v>
      </c>
    </row>
    <row r="1427" spans="1:16" x14ac:dyDescent="0.25">
      <c r="A1427" s="10">
        <v>39706</v>
      </c>
      <c r="B1427">
        <v>266.36923100000422</v>
      </c>
      <c r="C1427">
        <v>-65.409000000000006</v>
      </c>
      <c r="D1427">
        <v>0</v>
      </c>
      <c r="E1427">
        <v>0</v>
      </c>
      <c r="F1427">
        <v>0</v>
      </c>
      <c r="G1427">
        <v>-66.952120000000008</v>
      </c>
      <c r="H1427">
        <v>319.70445300000029</v>
      </c>
      <c r="I1427">
        <v>0</v>
      </c>
      <c r="J1427">
        <v>0</v>
      </c>
      <c r="K1427">
        <v>2.6097329399999998</v>
      </c>
      <c r="L1427">
        <v>36.880267060000001</v>
      </c>
      <c r="M1427">
        <v>0</v>
      </c>
      <c r="N1427">
        <v>0</v>
      </c>
      <c r="O1427">
        <v>39.535898000004011</v>
      </c>
      <c r="P1427">
        <v>102965.054791</v>
      </c>
    </row>
    <row r="1428" spans="1:16" x14ac:dyDescent="0.25">
      <c r="A1428" s="10">
        <v>39707</v>
      </c>
      <c r="B1428">
        <v>-989.9618539999949</v>
      </c>
      <c r="C1428">
        <v>-140.74700000000001</v>
      </c>
      <c r="D1428">
        <v>0</v>
      </c>
      <c r="E1428">
        <v>0</v>
      </c>
      <c r="F1428">
        <v>0</v>
      </c>
      <c r="G1428">
        <v>-16.611233999999971</v>
      </c>
      <c r="H1428">
        <v>-870.80094200000167</v>
      </c>
      <c r="I1428">
        <v>0</v>
      </c>
      <c r="J1428">
        <v>0</v>
      </c>
      <c r="K1428">
        <v>-0.90781550000000033</v>
      </c>
      <c r="L1428">
        <v>-2.1844999999993679E-3</v>
      </c>
      <c r="M1428">
        <v>0</v>
      </c>
      <c r="N1428">
        <v>0</v>
      </c>
      <c r="O1428">
        <v>39.107322000006889</v>
      </c>
      <c r="P1428">
        <v>101975.09293699999</v>
      </c>
    </row>
    <row r="1429" spans="1:16" x14ac:dyDescent="0.25">
      <c r="A1429" s="10">
        <v>39708</v>
      </c>
      <c r="B1429">
        <v>-323.87583800000738</v>
      </c>
      <c r="C1429">
        <v>-288.28250000000003</v>
      </c>
      <c r="D1429">
        <v>0</v>
      </c>
      <c r="E1429">
        <v>0</v>
      </c>
      <c r="F1429">
        <v>0</v>
      </c>
      <c r="G1429">
        <v>66.942372000000006</v>
      </c>
      <c r="H1429">
        <v>-560.67056700000103</v>
      </c>
      <c r="I1429">
        <v>0</v>
      </c>
      <c r="J1429">
        <v>0</v>
      </c>
      <c r="K1429">
        <v>1.8862364300000001</v>
      </c>
      <c r="L1429">
        <v>395.15376357000002</v>
      </c>
      <c r="M1429">
        <v>0</v>
      </c>
      <c r="N1429">
        <v>0</v>
      </c>
      <c r="O1429">
        <v>61.094856999993667</v>
      </c>
      <c r="P1429">
        <v>101651.217099</v>
      </c>
    </row>
    <row r="1430" spans="1:16" x14ac:dyDescent="0.25">
      <c r="A1430" s="10">
        <v>39709</v>
      </c>
      <c r="B1430">
        <v>-373.3311010000038</v>
      </c>
      <c r="C1430">
        <v>-394.32900000000001</v>
      </c>
      <c r="D1430">
        <v>0</v>
      </c>
      <c r="E1430">
        <v>0</v>
      </c>
      <c r="F1430">
        <v>0</v>
      </c>
      <c r="G1430">
        <v>-7.2988349999999969</v>
      </c>
      <c r="H1430">
        <v>-294.96969399999938</v>
      </c>
      <c r="I1430">
        <v>0</v>
      </c>
      <c r="J1430">
        <v>0</v>
      </c>
      <c r="K1430">
        <v>2.6282892499999999</v>
      </c>
      <c r="L1430">
        <v>11.901710749999999</v>
      </c>
      <c r="M1430">
        <v>0</v>
      </c>
      <c r="N1430">
        <v>0</v>
      </c>
      <c r="O1430">
        <v>308.73642799999573</v>
      </c>
      <c r="P1430">
        <v>101277.885998</v>
      </c>
    </row>
    <row r="1431" spans="1:16" x14ac:dyDescent="0.25">
      <c r="A1431" s="10">
        <v>39710</v>
      </c>
      <c r="B1431">
        <v>-1297.255005999993</v>
      </c>
      <c r="C1431">
        <v>-3.7370000000000001</v>
      </c>
      <c r="D1431">
        <v>0</v>
      </c>
      <c r="E1431">
        <v>-530</v>
      </c>
      <c r="F1431">
        <v>0</v>
      </c>
      <c r="G1431">
        <v>112.975247</v>
      </c>
      <c r="H1431">
        <v>-910.73726899999929</v>
      </c>
      <c r="I1431">
        <v>0</v>
      </c>
      <c r="J1431">
        <v>0</v>
      </c>
      <c r="K1431">
        <v>3.2320726100000008</v>
      </c>
      <c r="L1431">
        <v>63.017927389999997</v>
      </c>
      <c r="M1431">
        <v>0</v>
      </c>
      <c r="N1431">
        <v>0</v>
      </c>
      <c r="O1431">
        <v>-32.005983999993532</v>
      </c>
      <c r="P1431">
        <v>99980.630992000006</v>
      </c>
    </row>
    <row r="1432" spans="1:16" x14ac:dyDescent="0.25">
      <c r="A1432" s="10">
        <v>39713</v>
      </c>
      <c r="B1432">
        <v>150.6364209999887</v>
      </c>
      <c r="C1432">
        <v>-36.752000000000002</v>
      </c>
      <c r="D1432">
        <v>0</v>
      </c>
      <c r="E1432">
        <v>0</v>
      </c>
      <c r="F1432">
        <v>0</v>
      </c>
      <c r="G1432">
        <v>-2.2182369999999878</v>
      </c>
      <c r="H1432">
        <v>-2.5845090000002529</v>
      </c>
      <c r="I1432">
        <v>0</v>
      </c>
      <c r="J1432">
        <v>0</v>
      </c>
      <c r="K1432">
        <v>4.4670803300000008</v>
      </c>
      <c r="L1432">
        <v>60.112919669999997</v>
      </c>
      <c r="M1432">
        <v>0</v>
      </c>
      <c r="N1432">
        <v>0</v>
      </c>
      <c r="O1432">
        <v>127.611166999989</v>
      </c>
      <c r="P1432">
        <v>100131.26741299999</v>
      </c>
    </row>
    <row r="1433" spans="1:16" x14ac:dyDescent="0.25">
      <c r="A1433" s="10">
        <v>39714</v>
      </c>
      <c r="B1433">
        <v>257.72391900001122</v>
      </c>
      <c r="C1433">
        <v>88.344999999999999</v>
      </c>
      <c r="D1433">
        <v>0</v>
      </c>
      <c r="E1433">
        <v>0</v>
      </c>
      <c r="F1433">
        <v>0</v>
      </c>
      <c r="G1433">
        <v>10.646551999999989</v>
      </c>
      <c r="H1433">
        <v>146.218581000001</v>
      </c>
      <c r="I1433">
        <v>0</v>
      </c>
      <c r="J1433">
        <v>0</v>
      </c>
      <c r="K1433">
        <v>13.78350528</v>
      </c>
      <c r="L1433">
        <v>4.0964947199999999</v>
      </c>
      <c r="M1433">
        <v>0</v>
      </c>
      <c r="N1433">
        <v>0</v>
      </c>
      <c r="O1433">
        <v>-5.3662139999898386</v>
      </c>
      <c r="P1433">
        <v>100388.99133200001</v>
      </c>
    </row>
    <row r="1434" spans="1:16" x14ac:dyDescent="0.25">
      <c r="A1434" s="10">
        <v>39715</v>
      </c>
      <c r="B1434">
        <v>-730.5033919999986</v>
      </c>
      <c r="C1434">
        <v>31.053000000000001</v>
      </c>
      <c r="D1434">
        <v>0</v>
      </c>
      <c r="E1434">
        <v>0</v>
      </c>
      <c r="F1434">
        <v>0</v>
      </c>
      <c r="G1434">
        <v>-6.6975700000000016</v>
      </c>
      <c r="H1434">
        <v>-858.05403099999967</v>
      </c>
      <c r="I1434">
        <v>0</v>
      </c>
      <c r="J1434">
        <v>0</v>
      </c>
      <c r="K1434">
        <v>4.2795388400000007</v>
      </c>
      <c r="L1434">
        <v>42.250461159999887</v>
      </c>
      <c r="M1434">
        <v>0</v>
      </c>
      <c r="N1434">
        <v>0</v>
      </c>
      <c r="O1434">
        <v>56.665209000001248</v>
      </c>
      <c r="P1434">
        <v>99658.487940000006</v>
      </c>
    </row>
    <row r="1435" spans="1:16" x14ac:dyDescent="0.25">
      <c r="A1435" s="10">
        <v>39716</v>
      </c>
      <c r="B1435">
        <v>-389.21059300001042</v>
      </c>
      <c r="C1435">
        <v>84.018000000000001</v>
      </c>
      <c r="D1435">
        <v>0</v>
      </c>
      <c r="E1435">
        <v>0</v>
      </c>
      <c r="F1435">
        <v>0</v>
      </c>
      <c r="G1435">
        <v>2.273398000000014</v>
      </c>
      <c r="H1435">
        <v>-565.89404100000502</v>
      </c>
      <c r="I1435">
        <v>0</v>
      </c>
      <c r="J1435">
        <v>0</v>
      </c>
      <c r="K1435">
        <v>4.7123725399999996</v>
      </c>
      <c r="L1435">
        <v>7.8776274600000002</v>
      </c>
      <c r="M1435">
        <v>0</v>
      </c>
      <c r="N1435">
        <v>0</v>
      </c>
      <c r="O1435">
        <v>77.802049999994651</v>
      </c>
      <c r="P1435">
        <v>99269.277346999996</v>
      </c>
    </row>
    <row r="1436" spans="1:16" x14ac:dyDescent="0.25">
      <c r="A1436" s="10">
        <v>39717</v>
      </c>
      <c r="B1436">
        <v>369.19168204000738</v>
      </c>
      <c r="C1436">
        <v>112.173</v>
      </c>
      <c r="D1436">
        <v>0</v>
      </c>
      <c r="E1436">
        <v>0</v>
      </c>
      <c r="F1436">
        <v>0</v>
      </c>
      <c r="G1436">
        <v>-139.103927</v>
      </c>
      <c r="H1436">
        <v>332.12494999999939</v>
      </c>
      <c r="I1436">
        <v>0</v>
      </c>
      <c r="J1436">
        <v>0</v>
      </c>
      <c r="K1436">
        <v>4.9660549899999999</v>
      </c>
      <c r="L1436">
        <v>3.9450100000006927E-3</v>
      </c>
      <c r="M1436">
        <v>0</v>
      </c>
      <c r="N1436">
        <v>0</v>
      </c>
      <c r="O1436">
        <v>59.027659040008018</v>
      </c>
      <c r="P1436">
        <v>99638.469029040003</v>
      </c>
    </row>
    <row r="1437" spans="1:16" x14ac:dyDescent="0.25">
      <c r="A1437" s="10">
        <v>39720</v>
      </c>
      <c r="B1437">
        <v>665.57764812999812</v>
      </c>
      <c r="C1437">
        <v>127.893</v>
      </c>
      <c r="D1437">
        <v>0</v>
      </c>
      <c r="E1437">
        <v>530</v>
      </c>
      <c r="F1437">
        <v>0</v>
      </c>
      <c r="G1437">
        <v>109.92</v>
      </c>
      <c r="H1437">
        <v>-289.4387093000023</v>
      </c>
      <c r="I1437">
        <v>0</v>
      </c>
      <c r="J1437">
        <v>0</v>
      </c>
      <c r="K1437">
        <v>6.4610278900000004</v>
      </c>
      <c r="L1437">
        <v>70.08897211</v>
      </c>
      <c r="M1437">
        <v>0</v>
      </c>
      <c r="N1437">
        <v>0</v>
      </c>
      <c r="O1437">
        <v>110.6533574300004</v>
      </c>
      <c r="P1437">
        <v>100304.04667717</v>
      </c>
    </row>
    <row r="1438" spans="1:16" x14ac:dyDescent="0.25">
      <c r="A1438" s="10">
        <v>39721</v>
      </c>
      <c r="B1438">
        <v>1034.898267829994</v>
      </c>
      <c r="C1438">
        <v>-343.17099999999999</v>
      </c>
      <c r="D1438">
        <v>0</v>
      </c>
      <c r="E1438">
        <v>0</v>
      </c>
      <c r="F1438">
        <v>0</v>
      </c>
      <c r="G1438">
        <v>-220.51710199999999</v>
      </c>
      <c r="H1438">
        <v>1426.4980009999999</v>
      </c>
      <c r="I1438">
        <v>0</v>
      </c>
      <c r="J1438">
        <v>0</v>
      </c>
      <c r="K1438">
        <v>4.7599372000000004</v>
      </c>
      <c r="L1438">
        <v>5.0200627999999998</v>
      </c>
      <c r="M1438">
        <v>0</v>
      </c>
      <c r="N1438">
        <v>0</v>
      </c>
      <c r="O1438">
        <v>162.30836882999421</v>
      </c>
      <c r="P1438">
        <v>101338.944945</v>
      </c>
    </row>
    <row r="1439" spans="1:16" x14ac:dyDescent="0.25">
      <c r="A1439" s="10">
        <v>39722</v>
      </c>
      <c r="B1439">
        <v>2967.592398000008</v>
      </c>
      <c r="C1439">
        <v>-74.392500000000013</v>
      </c>
      <c r="D1439">
        <v>0</v>
      </c>
      <c r="E1439">
        <v>0</v>
      </c>
      <c r="F1439">
        <v>0</v>
      </c>
      <c r="G1439">
        <v>5.5728770000000623</v>
      </c>
      <c r="H1439">
        <v>2819.064544999997</v>
      </c>
      <c r="I1439">
        <v>0</v>
      </c>
      <c r="J1439">
        <v>0</v>
      </c>
      <c r="K1439">
        <v>3.9056574899999998</v>
      </c>
      <c r="L1439">
        <v>206.82000000000011</v>
      </c>
      <c r="M1439">
        <v>0</v>
      </c>
      <c r="N1439">
        <v>0</v>
      </c>
      <c r="O1439">
        <v>6.6218185100096889</v>
      </c>
      <c r="P1439">
        <v>104306.537343</v>
      </c>
    </row>
    <row r="1440" spans="1:16" x14ac:dyDescent="0.25">
      <c r="A1440" s="10">
        <v>39723</v>
      </c>
      <c r="B1440">
        <v>-267.41340499999973</v>
      </c>
      <c r="C1440">
        <v>-136.93</v>
      </c>
      <c r="D1440">
        <v>0</v>
      </c>
      <c r="E1440">
        <v>0</v>
      </c>
      <c r="F1440">
        <v>0</v>
      </c>
      <c r="G1440">
        <v>91.10633299999995</v>
      </c>
      <c r="H1440">
        <v>-224.9136929999986</v>
      </c>
      <c r="I1440">
        <v>0</v>
      </c>
      <c r="J1440">
        <v>-44.159999999999847</v>
      </c>
      <c r="K1440">
        <v>0.59939515999989057</v>
      </c>
      <c r="L1440">
        <v>2.060483999999985E-2</v>
      </c>
      <c r="M1440">
        <v>0</v>
      </c>
      <c r="N1440">
        <v>0</v>
      </c>
      <c r="O1440">
        <v>46.863954999998903</v>
      </c>
      <c r="P1440">
        <v>104039.123938</v>
      </c>
    </row>
    <row r="1441" spans="1:16" x14ac:dyDescent="0.25">
      <c r="A1441" s="10">
        <v>39724</v>
      </c>
      <c r="B1441">
        <v>-1755.697318999999</v>
      </c>
      <c r="C1441">
        <v>-136.166</v>
      </c>
      <c r="D1441">
        <v>0</v>
      </c>
      <c r="E1441">
        <v>-1000</v>
      </c>
      <c r="F1441">
        <v>0</v>
      </c>
      <c r="G1441">
        <v>-8.4857060000000502</v>
      </c>
      <c r="H1441">
        <v>-806.61671799999931</v>
      </c>
      <c r="I1441">
        <v>0</v>
      </c>
      <c r="J1441">
        <v>0</v>
      </c>
      <c r="K1441">
        <v>2.4983917999999998</v>
      </c>
      <c r="L1441">
        <v>28.761608200000001</v>
      </c>
      <c r="M1441">
        <v>0</v>
      </c>
      <c r="N1441">
        <v>0</v>
      </c>
      <c r="O1441">
        <v>164.31110500000071</v>
      </c>
      <c r="P1441">
        <v>102283.42661900001</v>
      </c>
    </row>
    <row r="1442" spans="1:16" x14ac:dyDescent="0.25">
      <c r="A1442" s="10">
        <v>39727</v>
      </c>
      <c r="B1442">
        <v>550.71724800000175</v>
      </c>
      <c r="C1442">
        <v>-470.51342100000011</v>
      </c>
      <c r="D1442">
        <v>0</v>
      </c>
      <c r="E1442">
        <v>0</v>
      </c>
      <c r="F1442">
        <v>0</v>
      </c>
      <c r="G1442">
        <v>-12.62455700000004</v>
      </c>
      <c r="H1442">
        <v>887.62532800000008</v>
      </c>
      <c r="I1442">
        <v>0</v>
      </c>
      <c r="J1442">
        <v>0</v>
      </c>
      <c r="K1442">
        <v>4.21</v>
      </c>
      <c r="L1442">
        <v>0.10000000000000139</v>
      </c>
      <c r="M1442">
        <v>0</v>
      </c>
      <c r="N1442">
        <v>0</v>
      </c>
      <c r="O1442">
        <v>141.91989800000169</v>
      </c>
      <c r="P1442">
        <v>102834.14386700001</v>
      </c>
    </row>
    <row r="1443" spans="1:16" x14ac:dyDescent="0.25">
      <c r="A1443" s="10">
        <v>39728</v>
      </c>
      <c r="B1443">
        <v>27.56570799999551</v>
      </c>
      <c r="C1443">
        <v>-229.53399999999999</v>
      </c>
      <c r="D1443">
        <v>0</v>
      </c>
      <c r="E1443">
        <v>0</v>
      </c>
      <c r="F1443">
        <v>0</v>
      </c>
      <c r="G1443">
        <v>-1.69502</v>
      </c>
      <c r="H1443">
        <v>3.5620840000010499</v>
      </c>
      <c r="I1443">
        <v>0</v>
      </c>
      <c r="J1443">
        <v>0</v>
      </c>
      <c r="K1443">
        <v>1.78883382</v>
      </c>
      <c r="L1443">
        <v>20.321166179999999</v>
      </c>
      <c r="M1443">
        <v>0</v>
      </c>
      <c r="N1443">
        <v>0</v>
      </c>
      <c r="O1443">
        <v>233.12264399999441</v>
      </c>
      <c r="P1443">
        <v>102861.709575</v>
      </c>
    </row>
    <row r="1444" spans="1:16" x14ac:dyDescent="0.25">
      <c r="A1444" s="10">
        <v>39729</v>
      </c>
      <c r="B1444">
        <v>-439.50318300000799</v>
      </c>
      <c r="C1444">
        <v>-1102.3019999999999</v>
      </c>
      <c r="D1444">
        <v>0</v>
      </c>
      <c r="E1444">
        <v>0</v>
      </c>
      <c r="F1444">
        <v>0</v>
      </c>
      <c r="G1444">
        <v>-8.6693079999998872</v>
      </c>
      <c r="H1444">
        <v>551.08026204408088</v>
      </c>
      <c r="I1444">
        <v>0</v>
      </c>
      <c r="J1444">
        <v>0</v>
      </c>
      <c r="K1444">
        <v>2.1961150599999999</v>
      </c>
      <c r="L1444">
        <v>-1.1761150600000521</v>
      </c>
      <c r="M1444">
        <v>0</v>
      </c>
      <c r="N1444">
        <v>0</v>
      </c>
      <c r="O1444">
        <v>119.36786295591089</v>
      </c>
      <c r="P1444">
        <v>102422.20639199999</v>
      </c>
    </row>
    <row r="1445" spans="1:16" x14ac:dyDescent="0.25">
      <c r="A1445" s="10">
        <v>39730</v>
      </c>
      <c r="B1445">
        <v>659.24969700000656</v>
      </c>
      <c r="C1445">
        <v>-480.55599999999998</v>
      </c>
      <c r="D1445">
        <v>0</v>
      </c>
      <c r="E1445">
        <v>0</v>
      </c>
      <c r="F1445">
        <v>0</v>
      </c>
      <c r="G1445">
        <v>-2.0480499999999888</v>
      </c>
      <c r="H1445">
        <v>921.04421399999774</v>
      </c>
      <c r="I1445">
        <v>0</v>
      </c>
      <c r="J1445">
        <v>0</v>
      </c>
      <c r="K1445">
        <v>2.8801696900000011</v>
      </c>
      <c r="L1445">
        <v>121.98983031</v>
      </c>
      <c r="M1445">
        <v>0</v>
      </c>
      <c r="N1445">
        <v>0</v>
      </c>
      <c r="O1445">
        <v>95.939533000008851</v>
      </c>
      <c r="P1445">
        <v>103081.456089</v>
      </c>
    </row>
    <row r="1446" spans="1:16" x14ac:dyDescent="0.25">
      <c r="A1446" s="10">
        <v>39731</v>
      </c>
      <c r="B1446">
        <v>974.01479199998778</v>
      </c>
      <c r="C1446">
        <v>-1167.3266000000001</v>
      </c>
      <c r="D1446">
        <v>0</v>
      </c>
      <c r="E1446">
        <v>1000</v>
      </c>
      <c r="F1446">
        <v>0</v>
      </c>
      <c r="G1446">
        <v>-9.3379529999999704</v>
      </c>
      <c r="H1446">
        <v>1154.041369</v>
      </c>
      <c r="I1446">
        <v>0</v>
      </c>
      <c r="J1446">
        <v>0</v>
      </c>
      <c r="K1446">
        <v>2.917675280000001</v>
      </c>
      <c r="L1446">
        <v>106.03232472000001</v>
      </c>
      <c r="M1446">
        <v>0</v>
      </c>
      <c r="N1446">
        <v>0</v>
      </c>
      <c r="O1446">
        <v>-112.3120240000126</v>
      </c>
      <c r="P1446">
        <v>104055.470881</v>
      </c>
    </row>
    <row r="1447" spans="1:16" x14ac:dyDescent="0.25">
      <c r="A1447" s="10">
        <v>39735</v>
      </c>
      <c r="B1447">
        <v>-107.30419099998809</v>
      </c>
      <c r="C1447">
        <v>-17.6995</v>
      </c>
      <c r="D1447">
        <v>0</v>
      </c>
      <c r="E1447">
        <v>0</v>
      </c>
      <c r="F1447">
        <v>0</v>
      </c>
      <c r="G1447">
        <v>-85.670514000000026</v>
      </c>
      <c r="H1447">
        <v>-42.133733999999997</v>
      </c>
      <c r="I1447">
        <v>0</v>
      </c>
      <c r="J1447">
        <v>0</v>
      </c>
      <c r="K1447">
        <v>2.9609648800000001</v>
      </c>
      <c r="L1447">
        <v>99.559035120000004</v>
      </c>
      <c r="M1447">
        <v>0</v>
      </c>
      <c r="N1447">
        <v>0</v>
      </c>
      <c r="O1447">
        <v>-64.320442999988032</v>
      </c>
      <c r="P1447">
        <v>103948.16669</v>
      </c>
    </row>
    <row r="1448" spans="1:16" x14ac:dyDescent="0.25">
      <c r="A1448" s="10">
        <v>39736</v>
      </c>
      <c r="B1448">
        <v>27.050662000009229</v>
      </c>
      <c r="C1448">
        <v>67.172499999999999</v>
      </c>
      <c r="D1448">
        <v>0</v>
      </c>
      <c r="E1448">
        <v>0</v>
      </c>
      <c r="F1448">
        <v>0</v>
      </c>
      <c r="G1448">
        <v>44.23439099999996</v>
      </c>
      <c r="H1448">
        <v>-910.81286300000011</v>
      </c>
      <c r="I1448">
        <v>0</v>
      </c>
      <c r="J1448">
        <v>0</v>
      </c>
      <c r="K1448">
        <v>2.25584183</v>
      </c>
      <c r="L1448">
        <v>737.69415816999992</v>
      </c>
      <c r="M1448">
        <v>0</v>
      </c>
      <c r="N1448">
        <v>0</v>
      </c>
      <c r="O1448">
        <v>86.506634000009427</v>
      </c>
      <c r="P1448">
        <v>103975.21735200001</v>
      </c>
    </row>
    <row r="1449" spans="1:16" x14ac:dyDescent="0.25">
      <c r="A1449" s="10">
        <v>39737</v>
      </c>
      <c r="B1449">
        <v>-239.00569099999771</v>
      </c>
      <c r="C1449">
        <v>12.8032</v>
      </c>
      <c r="D1449">
        <v>0</v>
      </c>
      <c r="E1449">
        <v>0</v>
      </c>
      <c r="F1449">
        <v>0</v>
      </c>
      <c r="G1449">
        <v>11.61385799999999</v>
      </c>
      <c r="H1449">
        <v>-583.68825499999821</v>
      </c>
      <c r="I1449">
        <v>0</v>
      </c>
      <c r="J1449">
        <v>0</v>
      </c>
      <c r="K1449">
        <v>3.262073239999999</v>
      </c>
      <c r="L1449">
        <v>62.77792676</v>
      </c>
      <c r="M1449">
        <v>0</v>
      </c>
      <c r="N1449">
        <v>0</v>
      </c>
      <c r="O1449">
        <v>254.22550600000059</v>
      </c>
      <c r="P1449">
        <v>103736.21166099999</v>
      </c>
    </row>
    <row r="1450" spans="1:16" x14ac:dyDescent="0.25">
      <c r="A1450" s="10">
        <v>39738</v>
      </c>
      <c r="B1450">
        <v>-908.63810480000507</v>
      </c>
      <c r="C1450">
        <v>-288.63</v>
      </c>
      <c r="D1450">
        <v>0</v>
      </c>
      <c r="E1450">
        <v>0</v>
      </c>
      <c r="F1450">
        <v>0</v>
      </c>
      <c r="G1450">
        <v>-134.70685599999999</v>
      </c>
      <c r="H1450">
        <v>-698.45177800000056</v>
      </c>
      <c r="I1450">
        <v>0</v>
      </c>
      <c r="J1450">
        <v>0</v>
      </c>
      <c r="K1450">
        <v>13.81860234</v>
      </c>
      <c r="L1450">
        <v>7.8413976600000002</v>
      </c>
      <c r="M1450">
        <v>0</v>
      </c>
      <c r="N1450">
        <v>0</v>
      </c>
      <c r="O1450">
        <v>191.49052919999531</v>
      </c>
      <c r="P1450">
        <v>102827.5735562</v>
      </c>
    </row>
    <row r="1451" spans="1:16" x14ac:dyDescent="0.25">
      <c r="A1451" s="10">
        <v>39741</v>
      </c>
      <c r="B1451">
        <v>-848.42871019999438</v>
      </c>
      <c r="C1451">
        <v>-413.45</v>
      </c>
      <c r="D1451">
        <v>0</v>
      </c>
      <c r="E1451">
        <v>0</v>
      </c>
      <c r="F1451">
        <v>0</v>
      </c>
      <c r="G1451">
        <v>212.95919499999999</v>
      </c>
      <c r="H1451">
        <v>-939.8236620000007</v>
      </c>
      <c r="I1451">
        <v>0</v>
      </c>
      <c r="J1451">
        <v>0</v>
      </c>
      <c r="K1451">
        <v>4.2549499500000003</v>
      </c>
      <c r="L1451">
        <v>4.5850500499999987</v>
      </c>
      <c r="M1451">
        <v>0</v>
      </c>
      <c r="N1451">
        <v>0</v>
      </c>
      <c r="O1451">
        <v>283.04575680000607</v>
      </c>
      <c r="P1451">
        <v>101979.144846</v>
      </c>
    </row>
    <row r="1452" spans="1:16" x14ac:dyDescent="0.25">
      <c r="A1452" s="10">
        <v>39742</v>
      </c>
      <c r="B1452">
        <v>-1575.4293730000049</v>
      </c>
      <c r="C1452">
        <v>-777.84</v>
      </c>
      <c r="D1452">
        <v>0</v>
      </c>
      <c r="E1452">
        <v>-1000</v>
      </c>
      <c r="F1452">
        <v>0</v>
      </c>
      <c r="G1452">
        <v>18.739412000000069</v>
      </c>
      <c r="H1452">
        <v>-6.3543439999994007</v>
      </c>
      <c r="I1452">
        <v>0</v>
      </c>
      <c r="J1452">
        <v>0</v>
      </c>
      <c r="K1452">
        <v>2.314432650000001</v>
      </c>
      <c r="L1452">
        <v>2.7755673499999989</v>
      </c>
      <c r="M1452">
        <v>0</v>
      </c>
      <c r="N1452">
        <v>0</v>
      </c>
      <c r="O1452">
        <v>184.9355589999943</v>
      </c>
      <c r="P1452">
        <v>100403.715473</v>
      </c>
    </row>
    <row r="1453" spans="1:16" x14ac:dyDescent="0.25">
      <c r="A1453" s="10">
        <v>39743</v>
      </c>
      <c r="B1453">
        <v>-568.42323100000726</v>
      </c>
      <c r="C1453">
        <v>-153.22200000000001</v>
      </c>
      <c r="D1453">
        <v>0</v>
      </c>
      <c r="E1453">
        <v>0</v>
      </c>
      <c r="F1453">
        <v>0</v>
      </c>
      <c r="G1453">
        <v>7.6806330000000003</v>
      </c>
      <c r="H1453">
        <v>-1135.8828940000001</v>
      </c>
      <c r="I1453">
        <v>0</v>
      </c>
      <c r="J1453">
        <v>0</v>
      </c>
      <c r="K1453">
        <v>2.2247947199999998</v>
      </c>
      <c r="L1453">
        <v>632.09520527999996</v>
      </c>
      <c r="M1453">
        <v>0</v>
      </c>
      <c r="N1453">
        <v>0</v>
      </c>
      <c r="O1453">
        <v>78.681029999993029</v>
      </c>
      <c r="P1453">
        <v>99835.292241999996</v>
      </c>
    </row>
    <row r="1454" spans="1:16" x14ac:dyDescent="0.25">
      <c r="A1454" s="10">
        <v>39744</v>
      </c>
      <c r="B1454">
        <v>1152.973081999997</v>
      </c>
      <c r="C1454">
        <v>-707.34</v>
      </c>
      <c r="D1454">
        <v>0</v>
      </c>
      <c r="E1454">
        <v>1000</v>
      </c>
      <c r="F1454">
        <v>0</v>
      </c>
      <c r="G1454">
        <v>-13.79889800000007</v>
      </c>
      <c r="H1454">
        <v>527.70044699999926</v>
      </c>
      <c r="I1454">
        <v>0</v>
      </c>
      <c r="J1454">
        <v>0</v>
      </c>
      <c r="K1454">
        <v>4.0926120799999994</v>
      </c>
      <c r="L1454">
        <v>80.587387919999998</v>
      </c>
      <c r="M1454">
        <v>0</v>
      </c>
      <c r="N1454">
        <v>0</v>
      </c>
      <c r="O1454">
        <v>261.73153299999808</v>
      </c>
      <c r="P1454">
        <v>100988.26532400001</v>
      </c>
    </row>
    <row r="1455" spans="1:16" x14ac:dyDescent="0.25">
      <c r="A1455" s="10">
        <v>39745</v>
      </c>
      <c r="B1455">
        <v>-495.31856999998797</v>
      </c>
      <c r="C1455">
        <v>-1122.681</v>
      </c>
      <c r="D1455">
        <v>0</v>
      </c>
      <c r="E1455">
        <v>0</v>
      </c>
      <c r="F1455">
        <v>0</v>
      </c>
      <c r="G1455">
        <v>-40.692673999999997</v>
      </c>
      <c r="H1455">
        <v>257.09366600000072</v>
      </c>
      <c r="I1455">
        <v>0</v>
      </c>
      <c r="J1455">
        <v>0</v>
      </c>
      <c r="K1455">
        <v>4.9242623300000004</v>
      </c>
      <c r="L1455">
        <v>157.02573767000001</v>
      </c>
      <c r="M1455">
        <v>0</v>
      </c>
      <c r="N1455">
        <v>0</v>
      </c>
      <c r="O1455">
        <v>249.01143800001131</v>
      </c>
      <c r="P1455">
        <v>100492.946754</v>
      </c>
    </row>
    <row r="1456" spans="1:16" x14ac:dyDescent="0.25">
      <c r="A1456" s="10">
        <v>39748</v>
      </c>
      <c r="B1456">
        <v>-576.77765699999964</v>
      </c>
      <c r="C1456">
        <v>-683.29060000000004</v>
      </c>
      <c r="D1456">
        <v>0</v>
      </c>
      <c r="E1456">
        <v>0</v>
      </c>
      <c r="F1456">
        <v>0</v>
      </c>
      <c r="G1456">
        <v>17.857526</v>
      </c>
      <c r="H1456">
        <v>48.361596000000652</v>
      </c>
      <c r="I1456">
        <v>0</v>
      </c>
      <c r="J1456">
        <v>0</v>
      </c>
      <c r="K1456">
        <v>5.6209757600000012</v>
      </c>
      <c r="L1456">
        <v>82.81902423999999</v>
      </c>
      <c r="M1456">
        <v>0</v>
      </c>
      <c r="N1456">
        <v>0</v>
      </c>
      <c r="O1456">
        <v>-48.14617900000021</v>
      </c>
      <c r="P1456">
        <v>99916.169097000005</v>
      </c>
    </row>
    <row r="1457" spans="1:16" x14ac:dyDescent="0.25">
      <c r="A1457" s="10">
        <v>39749</v>
      </c>
      <c r="B1457">
        <v>-853.63434099999677</v>
      </c>
      <c r="C1457">
        <v>-718.31869999999992</v>
      </c>
      <c r="D1457">
        <v>0</v>
      </c>
      <c r="E1457">
        <v>0</v>
      </c>
      <c r="F1457">
        <v>0</v>
      </c>
      <c r="G1457">
        <v>-5.7722569999999997</v>
      </c>
      <c r="H1457">
        <v>-598.52261900000121</v>
      </c>
      <c r="I1457">
        <v>0</v>
      </c>
      <c r="J1457">
        <v>0</v>
      </c>
      <c r="K1457">
        <v>2.7557152299999998</v>
      </c>
      <c r="L1457">
        <v>35.404284769999997</v>
      </c>
      <c r="M1457">
        <v>0</v>
      </c>
      <c r="N1457">
        <v>0</v>
      </c>
      <c r="O1457">
        <v>430.81923500000431</v>
      </c>
      <c r="P1457">
        <v>99062.534756000008</v>
      </c>
    </row>
    <row r="1458" spans="1:16" x14ac:dyDescent="0.25">
      <c r="A1458" s="10">
        <v>39750</v>
      </c>
      <c r="B1458">
        <v>3374.2679599999979</v>
      </c>
      <c r="C1458">
        <v>-1022.293</v>
      </c>
      <c r="D1458">
        <v>0</v>
      </c>
      <c r="E1458">
        <v>0</v>
      </c>
      <c r="F1458">
        <v>0</v>
      </c>
      <c r="G1458">
        <v>-8.6070650000000075</v>
      </c>
      <c r="H1458">
        <v>3671.6256000000039</v>
      </c>
      <c r="I1458">
        <v>0</v>
      </c>
      <c r="J1458">
        <v>0</v>
      </c>
      <c r="K1458">
        <v>4.0162078599999989</v>
      </c>
      <c r="L1458">
        <v>757.67379213999993</v>
      </c>
      <c r="M1458">
        <v>0</v>
      </c>
      <c r="N1458">
        <v>0</v>
      </c>
      <c r="O1458">
        <v>-28.147575000006331</v>
      </c>
      <c r="P1458">
        <v>102436.80271600001</v>
      </c>
    </row>
    <row r="1459" spans="1:16" x14ac:dyDescent="0.25">
      <c r="A1459" s="10">
        <v>39751</v>
      </c>
      <c r="B1459">
        <v>1396.610159000003</v>
      </c>
      <c r="C1459">
        <v>14.06195</v>
      </c>
      <c r="D1459">
        <v>0</v>
      </c>
      <c r="E1459">
        <v>0</v>
      </c>
      <c r="F1459">
        <v>0</v>
      </c>
      <c r="G1459">
        <v>-82.199696000000003</v>
      </c>
      <c r="H1459">
        <v>1230.820615000001</v>
      </c>
      <c r="I1459">
        <v>0</v>
      </c>
      <c r="J1459">
        <v>0</v>
      </c>
      <c r="K1459">
        <v>3.7586369799999999</v>
      </c>
      <c r="L1459">
        <v>41.201363020000002</v>
      </c>
      <c r="M1459">
        <v>0</v>
      </c>
      <c r="N1459">
        <v>0</v>
      </c>
      <c r="O1459">
        <v>188.967290000003</v>
      </c>
      <c r="P1459">
        <v>103833.41287499999</v>
      </c>
    </row>
    <row r="1460" spans="1:16" x14ac:dyDescent="0.25">
      <c r="A1460" s="10">
        <v>39752</v>
      </c>
      <c r="B1460">
        <v>-473.31017200001207</v>
      </c>
      <c r="C1460">
        <v>-1779.73947</v>
      </c>
      <c r="D1460">
        <v>0</v>
      </c>
      <c r="E1460">
        <v>0</v>
      </c>
      <c r="F1460">
        <v>0</v>
      </c>
      <c r="G1460">
        <v>-47.076567999999988</v>
      </c>
      <c r="H1460">
        <v>899.39271999999892</v>
      </c>
      <c r="I1460">
        <v>0</v>
      </c>
      <c r="J1460">
        <v>0</v>
      </c>
      <c r="K1460">
        <v>2.35275371</v>
      </c>
      <c r="L1460">
        <v>1.90724629</v>
      </c>
      <c r="M1460">
        <v>0</v>
      </c>
      <c r="N1460">
        <v>0</v>
      </c>
      <c r="O1460">
        <v>449.8531459999889</v>
      </c>
      <c r="P1460">
        <v>103360.102703</v>
      </c>
    </row>
    <row r="1461" spans="1:16" x14ac:dyDescent="0.25">
      <c r="A1461" s="10">
        <v>39755</v>
      </c>
      <c r="B1461">
        <v>-228.10970899999691</v>
      </c>
      <c r="C1461">
        <v>-372.21429999999998</v>
      </c>
      <c r="D1461">
        <v>0</v>
      </c>
      <c r="E1461">
        <v>0</v>
      </c>
      <c r="F1461">
        <v>0</v>
      </c>
      <c r="G1461">
        <v>10.618999000000001</v>
      </c>
      <c r="H1461">
        <v>255.06761000000009</v>
      </c>
      <c r="I1461">
        <v>0</v>
      </c>
      <c r="J1461">
        <v>0</v>
      </c>
      <c r="K1461">
        <v>3.0750156099999999</v>
      </c>
      <c r="L1461">
        <v>8.8899999999999988</v>
      </c>
      <c r="M1461">
        <v>0</v>
      </c>
      <c r="N1461">
        <v>0</v>
      </c>
      <c r="O1461">
        <v>-133.54703360999699</v>
      </c>
      <c r="P1461">
        <v>103131.992994</v>
      </c>
    </row>
    <row r="1462" spans="1:16" x14ac:dyDescent="0.25">
      <c r="A1462" s="10">
        <v>39756</v>
      </c>
      <c r="B1462">
        <v>-1351.989322000009</v>
      </c>
      <c r="C1462">
        <v>86.326999999999998</v>
      </c>
      <c r="D1462">
        <v>-202.12200000000001</v>
      </c>
      <c r="E1462">
        <v>0</v>
      </c>
      <c r="F1462">
        <v>0</v>
      </c>
      <c r="G1462">
        <v>-2.1080089999999809</v>
      </c>
      <c r="H1462">
        <v>-1076.0900500000009</v>
      </c>
      <c r="I1462">
        <v>0</v>
      </c>
      <c r="J1462">
        <v>-44.390000000000327</v>
      </c>
      <c r="K1462">
        <v>-2.3199999999998</v>
      </c>
      <c r="L1462">
        <v>3.71</v>
      </c>
      <c r="M1462">
        <v>0</v>
      </c>
      <c r="N1462">
        <v>0</v>
      </c>
      <c r="O1462">
        <v>-114.9962630000082</v>
      </c>
      <c r="P1462">
        <v>101780.00367200001</v>
      </c>
    </row>
    <row r="1463" spans="1:16" x14ac:dyDescent="0.25">
      <c r="A1463" s="10">
        <v>39757</v>
      </c>
      <c r="B1463">
        <v>-35.291506412001922</v>
      </c>
      <c r="C1463">
        <v>474.79599999999988</v>
      </c>
      <c r="D1463">
        <v>0</v>
      </c>
      <c r="E1463">
        <v>0</v>
      </c>
      <c r="F1463">
        <v>0</v>
      </c>
      <c r="G1463">
        <v>-8.1519909999999989</v>
      </c>
      <c r="H1463">
        <v>-975.6463449999992</v>
      </c>
      <c r="I1463">
        <v>0</v>
      </c>
      <c r="J1463">
        <v>0</v>
      </c>
      <c r="K1463">
        <v>1.5074940999999999</v>
      </c>
      <c r="L1463">
        <v>1061.4625059</v>
      </c>
      <c r="M1463">
        <v>0</v>
      </c>
      <c r="N1463">
        <v>0</v>
      </c>
      <c r="O1463">
        <v>-589.25917041200262</v>
      </c>
      <c r="P1463">
        <v>101744.712165588</v>
      </c>
    </row>
    <row r="1464" spans="1:16" x14ac:dyDescent="0.25">
      <c r="A1464" s="10">
        <v>39759</v>
      </c>
      <c r="B1464">
        <v>66.70481229200918</v>
      </c>
      <c r="C1464">
        <v>261.54664000000002</v>
      </c>
      <c r="D1464">
        <v>0</v>
      </c>
      <c r="E1464">
        <v>0</v>
      </c>
      <c r="F1464">
        <v>0</v>
      </c>
      <c r="G1464">
        <v>-4.0120000000000013</v>
      </c>
      <c r="H1464">
        <v>-256.78191342000082</v>
      </c>
      <c r="I1464">
        <v>0</v>
      </c>
      <c r="J1464">
        <v>0</v>
      </c>
      <c r="K1464">
        <v>3.12076149</v>
      </c>
      <c r="L1464">
        <v>43.089238510000001</v>
      </c>
      <c r="M1464">
        <v>0</v>
      </c>
      <c r="N1464">
        <v>0</v>
      </c>
      <c r="O1464">
        <v>19.742085712009981</v>
      </c>
      <c r="P1464">
        <v>101811.41697788</v>
      </c>
    </row>
    <row r="1465" spans="1:16" x14ac:dyDescent="0.25">
      <c r="A1465" s="10">
        <v>39762</v>
      </c>
      <c r="B1465">
        <v>-1408.554446880006</v>
      </c>
      <c r="C1465">
        <v>376.44479999999999</v>
      </c>
      <c r="D1465">
        <v>-198.2</v>
      </c>
      <c r="E1465">
        <v>-600</v>
      </c>
      <c r="F1465">
        <v>0</v>
      </c>
      <c r="G1465">
        <v>189.685046</v>
      </c>
      <c r="H1465">
        <v>-1166.6900870000011</v>
      </c>
      <c r="I1465">
        <v>0</v>
      </c>
      <c r="J1465">
        <v>0</v>
      </c>
      <c r="K1465">
        <v>3.900492139999999</v>
      </c>
      <c r="L1465">
        <v>-4.92139999998642E-4</v>
      </c>
      <c r="M1465">
        <v>0</v>
      </c>
      <c r="N1465">
        <v>0</v>
      </c>
      <c r="O1465">
        <v>-13.69420588000548</v>
      </c>
      <c r="P1465">
        <v>100402.86253100001</v>
      </c>
    </row>
    <row r="1466" spans="1:16" x14ac:dyDescent="0.25">
      <c r="A1466" s="10">
        <v>39763</v>
      </c>
      <c r="B1466">
        <v>283.71446200001822</v>
      </c>
      <c r="C1466">
        <v>-1.982</v>
      </c>
      <c r="D1466">
        <v>0</v>
      </c>
      <c r="E1466">
        <v>0</v>
      </c>
      <c r="F1466">
        <v>0</v>
      </c>
      <c r="G1466">
        <v>-12.55849499999999</v>
      </c>
      <c r="H1466">
        <v>388.95056900000151</v>
      </c>
      <c r="I1466">
        <v>0</v>
      </c>
      <c r="J1466">
        <v>0</v>
      </c>
      <c r="K1466">
        <v>2.1107365800000002</v>
      </c>
      <c r="L1466">
        <v>9.2634199999999112E-3</v>
      </c>
      <c r="M1466">
        <v>0</v>
      </c>
      <c r="N1466">
        <v>0</v>
      </c>
      <c r="O1466">
        <v>-92.815611999983275</v>
      </c>
      <c r="P1466">
        <v>100686.576993</v>
      </c>
    </row>
    <row r="1467" spans="1:16" x14ac:dyDescent="0.25">
      <c r="A1467" s="10">
        <v>39764</v>
      </c>
      <c r="B1467">
        <v>487.2225097000055</v>
      </c>
      <c r="C1467">
        <v>421.33800000000002</v>
      </c>
      <c r="D1467">
        <v>0</v>
      </c>
      <c r="E1467">
        <v>0</v>
      </c>
      <c r="F1467">
        <v>0</v>
      </c>
      <c r="G1467">
        <v>-19.419991</v>
      </c>
      <c r="H1467">
        <v>-548.40273900000011</v>
      </c>
      <c r="I1467">
        <v>0</v>
      </c>
      <c r="J1467">
        <v>0</v>
      </c>
      <c r="K1467">
        <v>13.726450379999999</v>
      </c>
      <c r="L1467">
        <v>563.43354962000001</v>
      </c>
      <c r="M1467">
        <v>0</v>
      </c>
      <c r="N1467">
        <v>0</v>
      </c>
      <c r="O1467">
        <v>56.547239700005647</v>
      </c>
      <c r="P1467">
        <v>101173.7995027</v>
      </c>
    </row>
    <row r="1468" spans="1:16" x14ac:dyDescent="0.25">
      <c r="A1468" s="10">
        <v>39765</v>
      </c>
      <c r="B1468">
        <v>-497.77804370001741</v>
      </c>
      <c r="C1468">
        <v>261.58528999999999</v>
      </c>
      <c r="D1468">
        <v>-115.57</v>
      </c>
      <c r="E1468">
        <v>0</v>
      </c>
      <c r="F1468">
        <v>0</v>
      </c>
      <c r="G1468">
        <v>-17.83405999999998</v>
      </c>
      <c r="H1468">
        <v>-702.47686099999919</v>
      </c>
      <c r="I1468">
        <v>0</v>
      </c>
      <c r="J1468">
        <v>0</v>
      </c>
      <c r="K1468">
        <v>1.9637138300000001</v>
      </c>
      <c r="L1468">
        <v>32.286286169999997</v>
      </c>
      <c r="M1468">
        <v>0</v>
      </c>
      <c r="N1468">
        <v>0</v>
      </c>
      <c r="O1468">
        <v>42.267587299981763</v>
      </c>
      <c r="P1468">
        <v>100676.021459</v>
      </c>
    </row>
    <row r="1469" spans="1:16" x14ac:dyDescent="0.25">
      <c r="A1469" s="10">
        <v>39766</v>
      </c>
      <c r="B1469">
        <v>180.23736300000741</v>
      </c>
      <c r="C1469">
        <v>212.6755</v>
      </c>
      <c r="D1469">
        <v>-148.87350000000001</v>
      </c>
      <c r="E1469">
        <v>0</v>
      </c>
      <c r="F1469">
        <v>0</v>
      </c>
      <c r="G1469">
        <v>-33.059812999999991</v>
      </c>
      <c r="H1469">
        <v>48.93152100000043</v>
      </c>
      <c r="I1469">
        <v>0</v>
      </c>
      <c r="J1469">
        <v>0</v>
      </c>
      <c r="K1469">
        <v>2.5756654499999998</v>
      </c>
      <c r="L1469">
        <v>100.64433455</v>
      </c>
      <c r="M1469">
        <v>0</v>
      </c>
      <c r="N1469">
        <v>0</v>
      </c>
      <c r="O1469">
        <v>-2.6563449999930562</v>
      </c>
      <c r="P1469">
        <v>100856.258822</v>
      </c>
    </row>
    <row r="1470" spans="1:16" x14ac:dyDescent="0.25">
      <c r="A1470" s="10">
        <v>39769</v>
      </c>
      <c r="B1470">
        <v>-878.07338999999138</v>
      </c>
      <c r="C1470">
        <v>242.85443000000001</v>
      </c>
      <c r="D1470">
        <v>0</v>
      </c>
      <c r="E1470">
        <v>0</v>
      </c>
      <c r="F1470">
        <v>0</v>
      </c>
      <c r="G1470">
        <v>13.529999999999969</v>
      </c>
      <c r="H1470">
        <v>-1129.2969529999989</v>
      </c>
      <c r="I1470">
        <v>0</v>
      </c>
      <c r="J1470">
        <v>0</v>
      </c>
      <c r="K1470">
        <v>5.6769867300000003</v>
      </c>
      <c r="L1470">
        <v>4.8930132700000009</v>
      </c>
      <c r="M1470">
        <v>0</v>
      </c>
      <c r="N1470">
        <v>0</v>
      </c>
      <c r="O1470">
        <v>-15.73086699999214</v>
      </c>
      <c r="P1470">
        <v>99978.185432000013</v>
      </c>
    </row>
    <row r="1471" spans="1:16" x14ac:dyDescent="0.25">
      <c r="A1471" s="10">
        <v>39770</v>
      </c>
      <c r="B1471">
        <v>-637.24176100002592</v>
      </c>
      <c r="C1471">
        <v>202.45410000000001</v>
      </c>
      <c r="D1471">
        <v>0</v>
      </c>
      <c r="E1471">
        <v>0</v>
      </c>
      <c r="F1471">
        <v>0</v>
      </c>
      <c r="G1471">
        <v>-343.42173300000002</v>
      </c>
      <c r="H1471">
        <v>-536.10910200000035</v>
      </c>
      <c r="I1471">
        <v>0</v>
      </c>
      <c r="J1471">
        <v>0</v>
      </c>
      <c r="K1471">
        <v>2.53998561</v>
      </c>
      <c r="L1471">
        <v>2.790014390000001</v>
      </c>
      <c r="M1471">
        <v>0</v>
      </c>
      <c r="N1471">
        <v>0</v>
      </c>
      <c r="O1471">
        <v>34.504973999974368</v>
      </c>
      <c r="P1471">
        <v>99340.943670999986</v>
      </c>
    </row>
    <row r="1472" spans="1:16" x14ac:dyDescent="0.25">
      <c r="A1472" s="10">
        <v>39771</v>
      </c>
      <c r="B1472">
        <v>920.19687000001522</v>
      </c>
      <c r="C1472">
        <v>-35.822631999999999</v>
      </c>
      <c r="D1472">
        <v>0</v>
      </c>
      <c r="E1472">
        <v>0</v>
      </c>
      <c r="F1472">
        <v>0</v>
      </c>
      <c r="G1472">
        <v>392.63032800000002</v>
      </c>
      <c r="H1472">
        <v>-278.71710799999892</v>
      </c>
      <c r="I1472">
        <v>0</v>
      </c>
      <c r="J1472">
        <v>0</v>
      </c>
      <c r="K1472">
        <v>3.5973485399999992</v>
      </c>
      <c r="L1472">
        <v>795.69265145999998</v>
      </c>
      <c r="M1472">
        <v>0</v>
      </c>
      <c r="N1472">
        <v>0</v>
      </c>
      <c r="O1472">
        <v>42.816282000014148</v>
      </c>
      <c r="P1472">
        <v>100261.140541</v>
      </c>
    </row>
    <row r="1473" spans="1:16" x14ac:dyDescent="0.25">
      <c r="A1473" s="10">
        <v>39772</v>
      </c>
      <c r="B1473">
        <v>-1897.645927000005</v>
      </c>
      <c r="C1473">
        <v>97.497</v>
      </c>
      <c r="D1473">
        <v>0</v>
      </c>
      <c r="E1473">
        <v>-1700</v>
      </c>
      <c r="F1473">
        <v>0</v>
      </c>
      <c r="G1473">
        <v>47.521245000000079</v>
      </c>
      <c r="H1473">
        <v>-403.89045799999991</v>
      </c>
      <c r="I1473">
        <v>0</v>
      </c>
      <c r="J1473">
        <v>0</v>
      </c>
      <c r="K1473">
        <v>2.4022889200000002</v>
      </c>
      <c r="L1473">
        <v>29.50771108</v>
      </c>
      <c r="M1473">
        <v>0</v>
      </c>
      <c r="N1473">
        <v>0</v>
      </c>
      <c r="O1473">
        <v>29.316285999994079</v>
      </c>
      <c r="P1473">
        <v>98363.494613999996</v>
      </c>
    </row>
    <row r="1474" spans="1:16" x14ac:dyDescent="0.25">
      <c r="A1474" s="10">
        <v>39773</v>
      </c>
      <c r="B1474">
        <v>1519.873907000014</v>
      </c>
      <c r="C1474">
        <v>-15.66004</v>
      </c>
      <c r="D1474">
        <v>0</v>
      </c>
      <c r="E1474">
        <v>1700</v>
      </c>
      <c r="F1474">
        <v>0</v>
      </c>
      <c r="G1474">
        <v>-5.6434590000000506</v>
      </c>
      <c r="H1474">
        <v>-245.10299999999921</v>
      </c>
      <c r="I1474">
        <v>0</v>
      </c>
      <c r="J1474">
        <v>0</v>
      </c>
      <c r="K1474">
        <v>1.8</v>
      </c>
      <c r="L1474">
        <v>0.69000000000000017</v>
      </c>
      <c r="M1474">
        <v>0</v>
      </c>
      <c r="N1474">
        <v>0</v>
      </c>
      <c r="O1474">
        <v>83.790406000013718</v>
      </c>
      <c r="P1474">
        <v>99883.368521000011</v>
      </c>
    </row>
    <row r="1475" spans="1:16" x14ac:dyDescent="0.25">
      <c r="A1475" s="10">
        <v>39776</v>
      </c>
      <c r="B1475">
        <v>876.46115400000338</v>
      </c>
      <c r="C1475">
        <v>-98.462999999999994</v>
      </c>
      <c r="D1475">
        <v>0</v>
      </c>
      <c r="E1475">
        <v>0</v>
      </c>
      <c r="F1475">
        <v>0</v>
      </c>
      <c r="G1475">
        <v>9.5350750000000062</v>
      </c>
      <c r="H1475">
        <v>951.06608899999992</v>
      </c>
      <c r="I1475">
        <v>0</v>
      </c>
      <c r="J1475">
        <v>0</v>
      </c>
      <c r="K1475">
        <v>5.5526754300000007</v>
      </c>
      <c r="L1475">
        <v>39.897324569999988</v>
      </c>
      <c r="M1475">
        <v>0</v>
      </c>
      <c r="N1475">
        <v>0</v>
      </c>
      <c r="O1475">
        <v>-31.127009999996609</v>
      </c>
      <c r="P1475">
        <v>100759.829675</v>
      </c>
    </row>
    <row r="1476" spans="1:16" x14ac:dyDescent="0.25">
      <c r="A1476" s="10">
        <v>39777</v>
      </c>
      <c r="B1476">
        <v>768.34702699999502</v>
      </c>
      <c r="C1476">
        <v>-80.497500000000002</v>
      </c>
      <c r="D1476">
        <v>0</v>
      </c>
      <c r="E1476">
        <v>0</v>
      </c>
      <c r="F1476">
        <v>0</v>
      </c>
      <c r="G1476">
        <v>-10.75305</v>
      </c>
      <c r="H1476">
        <v>832.66085799999928</v>
      </c>
      <c r="I1476">
        <v>0</v>
      </c>
      <c r="J1476">
        <v>0</v>
      </c>
      <c r="K1476">
        <v>3.0561464800000002</v>
      </c>
      <c r="L1476">
        <v>-6.1464800000008424E-3</v>
      </c>
      <c r="M1476">
        <v>0</v>
      </c>
      <c r="N1476">
        <v>0</v>
      </c>
      <c r="O1476">
        <v>23.886718999995651</v>
      </c>
      <c r="P1476">
        <v>101528.176702</v>
      </c>
    </row>
    <row r="1477" spans="1:16" x14ac:dyDescent="0.25">
      <c r="A1477" s="10">
        <v>39778</v>
      </c>
      <c r="B1477">
        <v>350.95198699999372</v>
      </c>
      <c r="C1477">
        <v>1.6875</v>
      </c>
      <c r="D1477">
        <v>0</v>
      </c>
      <c r="E1477">
        <v>0</v>
      </c>
      <c r="F1477">
        <v>0</v>
      </c>
      <c r="G1477">
        <v>-23.13</v>
      </c>
      <c r="H1477">
        <v>-831.69019700000172</v>
      </c>
      <c r="I1477">
        <v>0</v>
      </c>
      <c r="J1477">
        <v>0</v>
      </c>
      <c r="K1477">
        <v>3.0561464800000002</v>
      </c>
      <c r="L1477">
        <v>1139.40107857</v>
      </c>
      <c r="M1477">
        <v>0</v>
      </c>
      <c r="N1477">
        <v>0</v>
      </c>
      <c r="O1477">
        <v>61.627458949995408</v>
      </c>
      <c r="P1477">
        <v>101879.128689</v>
      </c>
    </row>
    <row r="1478" spans="1:16" x14ac:dyDescent="0.25">
      <c r="A1478" s="10">
        <v>39779</v>
      </c>
      <c r="B1478">
        <v>80.848214999990276</v>
      </c>
      <c r="C1478">
        <v>5.0339999999999998</v>
      </c>
      <c r="D1478">
        <v>0</v>
      </c>
      <c r="E1478">
        <v>0</v>
      </c>
      <c r="F1478">
        <v>0</v>
      </c>
      <c r="G1478">
        <v>-15.089286</v>
      </c>
      <c r="H1478">
        <v>3.0753920000024659</v>
      </c>
      <c r="I1478">
        <v>0</v>
      </c>
      <c r="J1478">
        <v>0</v>
      </c>
      <c r="K1478">
        <v>1.6357781</v>
      </c>
      <c r="L1478">
        <v>-0.11000000000000081</v>
      </c>
      <c r="M1478">
        <v>0</v>
      </c>
      <c r="N1478">
        <v>0</v>
      </c>
      <c r="O1478">
        <v>86.302330899987822</v>
      </c>
      <c r="P1478">
        <v>101959.976904</v>
      </c>
    </row>
    <row r="1479" spans="1:16" x14ac:dyDescent="0.25">
      <c r="A1479" s="10">
        <v>39780</v>
      </c>
      <c r="B1479">
        <v>-430.84727186999169</v>
      </c>
      <c r="C1479">
        <v>-61.595999999999997</v>
      </c>
      <c r="D1479">
        <v>0</v>
      </c>
      <c r="E1479">
        <v>0</v>
      </c>
      <c r="F1479">
        <v>0</v>
      </c>
      <c r="G1479">
        <v>14.135693</v>
      </c>
      <c r="H1479">
        <v>-530.65643078000539</v>
      </c>
      <c r="I1479">
        <v>0</v>
      </c>
      <c r="J1479">
        <v>0</v>
      </c>
      <c r="K1479">
        <v>2.9295116700000001</v>
      </c>
      <c r="L1479">
        <v>1.0488330000000269E-2</v>
      </c>
      <c r="M1479">
        <v>0</v>
      </c>
      <c r="N1479">
        <v>0</v>
      </c>
      <c r="O1479">
        <v>144.3294659100136</v>
      </c>
      <c r="P1479">
        <v>101529.12963213</v>
      </c>
    </row>
    <row r="1480" spans="1:16" x14ac:dyDescent="0.25">
      <c r="A1480" s="10">
        <v>39783</v>
      </c>
      <c r="B1480">
        <v>2784.6446348699969</v>
      </c>
      <c r="C1480">
        <v>-92.872</v>
      </c>
      <c r="D1480">
        <v>0</v>
      </c>
      <c r="E1480">
        <v>-1200</v>
      </c>
      <c r="F1480">
        <v>0</v>
      </c>
      <c r="G1480">
        <v>-97.861880000000028</v>
      </c>
      <c r="H1480">
        <v>4125.3813200000004</v>
      </c>
      <c r="I1480">
        <v>0</v>
      </c>
      <c r="J1480">
        <v>0</v>
      </c>
      <c r="K1480">
        <v>7.0094862099999986</v>
      </c>
      <c r="L1480">
        <v>5.1378999999940334E-4</v>
      </c>
      <c r="M1480">
        <v>0</v>
      </c>
      <c r="N1480">
        <v>0</v>
      </c>
      <c r="O1480">
        <v>42.987194869996529</v>
      </c>
      <c r="P1480">
        <v>104313.774267</v>
      </c>
    </row>
    <row r="1481" spans="1:16" x14ac:dyDescent="0.25">
      <c r="A1481" s="10">
        <v>39784</v>
      </c>
      <c r="B1481">
        <v>-419.26084800000592</v>
      </c>
      <c r="C1481">
        <v>-86.108399999999989</v>
      </c>
      <c r="D1481">
        <v>0</v>
      </c>
      <c r="E1481">
        <v>0</v>
      </c>
      <c r="F1481">
        <v>0</v>
      </c>
      <c r="G1481">
        <v>-43.685541000000001</v>
      </c>
      <c r="H1481">
        <v>-384.26942399999831</v>
      </c>
      <c r="I1481">
        <v>0</v>
      </c>
      <c r="J1481">
        <v>-44.590000000000153</v>
      </c>
      <c r="K1481">
        <v>-1.326859370000036</v>
      </c>
      <c r="L1481">
        <v>-3.140629999998978E-3</v>
      </c>
      <c r="M1481">
        <v>0</v>
      </c>
      <c r="N1481">
        <v>0</v>
      </c>
      <c r="O1481">
        <v>140.72251699999251</v>
      </c>
      <c r="P1481">
        <v>103894.513419</v>
      </c>
    </row>
    <row r="1482" spans="1:16" x14ac:dyDescent="0.25">
      <c r="A1482" s="10">
        <v>39785</v>
      </c>
      <c r="B1482">
        <v>-215.41827900000541</v>
      </c>
      <c r="C1482">
        <v>-108.092</v>
      </c>
      <c r="D1482">
        <v>0</v>
      </c>
      <c r="E1482">
        <v>0</v>
      </c>
      <c r="F1482">
        <v>0</v>
      </c>
      <c r="G1482">
        <v>-40.422578999999999</v>
      </c>
      <c r="H1482">
        <v>-926.56389900000067</v>
      </c>
      <c r="I1482">
        <v>0</v>
      </c>
      <c r="J1482">
        <v>0</v>
      </c>
      <c r="K1482">
        <v>2.5151353500000009</v>
      </c>
      <c r="L1482">
        <v>789.14486465000005</v>
      </c>
      <c r="M1482">
        <v>0</v>
      </c>
      <c r="N1482">
        <v>0</v>
      </c>
      <c r="O1482">
        <v>68.000198999995064</v>
      </c>
      <c r="P1482">
        <v>103679.09514</v>
      </c>
    </row>
    <row r="1483" spans="1:16" x14ac:dyDescent="0.25">
      <c r="A1483" s="10">
        <v>39786</v>
      </c>
      <c r="B1483">
        <v>159.61087200000591</v>
      </c>
      <c r="C1483">
        <v>-105.5117</v>
      </c>
      <c r="D1483">
        <v>0</v>
      </c>
      <c r="E1483">
        <v>0</v>
      </c>
      <c r="F1483">
        <v>0</v>
      </c>
      <c r="G1483">
        <v>33.991593000000009</v>
      </c>
      <c r="H1483">
        <v>220.3303840000026</v>
      </c>
      <c r="I1483">
        <v>0</v>
      </c>
      <c r="J1483">
        <v>0</v>
      </c>
      <c r="K1483">
        <v>2.21963343</v>
      </c>
      <c r="L1483">
        <v>-0.57963343000000034</v>
      </c>
      <c r="M1483">
        <v>0</v>
      </c>
      <c r="N1483">
        <v>0</v>
      </c>
      <c r="O1483">
        <v>9.1605950000033545</v>
      </c>
      <c r="P1483">
        <v>103838.706012</v>
      </c>
    </row>
    <row r="1484" spans="1:16" x14ac:dyDescent="0.25">
      <c r="A1484" s="10">
        <v>39787</v>
      </c>
      <c r="B1484">
        <v>1936.8400049000029</v>
      </c>
      <c r="C1484">
        <v>-211.99700000000001</v>
      </c>
      <c r="D1484">
        <v>0</v>
      </c>
      <c r="E1484">
        <v>1300</v>
      </c>
      <c r="F1484">
        <v>0</v>
      </c>
      <c r="G1484">
        <v>-79.750376000000074</v>
      </c>
      <c r="H1484">
        <v>768.23977999999988</v>
      </c>
      <c r="I1484">
        <v>0</v>
      </c>
      <c r="J1484">
        <v>0</v>
      </c>
      <c r="K1484">
        <v>1.1769525599999999</v>
      </c>
      <c r="L1484">
        <v>0.98304743999999999</v>
      </c>
      <c r="M1484">
        <v>0</v>
      </c>
      <c r="N1484">
        <v>0</v>
      </c>
      <c r="O1484">
        <v>158.18760090000359</v>
      </c>
      <c r="P1484">
        <v>105775.5460169</v>
      </c>
    </row>
    <row r="1485" spans="1:16" x14ac:dyDescent="0.25">
      <c r="A1485" s="10">
        <v>39791</v>
      </c>
      <c r="B1485">
        <v>-3191.3367928999942</v>
      </c>
      <c r="C1485">
        <v>-186.84</v>
      </c>
      <c r="D1485">
        <v>0</v>
      </c>
      <c r="E1485">
        <v>-2550</v>
      </c>
      <c r="F1485">
        <v>0</v>
      </c>
      <c r="G1485">
        <v>-159.00746699999979</v>
      </c>
      <c r="H1485">
        <v>-245.6982990000015</v>
      </c>
      <c r="I1485">
        <v>0</v>
      </c>
      <c r="J1485">
        <v>0</v>
      </c>
      <c r="K1485">
        <v>4.0722834099999998</v>
      </c>
      <c r="L1485">
        <v>3.70771659</v>
      </c>
      <c r="M1485">
        <v>0</v>
      </c>
      <c r="N1485">
        <v>0</v>
      </c>
      <c r="O1485">
        <v>-57.57102689999283</v>
      </c>
      <c r="P1485">
        <v>102584.20922400001</v>
      </c>
    </row>
    <row r="1486" spans="1:16" x14ac:dyDescent="0.25">
      <c r="A1486" s="10">
        <v>39792</v>
      </c>
      <c r="B1486">
        <v>1128.990303999992</v>
      </c>
      <c r="C1486">
        <v>-23.92</v>
      </c>
      <c r="D1486">
        <v>0</v>
      </c>
      <c r="E1486">
        <v>0</v>
      </c>
      <c r="F1486">
        <v>0</v>
      </c>
      <c r="G1486">
        <v>123.2927550000001</v>
      </c>
      <c r="H1486">
        <v>54.944805999999517</v>
      </c>
      <c r="I1486">
        <v>0</v>
      </c>
      <c r="J1486">
        <v>0</v>
      </c>
      <c r="K1486">
        <v>1.6463591099999999</v>
      </c>
      <c r="L1486">
        <v>1096.60364089</v>
      </c>
      <c r="M1486">
        <v>0</v>
      </c>
      <c r="N1486">
        <v>0</v>
      </c>
      <c r="O1486">
        <v>-123.57725700000771</v>
      </c>
      <c r="P1486">
        <v>103713.199528</v>
      </c>
    </row>
    <row r="1487" spans="1:16" x14ac:dyDescent="0.25">
      <c r="A1487" s="10">
        <v>39793</v>
      </c>
      <c r="B1487">
        <v>-211.30757599999021</v>
      </c>
      <c r="C1487">
        <v>-18.5672</v>
      </c>
      <c r="D1487">
        <v>-2730.56</v>
      </c>
      <c r="E1487">
        <v>2650</v>
      </c>
      <c r="F1487">
        <v>0</v>
      </c>
      <c r="G1487">
        <v>214.8357860000001</v>
      </c>
      <c r="H1487">
        <v>-77.924632999998721</v>
      </c>
      <c r="I1487">
        <v>0</v>
      </c>
      <c r="J1487">
        <v>0</v>
      </c>
      <c r="K1487">
        <v>7.3911676899999996</v>
      </c>
      <c r="L1487">
        <v>-0.35116768999999959</v>
      </c>
      <c r="M1487">
        <v>0</v>
      </c>
      <c r="N1487">
        <v>0</v>
      </c>
      <c r="O1487">
        <v>-256.1315289999917</v>
      </c>
      <c r="P1487">
        <v>103501.89195200001</v>
      </c>
    </row>
    <row r="1488" spans="1:16" x14ac:dyDescent="0.25">
      <c r="A1488" s="10">
        <v>39794</v>
      </c>
      <c r="B1488">
        <v>1560.757952999993</v>
      </c>
      <c r="C1488">
        <v>419.33519999999999</v>
      </c>
      <c r="D1488">
        <v>0</v>
      </c>
      <c r="E1488">
        <v>0</v>
      </c>
      <c r="F1488">
        <v>0</v>
      </c>
      <c r="G1488">
        <v>-21.573721999999862</v>
      </c>
      <c r="H1488">
        <v>1086.6474169999999</v>
      </c>
      <c r="I1488">
        <v>0</v>
      </c>
      <c r="J1488">
        <v>0</v>
      </c>
      <c r="K1488">
        <v>1.7467223700000001</v>
      </c>
      <c r="L1488">
        <v>-6.7223700000003106E-3</v>
      </c>
      <c r="M1488">
        <v>0</v>
      </c>
      <c r="N1488">
        <v>0</v>
      </c>
      <c r="O1488">
        <v>74.609057999992388</v>
      </c>
      <c r="P1488">
        <v>105062.649905</v>
      </c>
    </row>
    <row r="1489" spans="1:16" x14ac:dyDescent="0.25">
      <c r="A1489" s="10">
        <v>39797</v>
      </c>
      <c r="B1489">
        <v>-773.52458500000648</v>
      </c>
      <c r="C1489">
        <v>14.975</v>
      </c>
      <c r="D1489">
        <v>-343</v>
      </c>
      <c r="E1489">
        <v>0</v>
      </c>
      <c r="F1489">
        <v>0</v>
      </c>
      <c r="G1489">
        <v>-175.05610100000001</v>
      </c>
      <c r="H1489">
        <v>-430.53847900000068</v>
      </c>
      <c r="I1489">
        <v>0</v>
      </c>
      <c r="J1489">
        <v>0</v>
      </c>
      <c r="K1489">
        <v>1.1751962700000009</v>
      </c>
      <c r="L1489">
        <v>45.734803730000003</v>
      </c>
      <c r="M1489">
        <v>0</v>
      </c>
      <c r="N1489">
        <v>0</v>
      </c>
      <c r="O1489">
        <v>113.1849949999942</v>
      </c>
      <c r="P1489">
        <v>104289.12532000001</v>
      </c>
    </row>
    <row r="1490" spans="1:16" x14ac:dyDescent="0.25">
      <c r="A1490" s="10">
        <v>39798</v>
      </c>
      <c r="B1490">
        <v>-799.52468899999747</v>
      </c>
      <c r="C1490">
        <v>101.80443</v>
      </c>
      <c r="D1490">
        <v>-137.22800000000001</v>
      </c>
      <c r="E1490">
        <v>0</v>
      </c>
      <c r="F1490">
        <v>0</v>
      </c>
      <c r="G1490">
        <v>-517.04845899999987</v>
      </c>
      <c r="H1490">
        <v>-136.7757789999996</v>
      </c>
      <c r="I1490">
        <v>0</v>
      </c>
      <c r="J1490">
        <v>0</v>
      </c>
      <c r="K1490">
        <v>2.7966933300000001</v>
      </c>
      <c r="L1490">
        <v>2.05330667</v>
      </c>
      <c r="M1490">
        <v>0</v>
      </c>
      <c r="N1490">
        <v>0</v>
      </c>
      <c r="O1490">
        <v>-115.12688099999789</v>
      </c>
      <c r="P1490">
        <v>103489.60063099999</v>
      </c>
    </row>
    <row r="1491" spans="1:16" x14ac:dyDescent="0.25">
      <c r="A1491" s="10">
        <v>39799</v>
      </c>
      <c r="B1491">
        <v>-2046.966461999998</v>
      </c>
      <c r="C1491">
        <v>407.96024999999997</v>
      </c>
      <c r="D1491">
        <v>0</v>
      </c>
      <c r="E1491">
        <v>-2500</v>
      </c>
      <c r="F1491">
        <v>0</v>
      </c>
      <c r="G1491">
        <v>179.19699099999991</v>
      </c>
      <c r="H1491">
        <v>-1394.9871470000021</v>
      </c>
      <c r="I1491">
        <v>0</v>
      </c>
      <c r="J1491">
        <v>0</v>
      </c>
      <c r="K1491">
        <v>1.98134813</v>
      </c>
      <c r="L1491">
        <v>1314.02865187</v>
      </c>
      <c r="M1491">
        <v>0</v>
      </c>
      <c r="N1491">
        <v>0</v>
      </c>
      <c r="O1491">
        <v>-55.146555999995599</v>
      </c>
      <c r="P1491">
        <v>101442.634169</v>
      </c>
    </row>
    <row r="1492" spans="1:16" x14ac:dyDescent="0.25">
      <c r="A1492" s="10">
        <v>39800</v>
      </c>
      <c r="B1492">
        <v>3757.2231360000001</v>
      </c>
      <c r="C1492">
        <v>281.27</v>
      </c>
      <c r="D1492">
        <v>0</v>
      </c>
      <c r="E1492">
        <v>2650</v>
      </c>
      <c r="F1492">
        <v>0</v>
      </c>
      <c r="G1492">
        <v>-227.43700000000001</v>
      </c>
      <c r="H1492">
        <v>368.50654199999917</v>
      </c>
      <c r="I1492">
        <v>0</v>
      </c>
      <c r="J1492">
        <v>0</v>
      </c>
      <c r="K1492">
        <v>1.30605013</v>
      </c>
      <c r="L1492">
        <v>663.38394987000004</v>
      </c>
      <c r="M1492">
        <v>0</v>
      </c>
      <c r="N1492">
        <v>0</v>
      </c>
      <c r="O1492">
        <v>20.19359400000069</v>
      </c>
      <c r="P1492">
        <v>105199.857305</v>
      </c>
    </row>
    <row r="1493" spans="1:16" x14ac:dyDescent="0.25">
      <c r="A1493" s="10">
        <v>39801</v>
      </c>
      <c r="B1493">
        <v>2793.598345530002</v>
      </c>
      <c r="C1493">
        <v>420.3023</v>
      </c>
      <c r="D1493">
        <v>0</v>
      </c>
      <c r="E1493">
        <v>200</v>
      </c>
      <c r="F1493">
        <v>0</v>
      </c>
      <c r="G1493">
        <v>484.95399999999989</v>
      </c>
      <c r="H1493">
        <v>-200.47781362999919</v>
      </c>
      <c r="I1493">
        <v>0</v>
      </c>
      <c r="J1493">
        <v>0</v>
      </c>
      <c r="K1493">
        <v>2.493177129999999</v>
      </c>
      <c r="L1493">
        <v>1889.22682287</v>
      </c>
      <c r="M1493">
        <v>0</v>
      </c>
      <c r="N1493">
        <v>0</v>
      </c>
      <c r="O1493">
        <v>-2.9001408399996942</v>
      </c>
      <c r="P1493">
        <v>107993.45565053</v>
      </c>
    </row>
    <row r="1494" spans="1:16" x14ac:dyDescent="0.25">
      <c r="A1494" s="10">
        <v>39804</v>
      </c>
      <c r="B1494">
        <v>683.12108146998787</v>
      </c>
      <c r="C1494">
        <v>555.10082</v>
      </c>
      <c r="D1494">
        <v>-783.42600000000004</v>
      </c>
      <c r="E1494">
        <v>0</v>
      </c>
      <c r="F1494">
        <v>0</v>
      </c>
      <c r="G1494">
        <v>194.8472240000001</v>
      </c>
      <c r="H1494">
        <v>538.20183099999849</v>
      </c>
      <c r="I1494">
        <v>0</v>
      </c>
      <c r="J1494">
        <v>0</v>
      </c>
      <c r="K1494">
        <v>1.712464519999999</v>
      </c>
      <c r="L1494">
        <v>163.25753548</v>
      </c>
      <c r="M1494">
        <v>0</v>
      </c>
      <c r="N1494">
        <v>0</v>
      </c>
      <c r="O1494">
        <v>13.427206469989249</v>
      </c>
      <c r="P1494">
        <v>108676.576732</v>
      </c>
    </row>
    <row r="1495" spans="1:16" x14ac:dyDescent="0.25">
      <c r="A1495" s="10">
        <v>39805</v>
      </c>
      <c r="B1495">
        <v>-1884.089537999984</v>
      </c>
      <c r="C1495">
        <v>420.61250000000001</v>
      </c>
      <c r="D1495">
        <v>0</v>
      </c>
      <c r="E1495">
        <v>-2500</v>
      </c>
      <c r="F1495">
        <v>0</v>
      </c>
      <c r="G1495">
        <v>25.648190000000142</v>
      </c>
      <c r="H1495">
        <v>45.866642000000873</v>
      </c>
      <c r="I1495">
        <v>0</v>
      </c>
      <c r="J1495">
        <v>0</v>
      </c>
      <c r="K1495">
        <v>4.8727817099999982</v>
      </c>
      <c r="L1495">
        <v>-2.781710000000714E-3</v>
      </c>
      <c r="M1495">
        <v>0</v>
      </c>
      <c r="N1495">
        <v>0</v>
      </c>
      <c r="O1495">
        <v>118.9131300000145</v>
      </c>
      <c r="P1495">
        <v>106792.487194</v>
      </c>
    </row>
    <row r="1496" spans="1:16" x14ac:dyDescent="0.25">
      <c r="A1496" s="10">
        <v>39806</v>
      </c>
      <c r="B1496">
        <v>3212.980231679991</v>
      </c>
      <c r="C1496">
        <v>0</v>
      </c>
      <c r="D1496">
        <v>0</v>
      </c>
      <c r="E1496">
        <v>2700</v>
      </c>
      <c r="F1496">
        <v>0</v>
      </c>
      <c r="G1496">
        <v>-8.0004140000000614</v>
      </c>
      <c r="H1496">
        <v>-836.4901348400017</v>
      </c>
      <c r="I1496">
        <v>0</v>
      </c>
      <c r="J1496">
        <v>0</v>
      </c>
      <c r="K1496">
        <v>3.3596377300000002</v>
      </c>
      <c r="L1496">
        <v>1308.7103622699999</v>
      </c>
      <c r="M1496">
        <v>0</v>
      </c>
      <c r="N1496">
        <v>0</v>
      </c>
      <c r="O1496">
        <v>45.400780519992168</v>
      </c>
      <c r="P1496">
        <v>110005.46742568001</v>
      </c>
    </row>
    <row r="1497" spans="1:16" x14ac:dyDescent="0.25">
      <c r="A1497" s="10">
        <v>39808</v>
      </c>
      <c r="B1497">
        <v>521.21675232000484</v>
      </c>
      <c r="C1497">
        <v>0</v>
      </c>
      <c r="D1497">
        <v>0</v>
      </c>
      <c r="E1497">
        <v>0</v>
      </c>
      <c r="F1497">
        <v>0</v>
      </c>
      <c r="G1497">
        <v>-61.895311000000007</v>
      </c>
      <c r="H1497">
        <v>535.60934200000156</v>
      </c>
      <c r="I1497">
        <v>0</v>
      </c>
      <c r="J1497">
        <v>0</v>
      </c>
      <c r="K1497">
        <v>2.3186043299999999</v>
      </c>
      <c r="L1497">
        <v>3.5313956700000011</v>
      </c>
      <c r="M1497">
        <v>0</v>
      </c>
      <c r="N1497">
        <v>0</v>
      </c>
      <c r="O1497">
        <v>41.652721320003288</v>
      </c>
      <c r="P1497">
        <v>110526.684178</v>
      </c>
    </row>
    <row r="1498" spans="1:16" x14ac:dyDescent="0.25">
      <c r="A1498" s="10">
        <v>39811</v>
      </c>
      <c r="B1498">
        <v>-178.7081889999962</v>
      </c>
      <c r="C1498">
        <v>561.31549999999993</v>
      </c>
      <c r="D1498">
        <v>0</v>
      </c>
      <c r="E1498">
        <v>2500</v>
      </c>
      <c r="F1498">
        <v>0</v>
      </c>
      <c r="G1498">
        <v>-2497.3391329999999</v>
      </c>
      <c r="H1498">
        <v>-817.49248499999885</v>
      </c>
      <c r="I1498">
        <v>0</v>
      </c>
      <c r="J1498">
        <v>0</v>
      </c>
      <c r="K1498">
        <v>2.3118901799999998</v>
      </c>
      <c r="L1498">
        <v>88.20810981999999</v>
      </c>
      <c r="M1498">
        <v>0</v>
      </c>
      <c r="N1498">
        <v>0</v>
      </c>
      <c r="O1498">
        <v>-15.712070999997101</v>
      </c>
      <c r="P1498">
        <v>110347.975989</v>
      </c>
    </row>
    <row r="1499" spans="1:16" x14ac:dyDescent="0.25">
      <c r="A1499" s="10">
        <v>39812</v>
      </c>
      <c r="B1499">
        <v>177.73131800000681</v>
      </c>
      <c r="C1499">
        <v>154.58750000000001</v>
      </c>
      <c r="D1499">
        <v>0</v>
      </c>
      <c r="E1499">
        <v>2600</v>
      </c>
      <c r="F1499">
        <v>0</v>
      </c>
      <c r="G1499">
        <v>-3123.6195560000001</v>
      </c>
      <c r="H1499">
        <v>588.87568300000203</v>
      </c>
      <c r="I1499">
        <v>0</v>
      </c>
      <c r="J1499">
        <v>0</v>
      </c>
      <c r="K1499">
        <v>6.1591570299999994</v>
      </c>
      <c r="L1499">
        <v>1.9508429700000001</v>
      </c>
      <c r="M1499">
        <v>0</v>
      </c>
      <c r="N1499">
        <v>0</v>
      </c>
      <c r="O1499">
        <v>-50.222308999995263</v>
      </c>
      <c r="P1499">
        <v>110525.707307</v>
      </c>
    </row>
    <row r="1500" spans="1:16" x14ac:dyDescent="0.25">
      <c r="A1500" s="10">
        <v>39813</v>
      </c>
      <c r="B1500">
        <v>-1076.676410000015</v>
      </c>
      <c r="C1500">
        <v>31.07</v>
      </c>
      <c r="D1500">
        <v>0</v>
      </c>
      <c r="E1500">
        <v>0</v>
      </c>
      <c r="F1500">
        <v>0</v>
      </c>
      <c r="G1500">
        <v>-305.73001099999999</v>
      </c>
      <c r="H1500">
        <v>-252.9845120000009</v>
      </c>
      <c r="I1500">
        <v>0</v>
      </c>
      <c r="J1500">
        <v>0</v>
      </c>
      <c r="K1500">
        <v>2.9155228100000001</v>
      </c>
      <c r="L1500">
        <v>-637.90552280999987</v>
      </c>
      <c r="M1500">
        <v>0</v>
      </c>
      <c r="N1500">
        <v>0</v>
      </c>
      <c r="O1500">
        <v>85.95811299998536</v>
      </c>
      <c r="P1500">
        <v>109449.030897</v>
      </c>
    </row>
    <row r="1501" spans="1:16" x14ac:dyDescent="0.25">
      <c r="A1501" s="10">
        <v>39815</v>
      </c>
      <c r="B1501">
        <v>260.47345500001472</v>
      </c>
      <c r="C1501">
        <v>2.7632599999999998</v>
      </c>
      <c r="D1501">
        <v>0</v>
      </c>
      <c r="E1501">
        <v>0</v>
      </c>
      <c r="F1501">
        <v>0</v>
      </c>
      <c r="G1501">
        <v>421.874011</v>
      </c>
      <c r="H1501">
        <v>-310.15489400000109</v>
      </c>
      <c r="I1501">
        <v>0</v>
      </c>
      <c r="J1501">
        <v>0</v>
      </c>
      <c r="K1501">
        <v>1.8210999999999999</v>
      </c>
      <c r="L1501">
        <v>9.9999999999999645E-2</v>
      </c>
      <c r="M1501">
        <v>0</v>
      </c>
      <c r="N1501">
        <v>0</v>
      </c>
      <c r="O1501">
        <v>144.06997800001591</v>
      </c>
      <c r="P1501">
        <v>109709.504352</v>
      </c>
    </row>
    <row r="1502" spans="1:16" x14ac:dyDescent="0.25">
      <c r="A1502" s="10">
        <v>39818</v>
      </c>
      <c r="B1502">
        <v>-2271.757219000006</v>
      </c>
      <c r="C1502">
        <v>-36.07497</v>
      </c>
      <c r="D1502">
        <v>0</v>
      </c>
      <c r="E1502">
        <v>-2500</v>
      </c>
      <c r="F1502">
        <v>0</v>
      </c>
      <c r="G1502">
        <v>2500.45642</v>
      </c>
      <c r="H1502">
        <v>-2198.8504659999981</v>
      </c>
      <c r="I1502">
        <v>0</v>
      </c>
      <c r="J1502">
        <v>-44.760000000000218</v>
      </c>
      <c r="K1502">
        <v>0.83900000000005459</v>
      </c>
      <c r="L1502">
        <v>21.2</v>
      </c>
      <c r="M1502">
        <v>0</v>
      </c>
      <c r="N1502">
        <v>0</v>
      </c>
      <c r="O1502">
        <v>-14.56720300000743</v>
      </c>
      <c r="P1502">
        <v>107437.747133</v>
      </c>
    </row>
    <row r="1503" spans="1:16" x14ac:dyDescent="0.25">
      <c r="A1503" s="10">
        <v>39819</v>
      </c>
      <c r="B1503">
        <v>-1735.569669999998</v>
      </c>
      <c r="C1503">
        <v>271.62689999999998</v>
      </c>
      <c r="D1503">
        <v>0</v>
      </c>
      <c r="E1503">
        <v>-2600</v>
      </c>
      <c r="F1503">
        <v>0</v>
      </c>
      <c r="G1503">
        <v>2593.445428</v>
      </c>
      <c r="H1503">
        <v>-1996.7693269999979</v>
      </c>
      <c r="I1503">
        <v>0</v>
      </c>
      <c r="J1503">
        <v>0</v>
      </c>
      <c r="K1503">
        <v>4.1159999999999997</v>
      </c>
      <c r="L1503">
        <v>0</v>
      </c>
      <c r="M1503">
        <v>0</v>
      </c>
      <c r="N1503">
        <v>0</v>
      </c>
      <c r="O1503">
        <v>-7.9886710000005223</v>
      </c>
      <c r="P1503">
        <v>105702.177463</v>
      </c>
    </row>
    <row r="1504" spans="1:16" x14ac:dyDescent="0.25">
      <c r="A1504" s="10">
        <v>39820</v>
      </c>
      <c r="B1504">
        <v>244.45355400000651</v>
      </c>
      <c r="C1504">
        <v>155.559</v>
      </c>
      <c r="D1504">
        <v>0</v>
      </c>
      <c r="E1504">
        <v>0</v>
      </c>
      <c r="F1504">
        <v>0</v>
      </c>
      <c r="G1504">
        <v>-31.056373000000011</v>
      </c>
      <c r="H1504">
        <v>663.38630199999534</v>
      </c>
      <c r="I1504">
        <v>0</v>
      </c>
      <c r="J1504">
        <v>0</v>
      </c>
      <c r="K1504">
        <v>5.7530000000000001</v>
      </c>
      <c r="L1504">
        <v>-587.99999999999989</v>
      </c>
      <c r="M1504">
        <v>0</v>
      </c>
      <c r="N1504">
        <v>0</v>
      </c>
      <c r="O1504">
        <v>38.811625000011013</v>
      </c>
      <c r="P1504">
        <v>105946.63101700001</v>
      </c>
    </row>
    <row r="1505" spans="1:16" x14ac:dyDescent="0.25">
      <c r="A1505" s="10">
        <v>39821</v>
      </c>
      <c r="B1505">
        <v>-735.93983800002161</v>
      </c>
      <c r="C1505">
        <v>18.9681</v>
      </c>
      <c r="D1505">
        <v>0</v>
      </c>
      <c r="E1505">
        <v>0</v>
      </c>
      <c r="F1505">
        <v>0</v>
      </c>
      <c r="G1505">
        <v>-27.327214999999999</v>
      </c>
      <c r="H1505">
        <v>-735.16755499999999</v>
      </c>
      <c r="I1505">
        <v>0</v>
      </c>
      <c r="J1505">
        <v>0</v>
      </c>
      <c r="K1505">
        <v>1.73</v>
      </c>
      <c r="L1505">
        <v>39.9</v>
      </c>
      <c r="M1505">
        <v>0</v>
      </c>
      <c r="N1505">
        <v>0</v>
      </c>
      <c r="O1505">
        <v>-34.043168000021637</v>
      </c>
      <c r="P1505">
        <v>105210.691179</v>
      </c>
    </row>
    <row r="1506" spans="1:16" x14ac:dyDescent="0.25">
      <c r="A1506" s="10">
        <v>39822</v>
      </c>
      <c r="B1506">
        <v>232.56916600001529</v>
      </c>
      <c r="C1506">
        <v>360.79349999999999</v>
      </c>
      <c r="D1506">
        <v>0</v>
      </c>
      <c r="E1506">
        <v>0</v>
      </c>
      <c r="F1506">
        <v>0</v>
      </c>
      <c r="G1506">
        <v>13.001135</v>
      </c>
      <c r="H1506">
        <v>-139.4341020000011</v>
      </c>
      <c r="I1506">
        <v>0</v>
      </c>
      <c r="J1506">
        <v>0</v>
      </c>
      <c r="K1506">
        <v>4.3410000000000002</v>
      </c>
      <c r="L1506">
        <v>0</v>
      </c>
      <c r="M1506">
        <v>0</v>
      </c>
      <c r="N1506">
        <v>0</v>
      </c>
      <c r="O1506">
        <v>-6.132366999983546</v>
      </c>
      <c r="P1506">
        <v>105443.260345</v>
      </c>
    </row>
    <row r="1507" spans="1:16" x14ac:dyDescent="0.25">
      <c r="A1507" s="10">
        <v>39825</v>
      </c>
      <c r="B1507">
        <v>288.84509200000463</v>
      </c>
      <c r="C1507">
        <v>130.72049999999999</v>
      </c>
      <c r="D1507">
        <v>0</v>
      </c>
      <c r="E1507">
        <v>0</v>
      </c>
      <c r="F1507">
        <v>0</v>
      </c>
      <c r="G1507">
        <v>-6.2333950000000016</v>
      </c>
      <c r="H1507">
        <v>224.03070000000301</v>
      </c>
      <c r="I1507">
        <v>0</v>
      </c>
      <c r="J1507">
        <v>0</v>
      </c>
      <c r="K1507">
        <v>5.2170000000000014</v>
      </c>
      <c r="L1507">
        <v>74.099999999999994</v>
      </c>
      <c r="M1507">
        <v>0</v>
      </c>
      <c r="N1507">
        <v>0</v>
      </c>
      <c r="O1507">
        <v>-138.98971299999849</v>
      </c>
      <c r="P1507">
        <v>105732.10543700001</v>
      </c>
    </row>
    <row r="1508" spans="1:16" x14ac:dyDescent="0.25">
      <c r="A1508" s="10">
        <v>39826</v>
      </c>
      <c r="B1508">
        <v>422.86651900000112</v>
      </c>
      <c r="C1508">
        <v>198.72040000000001</v>
      </c>
      <c r="D1508">
        <v>0</v>
      </c>
      <c r="E1508">
        <v>0</v>
      </c>
      <c r="F1508">
        <v>0</v>
      </c>
      <c r="G1508">
        <v>-15.84</v>
      </c>
      <c r="H1508">
        <v>211.74482499999979</v>
      </c>
      <c r="I1508">
        <v>0</v>
      </c>
      <c r="J1508">
        <v>0</v>
      </c>
      <c r="K1508">
        <v>6.331999999999999</v>
      </c>
      <c r="L1508">
        <v>0</v>
      </c>
      <c r="M1508">
        <v>0</v>
      </c>
      <c r="N1508">
        <v>0</v>
      </c>
      <c r="O1508">
        <v>21.909294000001299</v>
      </c>
      <c r="P1508">
        <v>106154.97195599999</v>
      </c>
    </row>
    <row r="1509" spans="1:16" x14ac:dyDescent="0.25">
      <c r="A1509" s="10">
        <v>39827</v>
      </c>
      <c r="B1509">
        <v>-402.35693500000463</v>
      </c>
      <c r="C1509">
        <v>320.25</v>
      </c>
      <c r="D1509">
        <v>0</v>
      </c>
      <c r="E1509">
        <v>0</v>
      </c>
      <c r="F1509">
        <v>0</v>
      </c>
      <c r="G1509">
        <v>-239.178</v>
      </c>
      <c r="H1509">
        <v>662.7870329999987</v>
      </c>
      <c r="I1509">
        <v>0</v>
      </c>
      <c r="J1509">
        <v>0</v>
      </c>
      <c r="K1509">
        <v>3.9</v>
      </c>
      <c r="L1509">
        <v>-1136.5999999999999</v>
      </c>
      <c r="M1509">
        <v>0</v>
      </c>
      <c r="N1509">
        <v>0</v>
      </c>
      <c r="O1509">
        <v>-13.51596800000338</v>
      </c>
      <c r="P1509">
        <v>105752.61502100001</v>
      </c>
    </row>
    <row r="1510" spans="1:16" x14ac:dyDescent="0.25">
      <c r="A1510" s="10">
        <v>39828</v>
      </c>
      <c r="B1510">
        <v>-523.7613049999934</v>
      </c>
      <c r="C1510">
        <v>125.336</v>
      </c>
      <c r="D1510">
        <v>0</v>
      </c>
      <c r="E1510">
        <v>0</v>
      </c>
      <c r="F1510">
        <v>0</v>
      </c>
      <c r="G1510">
        <v>26.754490000000011</v>
      </c>
      <c r="H1510">
        <v>-700.49177200000122</v>
      </c>
      <c r="I1510">
        <v>0</v>
      </c>
      <c r="J1510">
        <v>0</v>
      </c>
      <c r="K1510">
        <v>2.2000000000000002</v>
      </c>
      <c r="L1510">
        <v>0</v>
      </c>
      <c r="M1510">
        <v>0</v>
      </c>
      <c r="N1510">
        <v>0</v>
      </c>
      <c r="O1510">
        <v>22.43997700000773</v>
      </c>
      <c r="P1510">
        <v>105228.853716</v>
      </c>
    </row>
    <row r="1511" spans="1:16" x14ac:dyDescent="0.25">
      <c r="A1511" s="10">
        <v>39829</v>
      </c>
      <c r="B1511">
        <v>-1080.192110000002</v>
      </c>
      <c r="C1511">
        <v>251.9136</v>
      </c>
      <c r="D1511">
        <v>0</v>
      </c>
      <c r="E1511">
        <v>0</v>
      </c>
      <c r="F1511">
        <v>0</v>
      </c>
      <c r="G1511">
        <v>-79.422775999999999</v>
      </c>
      <c r="H1511">
        <v>-1347.311242000002</v>
      </c>
      <c r="I1511">
        <v>0</v>
      </c>
      <c r="J1511">
        <v>0</v>
      </c>
      <c r="K1511">
        <v>3.1</v>
      </c>
      <c r="L1511">
        <v>73.3</v>
      </c>
      <c r="M1511">
        <v>0</v>
      </c>
      <c r="N1511">
        <v>0</v>
      </c>
      <c r="O1511">
        <v>18.228307999999419</v>
      </c>
      <c r="P1511">
        <v>104148.66160599999</v>
      </c>
    </row>
    <row r="1512" spans="1:16" x14ac:dyDescent="0.25">
      <c r="A1512" s="10">
        <v>39832</v>
      </c>
      <c r="B1512">
        <v>-987.68925200001036</v>
      </c>
      <c r="C1512">
        <v>-2.4213</v>
      </c>
      <c r="D1512">
        <v>0</v>
      </c>
      <c r="E1512">
        <v>0</v>
      </c>
      <c r="F1512">
        <v>0</v>
      </c>
      <c r="G1512">
        <v>-72.673714000000018</v>
      </c>
      <c r="H1512">
        <v>-926.55385620000015</v>
      </c>
      <c r="I1512">
        <v>0</v>
      </c>
      <c r="J1512">
        <v>0</v>
      </c>
      <c r="K1512">
        <v>5.3</v>
      </c>
      <c r="L1512">
        <v>0</v>
      </c>
      <c r="M1512">
        <v>0</v>
      </c>
      <c r="N1512">
        <v>0</v>
      </c>
      <c r="O1512">
        <v>8.6596181999898363</v>
      </c>
      <c r="P1512">
        <v>103160.972354</v>
      </c>
    </row>
    <row r="1513" spans="1:16" x14ac:dyDescent="0.25">
      <c r="A1513" s="10">
        <v>39833</v>
      </c>
      <c r="B1513">
        <v>-711.7095739999944</v>
      </c>
      <c r="C1513">
        <v>193.71399999999991</v>
      </c>
      <c r="D1513">
        <v>-605.01</v>
      </c>
      <c r="E1513">
        <v>0</v>
      </c>
      <c r="F1513">
        <v>0</v>
      </c>
      <c r="G1513">
        <v>87.234063000000106</v>
      </c>
      <c r="H1513">
        <v>-391.92518700000068</v>
      </c>
      <c r="I1513">
        <v>0</v>
      </c>
      <c r="J1513">
        <v>0</v>
      </c>
      <c r="K1513">
        <v>5.2984799999999996</v>
      </c>
      <c r="L1513">
        <v>0</v>
      </c>
      <c r="M1513">
        <v>0</v>
      </c>
      <c r="N1513">
        <v>0</v>
      </c>
      <c r="O1513">
        <v>-1.020929999993768</v>
      </c>
      <c r="P1513">
        <v>102449.26278</v>
      </c>
    </row>
    <row r="1514" spans="1:16" x14ac:dyDescent="0.25">
      <c r="A1514" s="10">
        <v>39834</v>
      </c>
      <c r="B1514">
        <v>840.87943299999404</v>
      </c>
      <c r="C1514">
        <v>117.92225000000001</v>
      </c>
      <c r="D1514">
        <v>0</v>
      </c>
      <c r="E1514">
        <v>0</v>
      </c>
      <c r="F1514">
        <v>0</v>
      </c>
      <c r="G1514">
        <v>-37.962418000000007</v>
      </c>
      <c r="H1514">
        <v>884.30572199999733</v>
      </c>
      <c r="I1514">
        <v>0</v>
      </c>
      <c r="J1514">
        <v>0</v>
      </c>
      <c r="K1514">
        <v>3.7</v>
      </c>
      <c r="L1514">
        <v>-124.3</v>
      </c>
      <c r="M1514">
        <v>0</v>
      </c>
      <c r="N1514">
        <v>0</v>
      </c>
      <c r="O1514">
        <v>-2.786121000003368</v>
      </c>
      <c r="P1514">
        <v>103290.142213</v>
      </c>
    </row>
    <row r="1515" spans="1:16" x14ac:dyDescent="0.25">
      <c r="A1515" s="10">
        <v>39835</v>
      </c>
      <c r="B1515">
        <v>435.65360800000798</v>
      </c>
      <c r="C1515">
        <v>199.76802000000001</v>
      </c>
      <c r="D1515">
        <v>0</v>
      </c>
      <c r="E1515">
        <v>0</v>
      </c>
      <c r="F1515">
        <v>0</v>
      </c>
      <c r="G1515">
        <v>66.942731999999978</v>
      </c>
      <c r="H1515">
        <v>-2.1358509999990929</v>
      </c>
      <c r="I1515">
        <v>0</v>
      </c>
      <c r="J1515">
        <v>0</v>
      </c>
      <c r="K1515">
        <v>2.203307000000001</v>
      </c>
      <c r="L1515">
        <v>0</v>
      </c>
      <c r="M1515">
        <v>0</v>
      </c>
      <c r="N1515">
        <v>0</v>
      </c>
      <c r="O1515">
        <v>168.8754000000072</v>
      </c>
      <c r="P1515">
        <v>103725.79582100001</v>
      </c>
    </row>
    <row r="1516" spans="1:16" x14ac:dyDescent="0.25">
      <c r="A1516" s="10">
        <v>39836</v>
      </c>
      <c r="B1516">
        <v>448.26883399998462</v>
      </c>
      <c r="C1516">
        <v>31.280950000000001</v>
      </c>
      <c r="D1516">
        <v>0</v>
      </c>
      <c r="E1516">
        <v>0</v>
      </c>
      <c r="F1516">
        <v>0</v>
      </c>
      <c r="G1516">
        <v>4.3072619999999997</v>
      </c>
      <c r="H1516">
        <v>395.08568399999791</v>
      </c>
      <c r="I1516">
        <v>0</v>
      </c>
      <c r="J1516">
        <v>0</v>
      </c>
      <c r="K1516">
        <v>3.3010000000000002</v>
      </c>
      <c r="L1516">
        <v>19.399999999999999</v>
      </c>
      <c r="M1516">
        <v>0</v>
      </c>
      <c r="N1516">
        <v>0</v>
      </c>
      <c r="O1516">
        <v>-5.1060620000132531</v>
      </c>
      <c r="P1516">
        <v>104174.06465499999</v>
      </c>
    </row>
    <row r="1517" spans="1:16" x14ac:dyDescent="0.25">
      <c r="A1517" s="10">
        <v>39839</v>
      </c>
      <c r="B1517">
        <v>-153.40321099999451</v>
      </c>
      <c r="C1517">
        <v>-67.980800000000002</v>
      </c>
      <c r="D1517">
        <v>0</v>
      </c>
      <c r="E1517">
        <v>0</v>
      </c>
      <c r="F1517">
        <v>0</v>
      </c>
      <c r="G1517">
        <v>-12.626442000000001</v>
      </c>
      <c r="H1517">
        <v>-218.2777070000011</v>
      </c>
      <c r="I1517">
        <v>0</v>
      </c>
      <c r="J1517">
        <v>0</v>
      </c>
      <c r="K1517">
        <v>4.2460269999999998</v>
      </c>
      <c r="L1517">
        <v>99.9</v>
      </c>
      <c r="M1517">
        <v>0</v>
      </c>
      <c r="N1517">
        <v>0</v>
      </c>
      <c r="O1517">
        <v>41.33571100000659</v>
      </c>
      <c r="P1517">
        <v>104020.661444</v>
      </c>
    </row>
    <row r="1518" spans="1:16" x14ac:dyDescent="0.25">
      <c r="A1518" s="10">
        <v>39840</v>
      </c>
      <c r="B1518">
        <v>-23.034788999998181</v>
      </c>
      <c r="C1518">
        <v>-0.34810000000000002</v>
      </c>
      <c r="D1518">
        <v>0</v>
      </c>
      <c r="E1518">
        <v>0</v>
      </c>
      <c r="F1518">
        <v>0</v>
      </c>
      <c r="G1518">
        <v>-50.142696999999998</v>
      </c>
      <c r="H1518">
        <v>2.8408960000015209</v>
      </c>
      <c r="I1518">
        <v>0</v>
      </c>
      <c r="J1518">
        <v>0</v>
      </c>
      <c r="K1518">
        <v>6.9087449999999997</v>
      </c>
      <c r="L1518">
        <v>0</v>
      </c>
      <c r="M1518">
        <v>0</v>
      </c>
      <c r="N1518">
        <v>0</v>
      </c>
      <c r="O1518">
        <v>17.706367000000299</v>
      </c>
      <c r="P1518">
        <v>103997.626655</v>
      </c>
    </row>
    <row r="1519" spans="1:16" x14ac:dyDescent="0.25">
      <c r="A1519" s="10">
        <v>39841</v>
      </c>
      <c r="B1519">
        <v>-2298.1103400000002</v>
      </c>
      <c r="C1519">
        <v>-45.276800000000009</v>
      </c>
      <c r="D1519">
        <v>0</v>
      </c>
      <c r="E1519">
        <v>-1700</v>
      </c>
      <c r="F1519">
        <v>0</v>
      </c>
      <c r="G1519">
        <v>56.258000000000017</v>
      </c>
      <c r="H1519">
        <v>188.79193499999749</v>
      </c>
      <c r="I1519">
        <v>0</v>
      </c>
      <c r="J1519">
        <v>0</v>
      </c>
      <c r="K1519">
        <v>4.9699889999999991</v>
      </c>
      <c r="L1519">
        <v>-954.19999999999993</v>
      </c>
      <c r="M1519">
        <v>0</v>
      </c>
      <c r="N1519">
        <v>0</v>
      </c>
      <c r="O1519">
        <v>151.34653600000209</v>
      </c>
      <c r="P1519">
        <v>101699.516315</v>
      </c>
    </row>
    <row r="1520" spans="1:16" x14ac:dyDescent="0.25">
      <c r="A1520" s="10">
        <v>39842</v>
      </c>
      <c r="B1520">
        <v>-875.7275200000015</v>
      </c>
      <c r="C1520">
        <v>-267.74799999999999</v>
      </c>
      <c r="D1520">
        <v>0</v>
      </c>
      <c r="E1520">
        <v>0</v>
      </c>
      <c r="F1520">
        <v>0</v>
      </c>
      <c r="G1520">
        <v>-16.662192999999998</v>
      </c>
      <c r="H1520">
        <v>-595.36453899999833</v>
      </c>
      <c r="I1520">
        <v>0</v>
      </c>
      <c r="J1520">
        <v>0</v>
      </c>
      <c r="K1520">
        <v>2.283811</v>
      </c>
      <c r="L1520">
        <v>2.1</v>
      </c>
      <c r="M1520">
        <v>0</v>
      </c>
      <c r="N1520">
        <v>0</v>
      </c>
      <c r="O1520">
        <v>-0.33659900000320769</v>
      </c>
      <c r="P1520">
        <v>100823.788795</v>
      </c>
    </row>
    <row r="1521" spans="1:16" x14ac:dyDescent="0.25">
      <c r="A1521" s="10">
        <v>39843</v>
      </c>
      <c r="B1521">
        <v>3443.8268220899909</v>
      </c>
      <c r="C1521">
        <v>-768.96579999999994</v>
      </c>
      <c r="D1521">
        <v>0</v>
      </c>
      <c r="E1521">
        <v>1800</v>
      </c>
      <c r="F1521">
        <v>0</v>
      </c>
      <c r="G1521">
        <v>-144.00480699999989</v>
      </c>
      <c r="H1521">
        <v>1609.264803029997</v>
      </c>
      <c r="I1521">
        <v>0</v>
      </c>
      <c r="J1521">
        <v>0</v>
      </c>
      <c r="K1521">
        <v>4.7469999999999999</v>
      </c>
      <c r="L1521">
        <v>922.72</v>
      </c>
      <c r="M1521">
        <v>0</v>
      </c>
      <c r="N1521">
        <v>0</v>
      </c>
      <c r="O1521">
        <v>20.065626059993701</v>
      </c>
      <c r="P1521">
        <v>104267.61561709001</v>
      </c>
    </row>
    <row r="1522" spans="1:16" x14ac:dyDescent="0.25">
      <c r="A1522" s="10">
        <v>39846</v>
      </c>
      <c r="B1522">
        <v>-29.39407057998972</v>
      </c>
      <c r="C1522">
        <v>-175.161</v>
      </c>
      <c r="D1522">
        <v>0</v>
      </c>
      <c r="E1522">
        <v>0</v>
      </c>
      <c r="F1522">
        <v>0</v>
      </c>
      <c r="G1522">
        <v>9.335000000000008</v>
      </c>
      <c r="H1522">
        <v>142.62800000000061</v>
      </c>
      <c r="I1522">
        <v>0</v>
      </c>
      <c r="J1522">
        <v>-37.4399999999996</v>
      </c>
      <c r="K1522">
        <v>4.9140000000000912</v>
      </c>
      <c r="L1522">
        <v>0</v>
      </c>
      <c r="M1522">
        <v>0</v>
      </c>
      <c r="N1522">
        <v>0</v>
      </c>
      <c r="O1522">
        <v>26.329929420009169</v>
      </c>
      <c r="P1522">
        <v>104238.22154651</v>
      </c>
    </row>
    <row r="1523" spans="1:16" x14ac:dyDescent="0.25">
      <c r="A1523" s="10">
        <v>39847</v>
      </c>
      <c r="B1523">
        <v>-242.1249570200016</v>
      </c>
      <c r="C1523">
        <v>-3.4889999999999999</v>
      </c>
      <c r="D1523">
        <v>0</v>
      </c>
      <c r="E1523">
        <v>0</v>
      </c>
      <c r="F1523">
        <v>0</v>
      </c>
      <c r="G1523">
        <v>-36.033999999999992</v>
      </c>
      <c r="H1523">
        <v>-218.1273850000016</v>
      </c>
      <c r="I1523">
        <v>0</v>
      </c>
      <c r="J1523">
        <v>-49.430000000000291</v>
      </c>
      <c r="K1523">
        <v>3.1440000000002191</v>
      </c>
      <c r="L1523">
        <v>0</v>
      </c>
      <c r="M1523">
        <v>0</v>
      </c>
      <c r="N1523">
        <v>0</v>
      </c>
      <c r="O1523">
        <v>61.811427980000019</v>
      </c>
      <c r="P1523">
        <v>103996.09658949</v>
      </c>
    </row>
    <row r="1524" spans="1:16" x14ac:dyDescent="0.25">
      <c r="A1524" s="10">
        <v>39848</v>
      </c>
      <c r="B1524">
        <v>-1013.059545490003</v>
      </c>
      <c r="C1524">
        <v>-379.94049999999999</v>
      </c>
      <c r="D1524">
        <v>0</v>
      </c>
      <c r="E1524">
        <v>0</v>
      </c>
      <c r="F1524">
        <v>0</v>
      </c>
      <c r="G1524">
        <v>-82.588999999999999</v>
      </c>
      <c r="H1524">
        <v>-183.78800000000049</v>
      </c>
      <c r="I1524">
        <v>0</v>
      </c>
      <c r="J1524">
        <v>0</v>
      </c>
      <c r="K1524">
        <v>4.24</v>
      </c>
      <c r="L1524">
        <v>-298.8</v>
      </c>
      <c r="M1524">
        <v>0</v>
      </c>
      <c r="N1524">
        <v>0</v>
      </c>
      <c r="O1524">
        <v>-72.182045490002423</v>
      </c>
      <c r="P1524">
        <v>102983.037044</v>
      </c>
    </row>
    <row r="1525" spans="1:16" x14ac:dyDescent="0.25">
      <c r="A1525" s="10">
        <v>39849</v>
      </c>
      <c r="B1525">
        <v>92.158805509999695</v>
      </c>
      <c r="C1525">
        <v>-30.334</v>
      </c>
      <c r="D1525">
        <v>0</v>
      </c>
      <c r="E1525">
        <v>0</v>
      </c>
      <c r="F1525">
        <v>0</v>
      </c>
      <c r="G1525">
        <v>-8.1829999999999998</v>
      </c>
      <c r="H1525">
        <v>97.059999999999491</v>
      </c>
      <c r="I1525">
        <v>0</v>
      </c>
      <c r="J1525">
        <v>0</v>
      </c>
      <c r="K1525">
        <v>4.4929999999999994</v>
      </c>
      <c r="L1525">
        <v>0</v>
      </c>
      <c r="M1525">
        <v>0</v>
      </c>
      <c r="N1525">
        <v>0</v>
      </c>
      <c r="O1525">
        <v>29.122805510000209</v>
      </c>
      <c r="P1525">
        <v>103075.19584951</v>
      </c>
    </row>
    <row r="1526" spans="1:16" x14ac:dyDescent="0.25">
      <c r="A1526" s="10">
        <v>39850</v>
      </c>
      <c r="B1526">
        <v>-465.17184741000642</v>
      </c>
      <c r="C1526">
        <v>-35.224499999999942</v>
      </c>
      <c r="D1526">
        <v>-610.22500000000002</v>
      </c>
      <c r="E1526">
        <v>0</v>
      </c>
      <c r="F1526">
        <v>0</v>
      </c>
      <c r="G1526">
        <v>-6.7379999999999427</v>
      </c>
      <c r="H1526">
        <v>159.985999999999</v>
      </c>
      <c r="I1526">
        <v>0</v>
      </c>
      <c r="J1526">
        <v>0</v>
      </c>
      <c r="K1526">
        <v>5.0599999999999996</v>
      </c>
      <c r="L1526">
        <v>48</v>
      </c>
      <c r="M1526">
        <v>0</v>
      </c>
      <c r="N1526">
        <v>0</v>
      </c>
      <c r="O1526">
        <v>-26.03034741000549</v>
      </c>
      <c r="P1526">
        <v>102610.02400210001</v>
      </c>
    </row>
    <row r="1527" spans="1:16" x14ac:dyDescent="0.25">
      <c r="A1527" s="10">
        <v>39853</v>
      </c>
      <c r="B1527">
        <v>112.7220976500103</v>
      </c>
      <c r="C1527">
        <v>-5.5805000000000007</v>
      </c>
      <c r="D1527">
        <v>0</v>
      </c>
      <c r="E1527">
        <v>0</v>
      </c>
      <c r="F1527">
        <v>0</v>
      </c>
      <c r="G1527">
        <v>-6.710000000000008</v>
      </c>
      <c r="H1527">
        <v>124.48085801999881</v>
      </c>
      <c r="I1527">
        <v>0</v>
      </c>
      <c r="J1527">
        <v>0</v>
      </c>
      <c r="K1527">
        <v>6.4910000000000014</v>
      </c>
      <c r="L1527">
        <v>0.9</v>
      </c>
      <c r="M1527">
        <v>0</v>
      </c>
      <c r="N1527">
        <v>0</v>
      </c>
      <c r="O1527">
        <v>-6.8592603699885046</v>
      </c>
      <c r="P1527">
        <v>102722.74609975</v>
      </c>
    </row>
    <row r="1528" spans="1:16" x14ac:dyDescent="0.25">
      <c r="A1528" s="10">
        <v>39854</v>
      </c>
      <c r="B1528">
        <v>1171.1923044</v>
      </c>
      <c r="C1528">
        <v>20.222200000000001</v>
      </c>
      <c r="D1528">
        <v>0</v>
      </c>
      <c r="E1528">
        <v>0</v>
      </c>
      <c r="F1528">
        <v>0</v>
      </c>
      <c r="G1528">
        <v>-4.8350000000000009</v>
      </c>
      <c r="H1528">
        <v>1148.7390000000009</v>
      </c>
      <c r="I1528">
        <v>0</v>
      </c>
      <c r="J1528">
        <v>0</v>
      </c>
      <c r="K1528">
        <v>4.9069999999999991</v>
      </c>
      <c r="L1528">
        <v>0</v>
      </c>
      <c r="M1528">
        <v>0</v>
      </c>
      <c r="N1528">
        <v>0</v>
      </c>
      <c r="O1528">
        <v>2.1591043999989319</v>
      </c>
      <c r="P1528">
        <v>103893.93840415</v>
      </c>
    </row>
    <row r="1529" spans="1:16" x14ac:dyDescent="0.25">
      <c r="A1529" s="10">
        <v>39855</v>
      </c>
      <c r="B1529">
        <v>1178.1441626199969</v>
      </c>
      <c r="C1529">
        <v>259.80380000000002</v>
      </c>
      <c r="D1529">
        <v>0</v>
      </c>
      <c r="E1529">
        <v>0</v>
      </c>
      <c r="F1529">
        <v>0</v>
      </c>
      <c r="G1529">
        <v>-15.132999999999999</v>
      </c>
      <c r="H1529">
        <v>-264.29199999999952</v>
      </c>
      <c r="I1529">
        <v>0</v>
      </c>
      <c r="J1529">
        <v>0</v>
      </c>
      <c r="K1529">
        <v>2.6</v>
      </c>
      <c r="L1529">
        <v>1222.9000000000001</v>
      </c>
      <c r="M1529">
        <v>0</v>
      </c>
      <c r="N1529">
        <v>0</v>
      </c>
      <c r="O1529">
        <v>-27.734637380003281</v>
      </c>
      <c r="P1529">
        <v>105072.08256677</v>
      </c>
    </row>
    <row r="1530" spans="1:16" x14ac:dyDescent="0.25">
      <c r="A1530" s="10">
        <v>39856</v>
      </c>
      <c r="B1530">
        <v>-43.067951479999898</v>
      </c>
      <c r="C1530">
        <v>111.051</v>
      </c>
      <c r="D1530">
        <v>0</v>
      </c>
      <c r="E1530">
        <v>0</v>
      </c>
      <c r="F1530">
        <v>0</v>
      </c>
      <c r="G1530">
        <v>1.4359999999999791</v>
      </c>
      <c r="H1530">
        <v>-173.34500000000119</v>
      </c>
      <c r="I1530">
        <v>0</v>
      </c>
      <c r="J1530">
        <v>-37.100000000000357</v>
      </c>
      <c r="K1530">
        <v>3.395</v>
      </c>
      <c r="L1530">
        <v>70.7</v>
      </c>
      <c r="M1530">
        <v>0</v>
      </c>
      <c r="N1530">
        <v>0</v>
      </c>
      <c r="O1530">
        <v>-19.20495147999835</v>
      </c>
      <c r="P1530">
        <v>105029.01461529</v>
      </c>
    </row>
    <row r="1531" spans="1:16" x14ac:dyDescent="0.25">
      <c r="A1531" s="10">
        <v>39857</v>
      </c>
      <c r="B1531">
        <v>-1219.2052512899979</v>
      </c>
      <c r="C1531">
        <v>207.505</v>
      </c>
      <c r="D1531">
        <v>-611.27499999999998</v>
      </c>
      <c r="E1531">
        <v>0</v>
      </c>
      <c r="F1531">
        <v>0</v>
      </c>
      <c r="G1531">
        <v>-5.0680220000000418</v>
      </c>
      <c r="H1531">
        <v>-813.69628599999851</v>
      </c>
      <c r="I1531">
        <v>0</v>
      </c>
      <c r="J1531">
        <v>0</v>
      </c>
      <c r="K1531">
        <v>4.1829999999999998</v>
      </c>
      <c r="L1531">
        <v>1</v>
      </c>
      <c r="M1531">
        <v>0</v>
      </c>
      <c r="N1531">
        <v>0</v>
      </c>
      <c r="O1531">
        <v>-1.8539432899997801</v>
      </c>
      <c r="P1531">
        <v>103809.809364</v>
      </c>
    </row>
    <row r="1532" spans="1:16" x14ac:dyDescent="0.25">
      <c r="A1532" s="10">
        <v>39860</v>
      </c>
      <c r="B1532">
        <v>-351.86381799999822</v>
      </c>
      <c r="C1532">
        <v>0</v>
      </c>
      <c r="D1532">
        <v>0</v>
      </c>
      <c r="E1532">
        <v>0</v>
      </c>
      <c r="F1532">
        <v>0</v>
      </c>
      <c r="G1532">
        <v>31.380022</v>
      </c>
      <c r="H1532">
        <v>-486.38392400000163</v>
      </c>
      <c r="I1532">
        <v>0</v>
      </c>
      <c r="J1532">
        <v>0</v>
      </c>
      <c r="K1532">
        <v>5.8670000000000009</v>
      </c>
      <c r="L1532">
        <v>73.7</v>
      </c>
      <c r="M1532">
        <v>0</v>
      </c>
      <c r="N1532">
        <v>0</v>
      </c>
      <c r="O1532">
        <v>23.57308400000343</v>
      </c>
      <c r="P1532">
        <v>103457.945546</v>
      </c>
    </row>
    <row r="1533" spans="1:16" x14ac:dyDescent="0.25">
      <c r="A1533" s="10">
        <v>39861</v>
      </c>
      <c r="B1533">
        <v>-2719.9797780000081</v>
      </c>
      <c r="C1533">
        <v>202.26570000000001</v>
      </c>
      <c r="D1533">
        <v>0</v>
      </c>
      <c r="E1533">
        <v>-1700</v>
      </c>
      <c r="F1533">
        <v>0</v>
      </c>
      <c r="G1533">
        <v>-106.0515070000001</v>
      </c>
      <c r="H1533">
        <v>-1187.9123250000009</v>
      </c>
      <c r="I1533">
        <v>0</v>
      </c>
      <c r="J1533">
        <v>0</v>
      </c>
      <c r="K1533">
        <v>6.39</v>
      </c>
      <c r="L1533">
        <v>0</v>
      </c>
      <c r="M1533">
        <v>0</v>
      </c>
      <c r="N1533">
        <v>0</v>
      </c>
      <c r="O1533">
        <v>65.328353999993666</v>
      </c>
      <c r="P1533">
        <v>100737.96576799999</v>
      </c>
    </row>
    <row r="1534" spans="1:16" x14ac:dyDescent="0.25">
      <c r="A1534" s="10">
        <v>39862</v>
      </c>
      <c r="B1534">
        <v>-643.90679199999522</v>
      </c>
      <c r="C1534">
        <v>150.59200000000001</v>
      </c>
      <c r="D1534">
        <v>0</v>
      </c>
      <c r="E1534">
        <v>0</v>
      </c>
      <c r="F1534">
        <v>0</v>
      </c>
      <c r="G1534">
        <v>-12.41849299999998</v>
      </c>
      <c r="H1534">
        <v>-1093.518756999998</v>
      </c>
      <c r="I1534">
        <v>0</v>
      </c>
      <c r="J1534">
        <v>0</v>
      </c>
      <c r="K1534">
        <v>4.38</v>
      </c>
      <c r="L1534">
        <v>227.32</v>
      </c>
      <c r="M1534">
        <v>0</v>
      </c>
      <c r="N1534">
        <v>0</v>
      </c>
      <c r="O1534">
        <v>79.738458000002723</v>
      </c>
      <c r="P1534">
        <v>100094.058976</v>
      </c>
    </row>
    <row r="1535" spans="1:16" x14ac:dyDescent="0.25">
      <c r="A1535" s="10">
        <v>39863</v>
      </c>
      <c r="B1535">
        <v>1745.592210999996</v>
      </c>
      <c r="C1535">
        <v>47.09</v>
      </c>
      <c r="D1535">
        <v>0</v>
      </c>
      <c r="E1535">
        <v>1600</v>
      </c>
      <c r="F1535">
        <v>0</v>
      </c>
      <c r="G1535">
        <v>147.09364799999989</v>
      </c>
      <c r="H1535">
        <v>-157.61941699999809</v>
      </c>
      <c r="I1535">
        <v>0</v>
      </c>
      <c r="J1535">
        <v>0</v>
      </c>
      <c r="K1535">
        <v>3.82</v>
      </c>
      <c r="L1535">
        <v>0</v>
      </c>
      <c r="M1535">
        <v>0</v>
      </c>
      <c r="N1535">
        <v>0</v>
      </c>
      <c r="O1535">
        <v>105.207979999994</v>
      </c>
      <c r="P1535">
        <v>101839.651187</v>
      </c>
    </row>
    <row r="1536" spans="1:16" x14ac:dyDescent="0.25">
      <c r="A1536" s="10">
        <v>39864</v>
      </c>
      <c r="B1536">
        <v>-412.64723099999532</v>
      </c>
      <c r="C1536">
        <v>-26.179400000000001</v>
      </c>
      <c r="D1536">
        <v>-616.31499999999994</v>
      </c>
      <c r="E1536">
        <v>0</v>
      </c>
      <c r="F1536">
        <v>0</v>
      </c>
      <c r="G1536">
        <v>-12.91307200000006</v>
      </c>
      <c r="H1536">
        <v>151.23989299999809</v>
      </c>
      <c r="I1536">
        <v>0</v>
      </c>
      <c r="J1536">
        <v>-5.6999999999998181</v>
      </c>
      <c r="K1536">
        <v>4.6959999999999997</v>
      </c>
      <c r="L1536">
        <v>4.1999999999999993</v>
      </c>
      <c r="M1536">
        <v>0</v>
      </c>
      <c r="N1536">
        <v>0</v>
      </c>
      <c r="O1536">
        <v>88.324348000006438</v>
      </c>
      <c r="P1536">
        <v>101427.003956</v>
      </c>
    </row>
    <row r="1537" spans="1:16" x14ac:dyDescent="0.25">
      <c r="A1537" s="10">
        <v>39867</v>
      </c>
      <c r="B1537">
        <v>328.96400500001653</v>
      </c>
      <c r="C1537">
        <v>-4.5919000000000096</v>
      </c>
      <c r="D1537">
        <v>0</v>
      </c>
      <c r="E1537">
        <v>0</v>
      </c>
      <c r="F1537">
        <v>0</v>
      </c>
      <c r="G1537">
        <v>26.214424000000012</v>
      </c>
      <c r="H1537">
        <v>237.50863500000199</v>
      </c>
      <c r="I1537">
        <v>0</v>
      </c>
      <c r="J1537">
        <v>0</v>
      </c>
      <c r="K1537">
        <v>9.6184010000000004</v>
      </c>
      <c r="L1537">
        <v>41</v>
      </c>
      <c r="M1537">
        <v>0</v>
      </c>
      <c r="N1537">
        <v>0</v>
      </c>
      <c r="O1537">
        <v>19.214445000014511</v>
      </c>
      <c r="P1537">
        <v>101755.967961</v>
      </c>
    </row>
    <row r="1538" spans="1:16" x14ac:dyDescent="0.25">
      <c r="A1538" s="10">
        <v>39868</v>
      </c>
      <c r="B1538">
        <v>-72.316651000029495</v>
      </c>
      <c r="C1538">
        <v>-95.857410000000002</v>
      </c>
      <c r="D1538">
        <v>0</v>
      </c>
      <c r="E1538">
        <v>0</v>
      </c>
      <c r="F1538">
        <v>0</v>
      </c>
      <c r="G1538">
        <v>-132.24477200000001</v>
      </c>
      <c r="H1538">
        <v>104.0878310000007</v>
      </c>
      <c r="I1538">
        <v>0</v>
      </c>
      <c r="J1538">
        <v>0</v>
      </c>
      <c r="K1538">
        <v>6.8655629999999999</v>
      </c>
      <c r="L1538">
        <v>0</v>
      </c>
      <c r="M1538">
        <v>0</v>
      </c>
      <c r="N1538">
        <v>0</v>
      </c>
      <c r="O1538">
        <v>44.832136999969798</v>
      </c>
      <c r="P1538">
        <v>101683.65131</v>
      </c>
    </row>
    <row r="1539" spans="1:16" x14ac:dyDescent="0.25">
      <c r="A1539" s="10">
        <v>39869</v>
      </c>
      <c r="B1539">
        <v>589.75000000001387</v>
      </c>
      <c r="C1539">
        <v>-151.69200000000001</v>
      </c>
      <c r="D1539">
        <v>0</v>
      </c>
      <c r="E1539">
        <v>0</v>
      </c>
      <c r="F1539">
        <v>0</v>
      </c>
      <c r="G1539">
        <v>128.15200100000001</v>
      </c>
      <c r="H1539">
        <v>-1108.3468049999969</v>
      </c>
      <c r="I1539">
        <v>0</v>
      </c>
      <c r="J1539">
        <v>0</v>
      </c>
      <c r="K1539">
        <v>5.1459999999999999</v>
      </c>
      <c r="L1539">
        <v>1696</v>
      </c>
      <c r="M1539">
        <v>0</v>
      </c>
      <c r="N1539">
        <v>0</v>
      </c>
      <c r="O1539">
        <v>20.490804000011121</v>
      </c>
      <c r="P1539">
        <v>102273.40131</v>
      </c>
    </row>
    <row r="1540" spans="1:16" x14ac:dyDescent="0.25">
      <c r="A1540" s="10">
        <v>39870</v>
      </c>
      <c r="B1540">
        <v>-635.70230699999877</v>
      </c>
      <c r="C1540">
        <v>-253.3973</v>
      </c>
      <c r="D1540">
        <v>0</v>
      </c>
      <c r="E1540">
        <v>0</v>
      </c>
      <c r="F1540">
        <v>0</v>
      </c>
      <c r="G1540">
        <v>-10.75290100000001</v>
      </c>
      <c r="H1540">
        <v>-355.90178900000319</v>
      </c>
      <c r="I1540">
        <v>0</v>
      </c>
      <c r="J1540">
        <v>0</v>
      </c>
      <c r="K1540">
        <v>5.157</v>
      </c>
      <c r="L1540">
        <v>0</v>
      </c>
      <c r="M1540">
        <v>0</v>
      </c>
      <c r="N1540">
        <v>0</v>
      </c>
      <c r="O1540">
        <v>-20.80731699999556</v>
      </c>
      <c r="P1540">
        <v>101637.699003</v>
      </c>
    </row>
    <row r="1541" spans="1:16" x14ac:dyDescent="0.25">
      <c r="A1541" s="10">
        <v>39871</v>
      </c>
      <c r="B1541">
        <v>570.35799699999984</v>
      </c>
      <c r="C1541">
        <v>-327.64620000000002</v>
      </c>
      <c r="D1541">
        <v>-622.125</v>
      </c>
      <c r="E1541">
        <v>0</v>
      </c>
      <c r="F1541">
        <v>0</v>
      </c>
      <c r="G1541">
        <v>-41.70906500000001</v>
      </c>
      <c r="H1541">
        <v>1478.580486000003</v>
      </c>
      <c r="I1541">
        <v>0</v>
      </c>
      <c r="J1541">
        <v>0</v>
      </c>
      <c r="K1541">
        <v>5.72</v>
      </c>
      <c r="L1541">
        <v>0</v>
      </c>
      <c r="M1541">
        <v>0</v>
      </c>
      <c r="N1541">
        <v>0</v>
      </c>
      <c r="O1541">
        <v>77.537775999997166</v>
      </c>
      <c r="P1541">
        <v>102208.057</v>
      </c>
    </row>
    <row r="1542" spans="1:16" x14ac:dyDescent="0.25">
      <c r="A1542" s="10">
        <v>39874</v>
      </c>
      <c r="B1542">
        <v>3546.321649999998</v>
      </c>
      <c r="C1542">
        <v>-223.869</v>
      </c>
      <c r="D1542">
        <v>0</v>
      </c>
      <c r="E1542">
        <v>0</v>
      </c>
      <c r="F1542">
        <v>0</v>
      </c>
      <c r="G1542">
        <v>-96.56076299999998</v>
      </c>
      <c r="H1542">
        <v>3635.5874739999981</v>
      </c>
      <c r="I1542">
        <v>0</v>
      </c>
      <c r="J1542">
        <v>0</v>
      </c>
      <c r="K1542">
        <v>10.35</v>
      </c>
      <c r="L1542">
        <v>-14.9</v>
      </c>
      <c r="M1542">
        <v>0</v>
      </c>
      <c r="N1542">
        <v>0</v>
      </c>
      <c r="O1542">
        <v>235.71393899999981</v>
      </c>
      <c r="P1542">
        <v>105754.37865</v>
      </c>
    </row>
    <row r="1543" spans="1:16" x14ac:dyDescent="0.25">
      <c r="A1543" s="10">
        <v>39875</v>
      </c>
      <c r="B1543">
        <v>-1016.504324999987</v>
      </c>
      <c r="C1543">
        <v>-415.31380000000001</v>
      </c>
      <c r="D1543">
        <v>0</v>
      </c>
      <c r="E1543">
        <v>0</v>
      </c>
      <c r="F1543">
        <v>0</v>
      </c>
      <c r="G1543">
        <v>-8.4800000000000182</v>
      </c>
      <c r="H1543">
        <v>-565.31600799999796</v>
      </c>
      <c r="I1543">
        <v>0</v>
      </c>
      <c r="J1543">
        <v>-45.119999999999891</v>
      </c>
      <c r="K1543">
        <v>4.8040000000000003</v>
      </c>
      <c r="L1543">
        <v>-11.7</v>
      </c>
      <c r="M1543">
        <v>0</v>
      </c>
      <c r="N1543">
        <v>0</v>
      </c>
      <c r="O1543">
        <v>24.621483000010539</v>
      </c>
      <c r="P1543">
        <v>104737.874325</v>
      </c>
    </row>
    <row r="1544" spans="1:16" x14ac:dyDescent="0.25">
      <c r="A1544" s="10">
        <v>39876</v>
      </c>
      <c r="B1544">
        <v>453.7866749999975</v>
      </c>
      <c r="C1544">
        <v>-68.903500000000008</v>
      </c>
      <c r="D1544">
        <v>0</v>
      </c>
      <c r="E1544">
        <v>0</v>
      </c>
      <c r="F1544">
        <v>0</v>
      </c>
      <c r="G1544">
        <v>-13.70804699999999</v>
      </c>
      <c r="H1544">
        <v>218.64320400000179</v>
      </c>
      <c r="I1544">
        <v>0</v>
      </c>
      <c r="J1544">
        <v>0</v>
      </c>
      <c r="K1544">
        <v>5.4379999999999997</v>
      </c>
      <c r="L1544">
        <v>388.21</v>
      </c>
      <c r="M1544">
        <v>0</v>
      </c>
      <c r="N1544">
        <v>0</v>
      </c>
      <c r="O1544">
        <v>-75.892982000004352</v>
      </c>
      <c r="P1544">
        <v>105191.66099999999</v>
      </c>
    </row>
    <row r="1545" spans="1:16" x14ac:dyDescent="0.25">
      <c r="A1545" s="10">
        <v>39877</v>
      </c>
      <c r="B1545">
        <v>-958.08900200000789</v>
      </c>
      <c r="C1545">
        <v>-417.81270000000001</v>
      </c>
      <c r="D1545">
        <v>0</v>
      </c>
      <c r="E1545">
        <v>0</v>
      </c>
      <c r="F1545">
        <v>0</v>
      </c>
      <c r="G1545">
        <v>14.984046999999981</v>
      </c>
      <c r="H1545">
        <v>-674.12013900000056</v>
      </c>
      <c r="I1545">
        <v>0</v>
      </c>
      <c r="J1545">
        <v>0</v>
      </c>
      <c r="K1545">
        <v>3.9550000000000001</v>
      </c>
      <c r="L1545">
        <v>-34.799999999999997</v>
      </c>
      <c r="M1545">
        <v>0</v>
      </c>
      <c r="N1545">
        <v>0</v>
      </c>
      <c r="O1545">
        <v>149.70478999999281</v>
      </c>
      <c r="P1545">
        <v>104233.571998</v>
      </c>
    </row>
    <row r="1546" spans="1:16" x14ac:dyDescent="0.25">
      <c r="A1546" s="10">
        <v>39878</v>
      </c>
      <c r="B1546">
        <v>-1331.2636510000009</v>
      </c>
      <c r="C1546">
        <v>-209.91624999999999</v>
      </c>
      <c r="D1546">
        <v>0</v>
      </c>
      <c r="E1546">
        <v>1500</v>
      </c>
      <c r="F1546">
        <v>0</v>
      </c>
      <c r="G1546">
        <v>-1499.90479</v>
      </c>
      <c r="H1546">
        <v>-1180.6342490000011</v>
      </c>
      <c r="I1546">
        <v>0</v>
      </c>
      <c r="J1546">
        <v>0</v>
      </c>
      <c r="K1546">
        <v>3.1440000000000001</v>
      </c>
      <c r="L1546">
        <v>-21.7</v>
      </c>
      <c r="M1546">
        <v>0</v>
      </c>
      <c r="N1546">
        <v>0</v>
      </c>
      <c r="O1546">
        <v>77.747637999999412</v>
      </c>
      <c r="P1546">
        <v>102902.308347</v>
      </c>
    </row>
    <row r="1547" spans="1:16" x14ac:dyDescent="0.25">
      <c r="A1547" s="10">
        <v>39881</v>
      </c>
      <c r="B1547">
        <v>-241.38529900000071</v>
      </c>
      <c r="C1547">
        <v>-466.56240000000003</v>
      </c>
      <c r="D1547">
        <v>0</v>
      </c>
      <c r="E1547">
        <v>0</v>
      </c>
      <c r="F1547">
        <v>0</v>
      </c>
      <c r="G1547">
        <v>-7.2335209999999961</v>
      </c>
      <c r="H1547">
        <v>197.6804999999986</v>
      </c>
      <c r="I1547">
        <v>0</v>
      </c>
      <c r="J1547">
        <v>0</v>
      </c>
      <c r="K1547">
        <v>6.157</v>
      </c>
      <c r="L1547">
        <v>-8.0000000000000018</v>
      </c>
      <c r="M1547">
        <v>0</v>
      </c>
      <c r="N1547">
        <v>0</v>
      </c>
      <c r="O1547">
        <v>36.57312200000073</v>
      </c>
      <c r="P1547">
        <v>102660.923048</v>
      </c>
    </row>
    <row r="1548" spans="1:16" x14ac:dyDescent="0.25">
      <c r="A1548" s="10">
        <v>39882</v>
      </c>
      <c r="B1548">
        <v>-1587.615870999987</v>
      </c>
      <c r="C1548">
        <v>-356.27289999999999</v>
      </c>
      <c r="D1548">
        <v>0</v>
      </c>
      <c r="E1548">
        <v>-1700</v>
      </c>
      <c r="F1548">
        <v>0</v>
      </c>
      <c r="G1548">
        <v>1479.948108</v>
      </c>
      <c r="H1548">
        <v>-1033.7717809999981</v>
      </c>
      <c r="I1548">
        <v>0</v>
      </c>
      <c r="J1548">
        <v>0</v>
      </c>
      <c r="K1548">
        <v>4.8725379999999996</v>
      </c>
      <c r="L1548">
        <v>7.1</v>
      </c>
      <c r="M1548">
        <v>0</v>
      </c>
      <c r="N1548">
        <v>0</v>
      </c>
      <c r="O1548">
        <v>10.508164000010771</v>
      </c>
      <c r="P1548">
        <v>101073.307177</v>
      </c>
    </row>
    <row r="1549" spans="1:16" x14ac:dyDescent="0.25">
      <c r="A1549" s="10">
        <v>39883</v>
      </c>
      <c r="B1549">
        <v>325.48807199999408</v>
      </c>
      <c r="C1549">
        <v>-105.77164999999999</v>
      </c>
      <c r="D1549">
        <v>0</v>
      </c>
      <c r="E1549">
        <v>0</v>
      </c>
      <c r="F1549">
        <v>0</v>
      </c>
      <c r="G1549">
        <v>-7.0035850000000011</v>
      </c>
      <c r="H1549">
        <v>-183.60958699999901</v>
      </c>
      <c r="I1549">
        <v>0</v>
      </c>
      <c r="J1549">
        <v>0</v>
      </c>
      <c r="K1549">
        <v>2.9580000000000002</v>
      </c>
      <c r="L1549">
        <v>569.20000000000005</v>
      </c>
      <c r="M1549">
        <v>0</v>
      </c>
      <c r="N1549">
        <v>0</v>
      </c>
      <c r="O1549">
        <v>49.714893999993073</v>
      </c>
      <c r="P1549">
        <v>101398.795249</v>
      </c>
    </row>
    <row r="1550" spans="1:16" x14ac:dyDescent="0.25">
      <c r="A1550" s="10">
        <v>39884</v>
      </c>
      <c r="B1550">
        <v>-165.92424900000239</v>
      </c>
      <c r="C1550">
        <v>-413.60500000000002</v>
      </c>
      <c r="D1550">
        <v>0</v>
      </c>
      <c r="E1550">
        <v>0</v>
      </c>
      <c r="F1550">
        <v>0</v>
      </c>
      <c r="G1550">
        <v>-13.781212</v>
      </c>
      <c r="H1550">
        <v>212.2446330000021</v>
      </c>
      <c r="I1550">
        <v>0</v>
      </c>
      <c r="J1550">
        <v>0</v>
      </c>
      <c r="K1550">
        <v>4.3259999999999996</v>
      </c>
      <c r="L1550">
        <v>-8.6000000000000014</v>
      </c>
      <c r="M1550">
        <v>0</v>
      </c>
      <c r="N1550">
        <v>0</v>
      </c>
      <c r="O1550">
        <v>53.491329999995429</v>
      </c>
      <c r="P1550">
        <v>101232.871</v>
      </c>
    </row>
    <row r="1551" spans="1:16" x14ac:dyDescent="0.25">
      <c r="A1551" s="10">
        <v>39885</v>
      </c>
      <c r="B1551">
        <v>-1130.800885000001</v>
      </c>
      <c r="C1551">
        <v>-371.48390000000012</v>
      </c>
      <c r="D1551">
        <v>-656.91</v>
      </c>
      <c r="E1551">
        <v>1600</v>
      </c>
      <c r="F1551">
        <v>0</v>
      </c>
      <c r="G1551">
        <v>-955.03100000000006</v>
      </c>
      <c r="H1551">
        <v>-840.62318500000038</v>
      </c>
      <c r="I1551">
        <v>0</v>
      </c>
      <c r="J1551">
        <v>0</v>
      </c>
      <c r="K1551">
        <v>3.45</v>
      </c>
      <c r="L1551">
        <v>-11.5</v>
      </c>
      <c r="M1551">
        <v>0</v>
      </c>
      <c r="N1551">
        <v>0</v>
      </c>
      <c r="O1551">
        <v>101.29719999999919</v>
      </c>
      <c r="P1551">
        <v>100102.07011499999</v>
      </c>
    </row>
    <row r="1552" spans="1:16" x14ac:dyDescent="0.25">
      <c r="A1552" s="10">
        <v>39888</v>
      </c>
      <c r="B1552">
        <v>462.79479100000782</v>
      </c>
      <c r="C1552">
        <v>-201.99539999999999</v>
      </c>
      <c r="D1552">
        <v>0</v>
      </c>
      <c r="E1552">
        <v>0</v>
      </c>
      <c r="F1552">
        <v>0</v>
      </c>
      <c r="G1552">
        <v>-104.73099999999999</v>
      </c>
      <c r="H1552">
        <v>882.47304300000178</v>
      </c>
      <c r="I1552">
        <v>0</v>
      </c>
      <c r="J1552">
        <v>0</v>
      </c>
      <c r="K1552">
        <v>5.3379999999999992</v>
      </c>
      <c r="L1552">
        <v>-10.6</v>
      </c>
      <c r="M1552">
        <v>0</v>
      </c>
      <c r="N1552">
        <v>0</v>
      </c>
      <c r="O1552">
        <v>-107.68985199999391</v>
      </c>
      <c r="P1552">
        <v>100564.864906</v>
      </c>
    </row>
    <row r="1553" spans="1:16" x14ac:dyDescent="0.25">
      <c r="A1553" s="10">
        <v>39889</v>
      </c>
      <c r="B1553">
        <v>-1259.3193230000029</v>
      </c>
      <c r="C1553">
        <v>-114.37071</v>
      </c>
      <c r="D1553">
        <v>0</v>
      </c>
      <c r="E1553">
        <v>0</v>
      </c>
      <c r="F1553">
        <v>0</v>
      </c>
      <c r="G1553">
        <v>-675.25</v>
      </c>
      <c r="H1553">
        <v>-408.64404800000369</v>
      </c>
      <c r="I1553">
        <v>0</v>
      </c>
      <c r="J1553">
        <v>0</v>
      </c>
      <c r="K1553">
        <v>6.8380000000000001</v>
      </c>
      <c r="L1553">
        <v>-3.9</v>
      </c>
      <c r="M1553">
        <v>0</v>
      </c>
      <c r="N1553">
        <v>0</v>
      </c>
      <c r="O1553">
        <v>-63.992564999999061</v>
      </c>
      <c r="P1553">
        <v>99305.545582999999</v>
      </c>
    </row>
    <row r="1554" spans="1:16" x14ac:dyDescent="0.25">
      <c r="A1554" s="10">
        <v>39890</v>
      </c>
      <c r="B1554">
        <v>1391.2073078300009</v>
      </c>
      <c r="C1554">
        <v>-267.11200000000002</v>
      </c>
      <c r="D1554">
        <v>0</v>
      </c>
      <c r="E1554">
        <v>0</v>
      </c>
      <c r="F1554">
        <v>0</v>
      </c>
      <c r="G1554">
        <v>1235.4167</v>
      </c>
      <c r="H1554">
        <v>-450.61100000000079</v>
      </c>
      <c r="I1554">
        <v>0</v>
      </c>
      <c r="J1554">
        <v>0</v>
      </c>
      <c r="K1554">
        <v>4.3459999999999992</v>
      </c>
      <c r="L1554">
        <v>875.09999999999991</v>
      </c>
      <c r="M1554">
        <v>0</v>
      </c>
      <c r="N1554">
        <v>0</v>
      </c>
      <c r="O1554">
        <v>-5.9323921699986393</v>
      </c>
      <c r="P1554">
        <v>100696.75289083</v>
      </c>
    </row>
    <row r="1555" spans="1:16" x14ac:dyDescent="0.25">
      <c r="A1555" s="10">
        <v>39891</v>
      </c>
      <c r="B1555">
        <v>39.029840209959808</v>
      </c>
      <c r="C1555">
        <v>-391.08303999999993</v>
      </c>
      <c r="D1555">
        <v>0</v>
      </c>
      <c r="E1555">
        <v>0</v>
      </c>
      <c r="F1555">
        <v>0</v>
      </c>
      <c r="G1555">
        <v>445.45960445999992</v>
      </c>
      <c r="H1555">
        <v>-79.119125999997777</v>
      </c>
      <c r="I1555">
        <v>0</v>
      </c>
      <c r="J1555">
        <v>0</v>
      </c>
      <c r="K1555">
        <v>4.2939999999999996</v>
      </c>
      <c r="L1555">
        <v>8.4000000000000021</v>
      </c>
      <c r="M1555">
        <v>0</v>
      </c>
      <c r="N1555">
        <v>0</v>
      </c>
      <c r="O1555">
        <v>51.078401749957592</v>
      </c>
      <c r="P1555">
        <v>100735.78273104</v>
      </c>
    </row>
    <row r="1556" spans="1:16" x14ac:dyDescent="0.25">
      <c r="A1556" s="10">
        <v>39892</v>
      </c>
      <c r="B1556">
        <v>561.94766943000968</v>
      </c>
      <c r="C1556">
        <v>-106.3475</v>
      </c>
      <c r="D1556">
        <v>0</v>
      </c>
      <c r="E1556">
        <v>1500</v>
      </c>
      <c r="F1556">
        <v>0</v>
      </c>
      <c r="G1556">
        <v>-13.84591846000008</v>
      </c>
      <c r="H1556">
        <v>-809.4800000000032</v>
      </c>
      <c r="I1556">
        <v>0</v>
      </c>
      <c r="J1556">
        <v>0</v>
      </c>
      <c r="K1556">
        <v>4.7906000000000004</v>
      </c>
      <c r="L1556">
        <v>-7.7999999999999989</v>
      </c>
      <c r="M1556">
        <v>0</v>
      </c>
      <c r="N1556">
        <v>0</v>
      </c>
      <c r="O1556">
        <v>-5.3695121099869993</v>
      </c>
      <c r="P1556">
        <v>101297.73040047</v>
      </c>
    </row>
    <row r="1557" spans="1:16" x14ac:dyDescent="0.25">
      <c r="A1557" s="10">
        <v>39895</v>
      </c>
      <c r="B1557">
        <v>624.23272753003414</v>
      </c>
      <c r="C1557">
        <v>-104.65049999999999</v>
      </c>
      <c r="D1557">
        <v>0</v>
      </c>
      <c r="E1557">
        <v>0</v>
      </c>
      <c r="F1557">
        <v>0</v>
      </c>
      <c r="G1557">
        <v>7.3271400000000142</v>
      </c>
      <c r="H1557">
        <v>603.91775500000222</v>
      </c>
      <c r="I1557">
        <v>0</v>
      </c>
      <c r="J1557">
        <v>0</v>
      </c>
      <c r="K1557">
        <v>9.4190000000000005</v>
      </c>
      <c r="L1557">
        <v>-15.5</v>
      </c>
      <c r="M1557">
        <v>0</v>
      </c>
      <c r="N1557">
        <v>0</v>
      </c>
      <c r="O1557">
        <v>123.71933253003201</v>
      </c>
      <c r="P1557">
        <v>101921.963128</v>
      </c>
    </row>
    <row r="1558" spans="1:16" x14ac:dyDescent="0.25">
      <c r="A1558" s="10">
        <v>39897</v>
      </c>
      <c r="B1558">
        <v>273.46768000000361</v>
      </c>
      <c r="C1558">
        <v>-311.05509999999998</v>
      </c>
      <c r="D1558">
        <v>0</v>
      </c>
      <c r="E1558">
        <v>0</v>
      </c>
      <c r="F1558">
        <v>0</v>
      </c>
      <c r="G1558">
        <v>88.664174000000003</v>
      </c>
      <c r="H1558">
        <v>-532.4354272199962</v>
      </c>
      <c r="I1558">
        <v>0</v>
      </c>
      <c r="J1558">
        <v>0</v>
      </c>
      <c r="K1558">
        <v>13.007999999999999</v>
      </c>
      <c r="L1558">
        <v>961.6</v>
      </c>
      <c r="M1558">
        <v>0</v>
      </c>
      <c r="N1558">
        <v>0</v>
      </c>
      <c r="O1558">
        <v>53.686033219999793</v>
      </c>
      <c r="P1558">
        <v>102195.430808</v>
      </c>
    </row>
    <row r="1559" spans="1:16" x14ac:dyDescent="0.25">
      <c r="A1559" s="10">
        <v>39898</v>
      </c>
      <c r="B1559">
        <v>-1556.0139410000111</v>
      </c>
      <c r="C1559">
        <v>-383.21120000000002</v>
      </c>
      <c r="D1559">
        <v>0</v>
      </c>
      <c r="E1559">
        <v>0</v>
      </c>
      <c r="F1559">
        <v>0</v>
      </c>
      <c r="G1559">
        <v>0.1421109999999999</v>
      </c>
      <c r="H1559">
        <v>-1292.6349699999989</v>
      </c>
      <c r="I1559">
        <v>0</v>
      </c>
      <c r="J1559">
        <v>0</v>
      </c>
      <c r="K1559">
        <v>5.53</v>
      </c>
      <c r="L1559">
        <v>0</v>
      </c>
      <c r="M1559">
        <v>0</v>
      </c>
      <c r="N1559">
        <v>0</v>
      </c>
      <c r="O1559">
        <v>114.1601179999884</v>
      </c>
      <c r="P1559">
        <v>100639.41686700001</v>
      </c>
    </row>
    <row r="1560" spans="1:16" x14ac:dyDescent="0.25">
      <c r="A1560" s="10">
        <v>39899</v>
      </c>
      <c r="B1560">
        <v>-1397.086748999981</v>
      </c>
      <c r="C1560">
        <v>-528.88100000000009</v>
      </c>
      <c r="D1560">
        <v>0</v>
      </c>
      <c r="E1560">
        <v>0</v>
      </c>
      <c r="F1560">
        <v>0</v>
      </c>
      <c r="G1560">
        <v>1.8018890000000169</v>
      </c>
      <c r="H1560">
        <v>-1106.8557849999961</v>
      </c>
      <c r="I1560">
        <v>0</v>
      </c>
      <c r="J1560">
        <v>0</v>
      </c>
      <c r="K1560">
        <v>6.6459999999999999</v>
      </c>
      <c r="L1560">
        <v>0</v>
      </c>
      <c r="M1560">
        <v>0</v>
      </c>
      <c r="N1560">
        <v>0</v>
      </c>
      <c r="O1560">
        <v>230.20214700001529</v>
      </c>
      <c r="P1560">
        <v>99242.330118000013</v>
      </c>
    </row>
    <row r="1561" spans="1:16" x14ac:dyDescent="0.25">
      <c r="A1561" s="10">
        <v>39902</v>
      </c>
      <c r="B1561">
        <v>-2257.1682100000212</v>
      </c>
      <c r="C1561">
        <v>-612.60046999999997</v>
      </c>
      <c r="D1561">
        <v>0</v>
      </c>
      <c r="E1561">
        <v>0</v>
      </c>
      <c r="F1561">
        <v>0</v>
      </c>
      <c r="G1561">
        <v>-804.55</v>
      </c>
      <c r="H1561">
        <v>-1046.632533</v>
      </c>
      <c r="I1561">
        <v>0</v>
      </c>
      <c r="J1561">
        <v>0</v>
      </c>
      <c r="K1561">
        <v>12.260999999999999</v>
      </c>
      <c r="L1561">
        <v>66.099999999999994</v>
      </c>
      <c r="M1561">
        <v>0</v>
      </c>
      <c r="N1561">
        <v>0</v>
      </c>
      <c r="O1561">
        <v>128.25379299997931</v>
      </c>
      <c r="P1561">
        <v>96985.161907999995</v>
      </c>
    </row>
    <row r="1562" spans="1:16" x14ac:dyDescent="0.25">
      <c r="A1562" s="10">
        <v>39903</v>
      </c>
      <c r="B1562">
        <v>695.77013400000692</v>
      </c>
      <c r="C1562">
        <v>-751.60492999999997</v>
      </c>
      <c r="D1562">
        <v>0</v>
      </c>
      <c r="E1562">
        <v>-700</v>
      </c>
      <c r="F1562">
        <v>0</v>
      </c>
      <c r="G1562">
        <v>32.272487999999953</v>
      </c>
      <c r="H1562">
        <v>2066.377999999997</v>
      </c>
      <c r="I1562">
        <v>0</v>
      </c>
      <c r="J1562">
        <v>0</v>
      </c>
      <c r="K1562">
        <v>12.904999999999999</v>
      </c>
      <c r="L1562">
        <v>-3.9</v>
      </c>
      <c r="M1562">
        <v>0</v>
      </c>
      <c r="N1562">
        <v>0</v>
      </c>
      <c r="O1562">
        <v>39.719576000009852</v>
      </c>
      <c r="P1562">
        <v>97680.932042</v>
      </c>
    </row>
    <row r="1563" spans="1:16" x14ac:dyDescent="0.25">
      <c r="A1563" s="10">
        <v>39904</v>
      </c>
      <c r="B1563">
        <v>5815.4406799999997</v>
      </c>
      <c r="C1563">
        <v>-714.07275000000004</v>
      </c>
      <c r="D1563">
        <v>0</v>
      </c>
      <c r="E1563">
        <v>0</v>
      </c>
      <c r="F1563">
        <v>0</v>
      </c>
      <c r="G1563">
        <v>2.3311459999999902</v>
      </c>
      <c r="H1563">
        <v>7196.7848250000006</v>
      </c>
      <c r="I1563">
        <v>0</v>
      </c>
      <c r="J1563">
        <v>0</v>
      </c>
      <c r="K1563">
        <v>8.4390000000000001</v>
      </c>
      <c r="L1563">
        <v>-715.50000000000011</v>
      </c>
      <c r="M1563">
        <v>0</v>
      </c>
      <c r="N1563">
        <v>0</v>
      </c>
      <c r="O1563">
        <v>37.458458999998399</v>
      </c>
      <c r="P1563">
        <v>103496.372722</v>
      </c>
    </row>
    <row r="1564" spans="1:16" x14ac:dyDescent="0.25">
      <c r="A1564" s="10">
        <v>39906</v>
      </c>
      <c r="B1564">
        <v>-155.22113999999391</v>
      </c>
      <c r="C1564">
        <v>-128.4924</v>
      </c>
      <c r="D1564">
        <v>0</v>
      </c>
      <c r="E1564">
        <v>800</v>
      </c>
      <c r="F1564">
        <v>0</v>
      </c>
      <c r="G1564">
        <v>1.9254369999999881</v>
      </c>
      <c r="H1564">
        <v>-619.84698199999912</v>
      </c>
      <c r="I1564">
        <v>0</v>
      </c>
      <c r="J1564">
        <v>-46.859999999999673</v>
      </c>
      <c r="K1564">
        <v>8.4799999999999276</v>
      </c>
      <c r="L1564">
        <v>32.4</v>
      </c>
      <c r="M1564">
        <v>0</v>
      </c>
      <c r="N1564">
        <v>0</v>
      </c>
      <c r="O1564">
        <v>-202.82719499999499</v>
      </c>
      <c r="P1564">
        <v>103341.15158200001</v>
      </c>
    </row>
    <row r="1565" spans="1:16" x14ac:dyDescent="0.25">
      <c r="A1565" s="10">
        <v>39909</v>
      </c>
      <c r="B1565">
        <v>-2004.113639000004</v>
      </c>
      <c r="C1565">
        <v>105.3359</v>
      </c>
      <c r="D1565">
        <v>0</v>
      </c>
      <c r="E1565">
        <v>0</v>
      </c>
      <c r="F1565">
        <v>0</v>
      </c>
      <c r="G1565">
        <v>-26.762368000000009</v>
      </c>
      <c r="H1565">
        <v>-1775.1506330000011</v>
      </c>
      <c r="I1565">
        <v>0</v>
      </c>
      <c r="J1565">
        <v>0</v>
      </c>
      <c r="K1565">
        <v>8.4</v>
      </c>
      <c r="L1565">
        <v>-2.899999999999999</v>
      </c>
      <c r="M1565">
        <v>0</v>
      </c>
      <c r="N1565">
        <v>0</v>
      </c>
      <c r="O1565">
        <v>-313.03653800000291</v>
      </c>
      <c r="P1565">
        <v>101337.037943</v>
      </c>
    </row>
    <row r="1566" spans="1:16" x14ac:dyDescent="0.25">
      <c r="A1566" s="10">
        <v>39910</v>
      </c>
      <c r="B1566">
        <v>581.25275300000783</v>
      </c>
      <c r="C1566">
        <v>128.2029</v>
      </c>
      <c r="D1566">
        <v>-73.695999999999998</v>
      </c>
      <c r="E1566">
        <v>0</v>
      </c>
      <c r="F1566">
        <v>0</v>
      </c>
      <c r="G1566">
        <v>28.295579</v>
      </c>
      <c r="H1566">
        <v>499.23547100000002</v>
      </c>
      <c r="I1566">
        <v>0</v>
      </c>
      <c r="J1566">
        <v>0</v>
      </c>
      <c r="K1566">
        <v>3.4502830000000002</v>
      </c>
      <c r="L1566">
        <v>0</v>
      </c>
      <c r="M1566">
        <v>0</v>
      </c>
      <c r="N1566">
        <v>0</v>
      </c>
      <c r="O1566">
        <v>-4.2354799999920489</v>
      </c>
      <c r="P1566">
        <v>101918.290696</v>
      </c>
    </row>
    <row r="1567" spans="1:16" x14ac:dyDescent="0.25">
      <c r="A1567" s="10">
        <v>39911</v>
      </c>
      <c r="B1567">
        <v>-1371.3626770000119</v>
      </c>
      <c r="C1567">
        <v>5.1365200000000044</v>
      </c>
      <c r="D1567">
        <v>-220.428</v>
      </c>
      <c r="E1567">
        <v>0</v>
      </c>
      <c r="F1567">
        <v>0</v>
      </c>
      <c r="G1567">
        <v>6.4654769999999928</v>
      </c>
      <c r="H1567">
        <v>-1686.3694660000019</v>
      </c>
      <c r="I1567">
        <v>0</v>
      </c>
      <c r="J1567">
        <v>0</v>
      </c>
      <c r="K1567">
        <v>4.2320000000000002</v>
      </c>
      <c r="L1567">
        <v>327.7</v>
      </c>
      <c r="M1567">
        <v>0</v>
      </c>
      <c r="N1567">
        <v>0</v>
      </c>
      <c r="O1567">
        <v>191.90079199999019</v>
      </c>
      <c r="P1567">
        <v>100546.928019</v>
      </c>
    </row>
    <row r="1568" spans="1:16" x14ac:dyDescent="0.25">
      <c r="A1568" s="10">
        <v>39916</v>
      </c>
      <c r="B1568">
        <v>-535.95871300000033</v>
      </c>
      <c r="C1568">
        <v>404.24211999999989</v>
      </c>
      <c r="D1568">
        <v>-367.8</v>
      </c>
      <c r="E1568">
        <v>0</v>
      </c>
      <c r="F1568">
        <v>0</v>
      </c>
      <c r="G1568">
        <v>-6.5978039999999956</v>
      </c>
      <c r="H1568">
        <v>-658.20344200000181</v>
      </c>
      <c r="I1568">
        <v>0</v>
      </c>
      <c r="J1568">
        <v>0</v>
      </c>
      <c r="K1568">
        <v>13.948</v>
      </c>
      <c r="L1568">
        <v>47.7</v>
      </c>
      <c r="M1568">
        <v>0</v>
      </c>
      <c r="N1568">
        <v>0</v>
      </c>
      <c r="O1568">
        <v>30.7524130000015</v>
      </c>
      <c r="P1568">
        <v>100010.969306</v>
      </c>
    </row>
    <row r="1569" spans="1:16" x14ac:dyDescent="0.25">
      <c r="A1569" s="10">
        <v>39917</v>
      </c>
      <c r="B1569">
        <v>-824.24626699999328</v>
      </c>
      <c r="C1569">
        <v>-51.570099999999996</v>
      </c>
      <c r="D1569">
        <v>-330.99299999999999</v>
      </c>
      <c r="E1569">
        <v>0</v>
      </c>
      <c r="F1569">
        <v>0</v>
      </c>
      <c r="G1569">
        <v>-66.377798000000041</v>
      </c>
      <c r="H1569">
        <v>-458.36447599999877</v>
      </c>
      <c r="I1569">
        <v>0</v>
      </c>
      <c r="J1569">
        <v>0</v>
      </c>
      <c r="K1569">
        <v>3.7949999999999999</v>
      </c>
      <c r="L1569">
        <v>36.299999999999997</v>
      </c>
      <c r="M1569">
        <v>0</v>
      </c>
      <c r="N1569">
        <v>0</v>
      </c>
      <c r="O1569">
        <v>42.964107000005697</v>
      </c>
      <c r="P1569">
        <v>99186.723039000004</v>
      </c>
    </row>
    <row r="1570" spans="1:16" x14ac:dyDescent="0.25">
      <c r="A1570" s="10">
        <v>39918</v>
      </c>
      <c r="B1570">
        <v>71.532539000007745</v>
      </c>
      <c r="C1570">
        <v>328.3741</v>
      </c>
      <c r="D1570">
        <v>-331.40699999999998</v>
      </c>
      <c r="E1570">
        <v>0</v>
      </c>
      <c r="F1570">
        <v>0</v>
      </c>
      <c r="G1570">
        <v>35.097323000000067</v>
      </c>
      <c r="H1570">
        <v>798.50784600000043</v>
      </c>
      <c r="I1570">
        <v>0</v>
      </c>
      <c r="J1570">
        <v>0</v>
      </c>
      <c r="K1570">
        <v>8.0679999999999996</v>
      </c>
      <c r="L1570">
        <v>-756.19999999999993</v>
      </c>
      <c r="M1570">
        <v>0</v>
      </c>
      <c r="N1570">
        <v>0</v>
      </c>
      <c r="O1570">
        <v>-10.90772999999276</v>
      </c>
      <c r="P1570">
        <v>99258.255578000011</v>
      </c>
    </row>
    <row r="1571" spans="1:16" x14ac:dyDescent="0.25">
      <c r="A1571" s="10">
        <v>39919</v>
      </c>
      <c r="B1571">
        <v>-236.56945600002641</v>
      </c>
      <c r="C1571">
        <v>240.07499999999999</v>
      </c>
      <c r="D1571">
        <v>0</v>
      </c>
      <c r="E1571">
        <v>0</v>
      </c>
      <c r="F1571">
        <v>0</v>
      </c>
      <c r="G1571">
        <v>-21.329093</v>
      </c>
      <c r="H1571">
        <v>-528.85023900000124</v>
      </c>
      <c r="I1571">
        <v>0</v>
      </c>
      <c r="J1571">
        <v>0</v>
      </c>
      <c r="K1571">
        <v>4.0620000000000003</v>
      </c>
      <c r="L1571">
        <v>49.2</v>
      </c>
      <c r="M1571">
        <v>0</v>
      </c>
      <c r="N1571">
        <v>0</v>
      </c>
      <c r="O1571">
        <v>20.272875999974811</v>
      </c>
      <c r="P1571">
        <v>99021.686121999985</v>
      </c>
    </row>
    <row r="1572" spans="1:16" x14ac:dyDescent="0.25">
      <c r="A1572" s="10">
        <v>39920</v>
      </c>
      <c r="B1572">
        <v>-1680.387996999985</v>
      </c>
      <c r="C1572">
        <v>143.57550000000001</v>
      </c>
      <c r="D1572">
        <v>0</v>
      </c>
      <c r="E1572">
        <v>0</v>
      </c>
      <c r="F1572">
        <v>0</v>
      </c>
      <c r="G1572">
        <v>28.00028199999997</v>
      </c>
      <c r="H1572">
        <v>-1931.5289420000011</v>
      </c>
      <c r="I1572">
        <v>0</v>
      </c>
      <c r="J1572">
        <v>0</v>
      </c>
      <c r="K1572">
        <v>3.8809999999999998</v>
      </c>
      <c r="L1572">
        <v>0</v>
      </c>
      <c r="M1572">
        <v>0</v>
      </c>
      <c r="N1572">
        <v>0</v>
      </c>
      <c r="O1572">
        <v>75.684163000016312</v>
      </c>
      <c r="P1572">
        <v>97341.298125000001</v>
      </c>
    </row>
    <row r="1573" spans="1:16" x14ac:dyDescent="0.25">
      <c r="A1573" s="10">
        <v>39923</v>
      </c>
      <c r="B1573">
        <v>609.66605000000061</v>
      </c>
      <c r="C1573">
        <v>1.4763199999999961</v>
      </c>
      <c r="D1573">
        <v>0</v>
      </c>
      <c r="E1573">
        <v>0</v>
      </c>
      <c r="F1573">
        <v>0</v>
      </c>
      <c r="G1573">
        <v>85.308132999999998</v>
      </c>
      <c r="H1573">
        <v>451.670946000002</v>
      </c>
      <c r="I1573">
        <v>0</v>
      </c>
      <c r="J1573">
        <v>0</v>
      </c>
      <c r="K1573">
        <v>8.6210000000000004</v>
      </c>
      <c r="L1573">
        <v>0</v>
      </c>
      <c r="M1573">
        <v>0</v>
      </c>
      <c r="N1573">
        <v>0</v>
      </c>
      <c r="O1573">
        <v>62.589650999998618</v>
      </c>
      <c r="P1573">
        <v>97950.964175000001</v>
      </c>
    </row>
    <row r="1574" spans="1:16" x14ac:dyDescent="0.25">
      <c r="A1574" s="10">
        <v>39924</v>
      </c>
      <c r="B1574">
        <v>-261.50690100000122</v>
      </c>
      <c r="C1574">
        <v>-35.423000000000002</v>
      </c>
      <c r="D1574">
        <v>0</v>
      </c>
      <c r="E1574">
        <v>0</v>
      </c>
      <c r="F1574">
        <v>0</v>
      </c>
      <c r="G1574">
        <v>4.7182950000000119</v>
      </c>
      <c r="H1574">
        <v>-345.31087299999848</v>
      </c>
      <c r="I1574">
        <v>0</v>
      </c>
      <c r="J1574">
        <v>0</v>
      </c>
      <c r="K1574">
        <v>4.5739999999999998</v>
      </c>
      <c r="L1574">
        <v>41.18</v>
      </c>
      <c r="M1574">
        <v>0</v>
      </c>
      <c r="N1574">
        <v>0</v>
      </c>
      <c r="O1574">
        <v>68.754676999997344</v>
      </c>
      <c r="P1574">
        <v>97689.457274</v>
      </c>
    </row>
    <row r="1575" spans="1:16" x14ac:dyDescent="0.25">
      <c r="A1575" s="10">
        <v>39925</v>
      </c>
      <c r="B1575">
        <v>34.750327000001853</v>
      </c>
      <c r="C1575">
        <v>132.636</v>
      </c>
      <c r="D1575">
        <v>0</v>
      </c>
      <c r="E1575">
        <v>0</v>
      </c>
      <c r="F1575">
        <v>0</v>
      </c>
      <c r="G1575">
        <v>-12.65509699999998</v>
      </c>
      <c r="H1575">
        <v>126.2771589999975</v>
      </c>
      <c r="I1575">
        <v>0</v>
      </c>
      <c r="J1575">
        <v>0</v>
      </c>
      <c r="K1575">
        <v>7.4450000000000003</v>
      </c>
      <c r="L1575">
        <v>-291</v>
      </c>
      <c r="M1575">
        <v>0</v>
      </c>
      <c r="N1575">
        <v>0</v>
      </c>
      <c r="O1575">
        <v>72.047265000004359</v>
      </c>
      <c r="P1575">
        <v>97724.207601000002</v>
      </c>
    </row>
    <row r="1576" spans="1:16" x14ac:dyDescent="0.25">
      <c r="A1576" s="10">
        <v>39926</v>
      </c>
      <c r="B1576">
        <v>780.89398699998924</v>
      </c>
      <c r="C1576">
        <v>166.73050000000001</v>
      </c>
      <c r="D1576">
        <v>0</v>
      </c>
      <c r="E1576">
        <v>0</v>
      </c>
      <c r="F1576">
        <v>0</v>
      </c>
      <c r="G1576">
        <v>-1.738</v>
      </c>
      <c r="H1576">
        <v>599.20537700000204</v>
      </c>
      <c r="I1576">
        <v>0</v>
      </c>
      <c r="J1576">
        <v>0</v>
      </c>
      <c r="K1576">
        <v>3.4249999999999998</v>
      </c>
      <c r="L1576">
        <v>11.9</v>
      </c>
      <c r="M1576">
        <v>0</v>
      </c>
      <c r="N1576">
        <v>0</v>
      </c>
      <c r="O1576">
        <v>1.371109999987288</v>
      </c>
      <c r="P1576">
        <v>98505.10158799999</v>
      </c>
    </row>
    <row r="1577" spans="1:16" x14ac:dyDescent="0.25">
      <c r="A1577" s="10">
        <v>39927</v>
      </c>
      <c r="B1577">
        <v>304.40132500001391</v>
      </c>
      <c r="C1577">
        <v>44.350700000000167</v>
      </c>
      <c r="D1577">
        <v>-2500</v>
      </c>
      <c r="E1577">
        <v>2500</v>
      </c>
      <c r="F1577">
        <v>0</v>
      </c>
      <c r="G1577">
        <v>9.7330000098572782</v>
      </c>
      <c r="H1577">
        <v>213.10169499999759</v>
      </c>
      <c r="I1577">
        <v>0</v>
      </c>
      <c r="J1577">
        <v>0</v>
      </c>
      <c r="K1577">
        <v>4.8730000000000002</v>
      </c>
      <c r="L1577">
        <v>34.1</v>
      </c>
      <c r="M1577">
        <v>0</v>
      </c>
      <c r="N1577">
        <v>0</v>
      </c>
      <c r="O1577">
        <v>-1.7570700098409591</v>
      </c>
      <c r="P1577">
        <v>98809.502913000004</v>
      </c>
    </row>
    <row r="1578" spans="1:16" x14ac:dyDescent="0.25">
      <c r="A1578" s="10">
        <v>39930</v>
      </c>
      <c r="B1578">
        <v>150.3840979999961</v>
      </c>
      <c r="C1578">
        <v>7.7920000000000007</v>
      </c>
      <c r="D1578">
        <v>0</v>
      </c>
      <c r="E1578">
        <v>0</v>
      </c>
      <c r="F1578">
        <v>0</v>
      </c>
      <c r="G1578">
        <v>13.952</v>
      </c>
      <c r="H1578">
        <v>60.04730514000039</v>
      </c>
      <c r="I1578">
        <v>0</v>
      </c>
      <c r="J1578">
        <v>0</v>
      </c>
      <c r="K1578">
        <v>9.718</v>
      </c>
      <c r="L1578">
        <v>18.15000000000002</v>
      </c>
      <c r="M1578">
        <v>0</v>
      </c>
      <c r="N1578">
        <v>0</v>
      </c>
      <c r="O1578">
        <v>40.724792859995652</v>
      </c>
      <c r="P1578">
        <v>98959.887010999999</v>
      </c>
    </row>
    <row r="1579" spans="1:16" x14ac:dyDescent="0.25">
      <c r="A1579" s="10">
        <v>39931</v>
      </c>
      <c r="B1579">
        <v>-201.72987349999289</v>
      </c>
      <c r="C1579">
        <v>-77.136499999999998</v>
      </c>
      <c r="D1579">
        <v>0</v>
      </c>
      <c r="E1579">
        <v>0</v>
      </c>
      <c r="F1579">
        <v>0</v>
      </c>
      <c r="G1579">
        <v>-131.81800000000001</v>
      </c>
      <c r="H1579">
        <v>-968.31677700000364</v>
      </c>
      <c r="I1579">
        <v>0</v>
      </c>
      <c r="J1579">
        <v>0</v>
      </c>
      <c r="K1579">
        <v>9.0350000000000001</v>
      </c>
      <c r="L1579">
        <v>905.1</v>
      </c>
      <c r="M1579">
        <v>0</v>
      </c>
      <c r="N1579">
        <v>0</v>
      </c>
      <c r="O1579">
        <v>61.406403500010697</v>
      </c>
      <c r="P1579">
        <v>98758.157137500006</v>
      </c>
    </row>
    <row r="1580" spans="1:16" x14ac:dyDescent="0.25">
      <c r="A1580" s="10">
        <v>39932</v>
      </c>
      <c r="B1580">
        <v>-1876.7536375000041</v>
      </c>
      <c r="C1580">
        <v>-129.82650000000001</v>
      </c>
      <c r="D1580">
        <v>0</v>
      </c>
      <c r="E1580">
        <v>0</v>
      </c>
      <c r="F1580">
        <v>0</v>
      </c>
      <c r="G1580">
        <v>46.850999999999999</v>
      </c>
      <c r="H1580">
        <v>-1035.3329399999971</v>
      </c>
      <c r="I1580">
        <v>0</v>
      </c>
      <c r="J1580">
        <v>0</v>
      </c>
      <c r="K1580">
        <v>9.2969999999999988</v>
      </c>
      <c r="L1580">
        <v>-792.30000000000007</v>
      </c>
      <c r="M1580">
        <v>0</v>
      </c>
      <c r="N1580">
        <v>0</v>
      </c>
      <c r="O1580">
        <v>24.5578024999928</v>
      </c>
      <c r="P1580">
        <v>96881.4035</v>
      </c>
    </row>
    <row r="1581" spans="1:16" x14ac:dyDescent="0.25">
      <c r="A1581" s="10">
        <v>39933</v>
      </c>
      <c r="B1581">
        <v>2767.4858720000038</v>
      </c>
      <c r="C1581">
        <v>-359.38580000000002</v>
      </c>
      <c r="D1581">
        <v>0</v>
      </c>
      <c r="E1581">
        <v>0</v>
      </c>
      <c r="F1581">
        <v>0</v>
      </c>
      <c r="G1581">
        <v>-140.05069</v>
      </c>
      <c r="H1581">
        <v>3299.3635089999989</v>
      </c>
      <c r="I1581">
        <v>0</v>
      </c>
      <c r="J1581">
        <v>0</v>
      </c>
      <c r="K1581">
        <v>5.0289999999999999</v>
      </c>
      <c r="L1581">
        <v>0</v>
      </c>
      <c r="M1581">
        <v>0</v>
      </c>
      <c r="N1581">
        <v>0</v>
      </c>
      <c r="O1581">
        <v>-37.470146999994633</v>
      </c>
      <c r="P1581">
        <v>99648.889372000005</v>
      </c>
    </row>
    <row r="1582" spans="1:16" x14ac:dyDescent="0.25">
      <c r="A1582" s="10">
        <v>39937</v>
      </c>
      <c r="B1582">
        <v>2093.93302299999</v>
      </c>
      <c r="C1582">
        <v>248.41990000000001</v>
      </c>
      <c r="D1582">
        <v>0</v>
      </c>
      <c r="E1582">
        <v>0</v>
      </c>
      <c r="F1582">
        <v>0</v>
      </c>
      <c r="G1582">
        <v>27.124897999999991</v>
      </c>
      <c r="H1582">
        <v>1988.092157000003</v>
      </c>
      <c r="I1582">
        <v>0</v>
      </c>
      <c r="J1582">
        <v>0</v>
      </c>
      <c r="K1582">
        <v>18.900745000000001</v>
      </c>
      <c r="L1582">
        <v>-12.5</v>
      </c>
      <c r="M1582">
        <v>0</v>
      </c>
      <c r="N1582">
        <v>0</v>
      </c>
      <c r="O1582">
        <v>-176.10467700001291</v>
      </c>
      <c r="P1582">
        <v>101742.822395</v>
      </c>
    </row>
    <row r="1583" spans="1:16" x14ac:dyDescent="0.25">
      <c r="A1583" s="10">
        <v>39938</v>
      </c>
      <c r="B1583">
        <v>295.29882700002048</v>
      </c>
      <c r="C1583">
        <v>273.86119999999988</v>
      </c>
      <c r="D1583">
        <v>0</v>
      </c>
      <c r="E1583">
        <v>0</v>
      </c>
      <c r="F1583">
        <v>0</v>
      </c>
      <c r="G1583">
        <v>25.488868</v>
      </c>
      <c r="H1583">
        <v>110.5507040000011</v>
      </c>
      <c r="I1583">
        <v>0</v>
      </c>
      <c r="J1583">
        <v>-64</v>
      </c>
      <c r="K1583">
        <v>1.482</v>
      </c>
      <c r="L1583">
        <v>0</v>
      </c>
      <c r="M1583">
        <v>0</v>
      </c>
      <c r="N1583">
        <v>0</v>
      </c>
      <c r="O1583">
        <v>-52.083944999980567</v>
      </c>
      <c r="P1583">
        <v>102038.121222</v>
      </c>
    </row>
    <row r="1584" spans="1:16" x14ac:dyDescent="0.25">
      <c r="A1584" s="10">
        <v>39939</v>
      </c>
      <c r="B1584">
        <v>233.4418039999866</v>
      </c>
      <c r="C1584">
        <v>388.41005000000001</v>
      </c>
      <c r="D1584">
        <v>0</v>
      </c>
      <c r="E1584">
        <v>0</v>
      </c>
      <c r="F1584">
        <v>0</v>
      </c>
      <c r="G1584">
        <v>-3.6160760000000001</v>
      </c>
      <c r="H1584">
        <v>-611.18734100000074</v>
      </c>
      <c r="I1584">
        <v>0</v>
      </c>
      <c r="J1584">
        <v>0</v>
      </c>
      <c r="K1584">
        <v>4.2889999999999997</v>
      </c>
      <c r="L1584">
        <v>377.2</v>
      </c>
      <c r="M1584">
        <v>0</v>
      </c>
      <c r="N1584">
        <v>0</v>
      </c>
      <c r="O1584">
        <v>78.346170999987365</v>
      </c>
      <c r="P1584">
        <v>102271.563026</v>
      </c>
    </row>
    <row r="1585" spans="1:16" x14ac:dyDescent="0.25">
      <c r="A1585" s="10">
        <v>39940</v>
      </c>
      <c r="B1585">
        <v>-376.66359100000341</v>
      </c>
      <c r="C1585">
        <v>475.45569999999998</v>
      </c>
      <c r="D1585">
        <v>0</v>
      </c>
      <c r="E1585">
        <v>0</v>
      </c>
      <c r="F1585">
        <v>0</v>
      </c>
      <c r="G1585">
        <v>6.3719999999999573</v>
      </c>
      <c r="H1585">
        <v>-873.02424200000132</v>
      </c>
      <c r="I1585">
        <v>0</v>
      </c>
      <c r="J1585">
        <v>0</v>
      </c>
      <c r="K1585">
        <v>3.237355</v>
      </c>
      <c r="L1585">
        <v>0</v>
      </c>
      <c r="M1585">
        <v>0</v>
      </c>
      <c r="N1585">
        <v>0</v>
      </c>
      <c r="O1585">
        <v>11.295595999998021</v>
      </c>
      <c r="P1585">
        <v>101894.899435</v>
      </c>
    </row>
    <row r="1586" spans="1:16" x14ac:dyDescent="0.25">
      <c r="A1586" s="10">
        <v>39941</v>
      </c>
      <c r="B1586">
        <v>-1953.1066923000039</v>
      </c>
      <c r="C1586">
        <v>151.00965999999991</v>
      </c>
      <c r="D1586">
        <v>-2500</v>
      </c>
      <c r="E1586">
        <v>2500</v>
      </c>
      <c r="F1586">
        <v>0</v>
      </c>
      <c r="G1586">
        <v>10.90871980000747</v>
      </c>
      <c r="H1586">
        <v>-2167.001487</v>
      </c>
      <c r="I1586">
        <v>0</v>
      </c>
      <c r="J1586">
        <v>0</v>
      </c>
      <c r="K1586">
        <v>1.9510000000000001</v>
      </c>
      <c r="L1586">
        <v>0</v>
      </c>
      <c r="M1586">
        <v>0</v>
      </c>
      <c r="N1586">
        <v>0</v>
      </c>
      <c r="O1586">
        <v>50.025414899987886</v>
      </c>
      <c r="P1586">
        <v>99941.792742699996</v>
      </c>
    </row>
    <row r="1587" spans="1:16" x14ac:dyDescent="0.25">
      <c r="A1587" s="10">
        <v>39944</v>
      </c>
      <c r="B1587">
        <v>1812.8031773000109</v>
      </c>
      <c r="C1587">
        <v>273.76200000000011</v>
      </c>
      <c r="D1587">
        <v>0</v>
      </c>
      <c r="E1587">
        <v>0</v>
      </c>
      <c r="F1587">
        <v>0</v>
      </c>
      <c r="G1587">
        <v>-44.240510000000008</v>
      </c>
      <c r="H1587">
        <v>1568.1684029999981</v>
      </c>
      <c r="I1587">
        <v>0</v>
      </c>
      <c r="J1587">
        <v>0</v>
      </c>
      <c r="K1587">
        <v>9.2149999999999999</v>
      </c>
      <c r="L1587">
        <v>46.8</v>
      </c>
      <c r="M1587">
        <v>0</v>
      </c>
      <c r="N1587">
        <v>0</v>
      </c>
      <c r="O1587">
        <v>-40.901715699986973</v>
      </c>
      <c r="P1587">
        <v>101754.59592000001</v>
      </c>
    </row>
    <row r="1588" spans="1:16" x14ac:dyDescent="0.25">
      <c r="A1588" s="10">
        <v>39945</v>
      </c>
      <c r="B1588">
        <v>-335.95657900000532</v>
      </c>
      <c r="C1588">
        <v>432.97850000000011</v>
      </c>
      <c r="D1588">
        <v>0</v>
      </c>
      <c r="E1588">
        <v>0</v>
      </c>
      <c r="F1588">
        <v>0</v>
      </c>
      <c r="G1588">
        <v>-3.079545999999993</v>
      </c>
      <c r="H1588">
        <v>-774.64849099999992</v>
      </c>
      <c r="I1588">
        <v>0</v>
      </c>
      <c r="J1588">
        <v>0</v>
      </c>
      <c r="K1588">
        <v>3.9020000000000001</v>
      </c>
      <c r="L1588">
        <v>26.5</v>
      </c>
      <c r="M1588">
        <v>0</v>
      </c>
      <c r="N1588">
        <v>0</v>
      </c>
      <c r="O1588">
        <v>-21.60904200000537</v>
      </c>
      <c r="P1588">
        <v>101418.639341</v>
      </c>
    </row>
    <row r="1589" spans="1:16" x14ac:dyDescent="0.25">
      <c r="A1589" s="10">
        <v>39946</v>
      </c>
      <c r="B1589">
        <v>660.96576099999879</v>
      </c>
      <c r="C1589">
        <v>270.35890000000001</v>
      </c>
      <c r="D1589">
        <v>0</v>
      </c>
      <c r="E1589">
        <v>0</v>
      </c>
      <c r="F1589">
        <v>0</v>
      </c>
      <c r="G1589">
        <v>-32.548943999999992</v>
      </c>
      <c r="H1589">
        <v>-96.354283000000578</v>
      </c>
      <c r="I1589">
        <v>0</v>
      </c>
      <c r="J1589">
        <v>0</v>
      </c>
      <c r="K1589">
        <v>4.9939999999999998</v>
      </c>
      <c r="L1589">
        <v>474.7</v>
      </c>
      <c r="M1589">
        <v>0</v>
      </c>
      <c r="N1589">
        <v>0</v>
      </c>
      <c r="O1589">
        <v>39.816087999999397</v>
      </c>
      <c r="P1589">
        <v>102079.605102</v>
      </c>
    </row>
    <row r="1590" spans="1:16" x14ac:dyDescent="0.25">
      <c r="A1590" s="10">
        <v>39947</v>
      </c>
      <c r="B1590">
        <v>-170.55993899999919</v>
      </c>
      <c r="C1590">
        <v>267.94170000000003</v>
      </c>
      <c r="D1590">
        <v>0</v>
      </c>
      <c r="E1590">
        <v>0</v>
      </c>
      <c r="F1590">
        <v>0</v>
      </c>
      <c r="G1590">
        <v>-785.51559299999997</v>
      </c>
      <c r="H1590">
        <v>301.16593900000231</v>
      </c>
      <c r="I1590">
        <v>0</v>
      </c>
      <c r="J1590">
        <v>0</v>
      </c>
      <c r="K1590">
        <v>4.4660000000000002</v>
      </c>
      <c r="L1590">
        <v>48.8</v>
      </c>
      <c r="M1590">
        <v>0</v>
      </c>
      <c r="N1590">
        <v>0</v>
      </c>
      <c r="O1590">
        <v>-7.4179850000014653</v>
      </c>
      <c r="P1590">
        <v>101909.045163</v>
      </c>
    </row>
    <row r="1591" spans="1:16" x14ac:dyDescent="0.25">
      <c r="A1591" s="10">
        <v>39948</v>
      </c>
      <c r="B1591">
        <v>-480.63781600000362</v>
      </c>
      <c r="C1591">
        <v>3.322810000000008</v>
      </c>
      <c r="D1591">
        <v>-410.19</v>
      </c>
      <c r="E1591">
        <v>0</v>
      </c>
      <c r="F1591">
        <v>0</v>
      </c>
      <c r="G1591">
        <v>796.224424</v>
      </c>
      <c r="H1591">
        <v>-907.41793499999949</v>
      </c>
      <c r="I1591">
        <v>0</v>
      </c>
      <c r="J1591">
        <v>0</v>
      </c>
      <c r="K1591">
        <v>3.7845529999999998</v>
      </c>
      <c r="L1591">
        <v>0</v>
      </c>
      <c r="M1591">
        <v>0</v>
      </c>
      <c r="N1591">
        <v>0</v>
      </c>
      <c r="O1591">
        <v>33.638331999995913</v>
      </c>
      <c r="P1591">
        <v>101428.407347</v>
      </c>
    </row>
    <row r="1592" spans="1:16" x14ac:dyDescent="0.25">
      <c r="A1592" s="10">
        <v>39951</v>
      </c>
      <c r="B1592">
        <v>-721.81316199999196</v>
      </c>
      <c r="C1592">
        <v>175.59</v>
      </c>
      <c r="D1592">
        <v>0</v>
      </c>
      <c r="E1592">
        <v>0</v>
      </c>
      <c r="F1592">
        <v>0</v>
      </c>
      <c r="G1592">
        <v>-5.4389699999999834</v>
      </c>
      <c r="H1592">
        <v>-902.87405800000124</v>
      </c>
      <c r="I1592">
        <v>0</v>
      </c>
      <c r="J1592">
        <v>0</v>
      </c>
      <c r="K1592">
        <v>11.833413999999999</v>
      </c>
      <c r="L1592">
        <v>1.1999999999999991</v>
      </c>
      <c r="M1592">
        <v>0</v>
      </c>
      <c r="N1592">
        <v>0</v>
      </c>
      <c r="O1592">
        <v>-2.1235479999907061</v>
      </c>
      <c r="P1592">
        <v>100706.59418499999</v>
      </c>
    </row>
    <row r="1593" spans="1:16" x14ac:dyDescent="0.25">
      <c r="A1593" s="10">
        <v>39952</v>
      </c>
      <c r="B1593">
        <v>-2144.0984390000071</v>
      </c>
      <c r="C1593">
        <v>177.43049999999999</v>
      </c>
      <c r="D1593">
        <v>0</v>
      </c>
      <c r="E1593">
        <v>0</v>
      </c>
      <c r="F1593">
        <v>0</v>
      </c>
      <c r="G1593">
        <v>76.093139000000008</v>
      </c>
      <c r="H1593">
        <v>-2406.595880999997</v>
      </c>
      <c r="I1593">
        <v>0</v>
      </c>
      <c r="J1593">
        <v>0</v>
      </c>
      <c r="K1593">
        <v>6.1</v>
      </c>
      <c r="L1593">
        <v>0</v>
      </c>
      <c r="M1593">
        <v>0</v>
      </c>
      <c r="N1593">
        <v>0</v>
      </c>
      <c r="O1593">
        <v>2.8738029999902208</v>
      </c>
      <c r="P1593">
        <v>98562.495746000001</v>
      </c>
    </row>
    <row r="1594" spans="1:16" x14ac:dyDescent="0.25">
      <c r="A1594" s="10">
        <v>39953</v>
      </c>
      <c r="B1594">
        <v>1058.089934999997</v>
      </c>
      <c r="C1594">
        <v>194.33202</v>
      </c>
      <c r="D1594">
        <v>0</v>
      </c>
      <c r="E1594">
        <v>0</v>
      </c>
      <c r="F1594">
        <v>0</v>
      </c>
      <c r="G1594">
        <v>20.7</v>
      </c>
      <c r="H1594">
        <v>1470.940780000001</v>
      </c>
      <c r="I1594">
        <v>0</v>
      </c>
      <c r="J1594">
        <v>0</v>
      </c>
      <c r="K1594">
        <v>4.8029999999999999</v>
      </c>
      <c r="L1594">
        <v>-720.8</v>
      </c>
      <c r="M1594">
        <v>0</v>
      </c>
      <c r="N1594">
        <v>0</v>
      </c>
      <c r="O1594">
        <v>88.114134999995485</v>
      </c>
      <c r="P1594">
        <v>99620.585680999997</v>
      </c>
    </row>
    <row r="1595" spans="1:16" x14ac:dyDescent="0.25">
      <c r="A1595" s="10">
        <v>39954</v>
      </c>
      <c r="B1595">
        <v>143.25992500000649</v>
      </c>
      <c r="C1595">
        <v>-30.271000000000001</v>
      </c>
      <c r="D1595">
        <v>0</v>
      </c>
      <c r="E1595">
        <v>0</v>
      </c>
      <c r="F1595">
        <v>0</v>
      </c>
      <c r="G1595">
        <v>3.398353999999999</v>
      </c>
      <c r="H1595">
        <v>148.76910999999751</v>
      </c>
      <c r="I1595">
        <v>0</v>
      </c>
      <c r="J1595">
        <v>0</v>
      </c>
      <c r="K1595">
        <v>6.782</v>
      </c>
      <c r="L1595">
        <v>0</v>
      </c>
      <c r="M1595">
        <v>0</v>
      </c>
      <c r="N1595">
        <v>0</v>
      </c>
      <c r="O1595">
        <v>14.58146100000905</v>
      </c>
      <c r="P1595">
        <v>99763.845606000003</v>
      </c>
    </row>
    <row r="1596" spans="1:16" x14ac:dyDescent="0.25">
      <c r="A1596" s="10">
        <v>39955</v>
      </c>
      <c r="B1596">
        <v>593.179682000002</v>
      </c>
      <c r="C1596">
        <v>-36.604999999999997</v>
      </c>
      <c r="D1596">
        <v>0</v>
      </c>
      <c r="E1596">
        <v>0</v>
      </c>
      <c r="F1596">
        <v>0</v>
      </c>
      <c r="G1596">
        <v>5.1654169999999979</v>
      </c>
      <c r="H1596">
        <v>649.31966000000102</v>
      </c>
      <c r="I1596">
        <v>0</v>
      </c>
      <c r="J1596">
        <v>0</v>
      </c>
      <c r="K1596">
        <v>3.9994619999999999</v>
      </c>
      <c r="L1596">
        <v>-59.099999999999987</v>
      </c>
      <c r="M1596">
        <v>0</v>
      </c>
      <c r="N1596">
        <v>0</v>
      </c>
      <c r="O1596">
        <v>30.40014300000098</v>
      </c>
      <c r="P1596">
        <v>100357.025288</v>
      </c>
    </row>
    <row r="1597" spans="1:16" x14ac:dyDescent="0.25">
      <c r="A1597" s="10">
        <v>39959</v>
      </c>
      <c r="B1597">
        <v>2188.7997990000022</v>
      </c>
      <c r="C1597">
        <v>14.948499999999999</v>
      </c>
      <c r="D1597">
        <v>0</v>
      </c>
      <c r="E1597">
        <v>0</v>
      </c>
      <c r="F1597">
        <v>0</v>
      </c>
      <c r="G1597">
        <v>-40.425624999999997</v>
      </c>
      <c r="H1597">
        <v>2146.0620180000019</v>
      </c>
      <c r="I1597">
        <v>0</v>
      </c>
      <c r="J1597">
        <v>0</v>
      </c>
      <c r="K1597">
        <v>17.199000000000002</v>
      </c>
      <c r="L1597">
        <v>31.5</v>
      </c>
      <c r="M1597">
        <v>0</v>
      </c>
      <c r="N1597">
        <v>0</v>
      </c>
      <c r="O1597">
        <v>19.515905999998999</v>
      </c>
      <c r="P1597">
        <v>102545.825087</v>
      </c>
    </row>
    <row r="1598" spans="1:16" x14ac:dyDescent="0.25">
      <c r="A1598" s="10">
        <v>39960</v>
      </c>
      <c r="B1598">
        <v>-1360.4552609999971</v>
      </c>
      <c r="C1598">
        <v>-46.001939999999998</v>
      </c>
      <c r="D1598">
        <v>0</v>
      </c>
      <c r="E1598">
        <v>0</v>
      </c>
      <c r="F1598">
        <v>0</v>
      </c>
      <c r="G1598">
        <v>-151.045658</v>
      </c>
      <c r="H1598">
        <v>-1365.131872999998</v>
      </c>
      <c r="I1598">
        <v>0</v>
      </c>
      <c r="J1598">
        <v>0</v>
      </c>
      <c r="K1598">
        <v>4.5409999999999986</v>
      </c>
      <c r="L1598">
        <v>190.5</v>
      </c>
      <c r="M1598">
        <v>0</v>
      </c>
      <c r="N1598">
        <v>0</v>
      </c>
      <c r="O1598">
        <v>6.683210000001873</v>
      </c>
      <c r="P1598">
        <v>101185.36982599999</v>
      </c>
    </row>
    <row r="1599" spans="1:16" x14ac:dyDescent="0.25">
      <c r="A1599" s="10">
        <v>39961</v>
      </c>
      <c r="B1599">
        <v>-119.5602890000137</v>
      </c>
      <c r="C1599">
        <v>-201.29668000000001</v>
      </c>
      <c r="D1599">
        <v>0</v>
      </c>
      <c r="E1599">
        <v>0</v>
      </c>
      <c r="F1599">
        <v>0</v>
      </c>
      <c r="G1599">
        <v>148.167135</v>
      </c>
      <c r="H1599">
        <v>-122.2984679999972</v>
      </c>
      <c r="I1599">
        <v>0</v>
      </c>
      <c r="J1599">
        <v>0</v>
      </c>
      <c r="K1599">
        <v>6.1339999999999986</v>
      </c>
      <c r="L1599">
        <v>0</v>
      </c>
      <c r="M1599">
        <v>0</v>
      </c>
      <c r="N1599">
        <v>0</v>
      </c>
      <c r="O1599">
        <v>49.733723999983553</v>
      </c>
      <c r="P1599">
        <v>101065.80953699999</v>
      </c>
    </row>
    <row r="1600" spans="1:16" x14ac:dyDescent="0.25">
      <c r="A1600" s="10">
        <v>39962</v>
      </c>
      <c r="B1600">
        <v>-1094.6020349999881</v>
      </c>
      <c r="C1600">
        <v>-325.34800000000001</v>
      </c>
      <c r="D1600">
        <v>0</v>
      </c>
      <c r="E1600">
        <v>0</v>
      </c>
      <c r="F1600">
        <v>0</v>
      </c>
      <c r="G1600">
        <v>69.860859000000005</v>
      </c>
      <c r="H1600">
        <v>-876.65878200000225</v>
      </c>
      <c r="I1600">
        <v>0</v>
      </c>
      <c r="J1600">
        <v>0</v>
      </c>
      <c r="K1600">
        <v>5.4749999999999996</v>
      </c>
      <c r="L1600">
        <v>0</v>
      </c>
      <c r="M1600">
        <v>0</v>
      </c>
      <c r="N1600">
        <v>0</v>
      </c>
      <c r="O1600">
        <v>32.068888000014788</v>
      </c>
      <c r="P1600">
        <v>99971.207502000005</v>
      </c>
    </row>
    <row r="1601" spans="1:16" x14ac:dyDescent="0.25">
      <c r="A1601" s="10">
        <v>39965</v>
      </c>
      <c r="B1601">
        <v>6096.7947559999866</v>
      </c>
      <c r="C1601">
        <v>-19.489999999999998</v>
      </c>
      <c r="D1601">
        <v>0</v>
      </c>
      <c r="E1601">
        <v>0</v>
      </c>
      <c r="F1601">
        <v>0</v>
      </c>
      <c r="G1601">
        <v>-169.89948200000001</v>
      </c>
      <c r="H1601">
        <v>6338.6890400000011</v>
      </c>
      <c r="I1601">
        <v>0</v>
      </c>
      <c r="J1601">
        <v>0</v>
      </c>
      <c r="K1601">
        <v>11.757</v>
      </c>
      <c r="L1601">
        <v>0</v>
      </c>
      <c r="M1601">
        <v>0</v>
      </c>
      <c r="N1601">
        <v>0</v>
      </c>
      <c r="O1601">
        <v>-64.261802000014541</v>
      </c>
      <c r="P1601">
        <v>106068.00225799999</v>
      </c>
    </row>
    <row r="1602" spans="1:16" x14ac:dyDescent="0.25">
      <c r="A1602" s="10">
        <v>39966</v>
      </c>
      <c r="B1602">
        <v>660.57926400001509</v>
      </c>
      <c r="C1602">
        <v>-6.7411799999999999</v>
      </c>
      <c r="D1602">
        <v>0</v>
      </c>
      <c r="E1602">
        <v>0</v>
      </c>
      <c r="F1602">
        <v>0</v>
      </c>
      <c r="G1602">
        <v>19.28008199999999</v>
      </c>
      <c r="H1602">
        <v>799.78304999999818</v>
      </c>
      <c r="I1602">
        <v>0</v>
      </c>
      <c r="J1602">
        <v>-100.39999999999959</v>
      </c>
      <c r="K1602">
        <v>2.3739999999999091</v>
      </c>
      <c r="L1602">
        <v>0</v>
      </c>
      <c r="M1602">
        <v>0</v>
      </c>
      <c r="N1602">
        <v>0</v>
      </c>
      <c r="O1602">
        <v>-53.716687999983357</v>
      </c>
      <c r="P1602">
        <v>106728.58152199999</v>
      </c>
    </row>
    <row r="1603" spans="1:16" x14ac:dyDescent="0.25">
      <c r="A1603" s="10">
        <v>39967</v>
      </c>
      <c r="B1603">
        <v>281.71209299999413</v>
      </c>
      <c r="C1603">
        <v>-25.831900000000001</v>
      </c>
      <c r="D1603">
        <v>0</v>
      </c>
      <c r="E1603">
        <v>0</v>
      </c>
      <c r="F1603">
        <v>0</v>
      </c>
      <c r="G1603">
        <v>-1.248495000000005</v>
      </c>
      <c r="H1603">
        <v>536.77610900000036</v>
      </c>
      <c r="I1603">
        <v>0</v>
      </c>
      <c r="J1603">
        <v>0</v>
      </c>
      <c r="K1603">
        <v>3.7519999999999998</v>
      </c>
      <c r="L1603">
        <v>-211.2</v>
      </c>
      <c r="M1603">
        <v>0</v>
      </c>
      <c r="N1603">
        <v>0</v>
      </c>
      <c r="O1603">
        <v>-20.535621000006181</v>
      </c>
      <c r="P1603">
        <v>107010.293615</v>
      </c>
    </row>
    <row r="1604" spans="1:16" x14ac:dyDescent="0.25">
      <c r="A1604" s="10">
        <v>39968</v>
      </c>
      <c r="B1604">
        <v>1799.785871999994</v>
      </c>
      <c r="C1604">
        <v>19.080259999999999</v>
      </c>
      <c r="D1604">
        <v>0</v>
      </c>
      <c r="E1604">
        <v>2400</v>
      </c>
      <c r="F1604">
        <v>0</v>
      </c>
      <c r="G1604">
        <v>3.1994129999999759</v>
      </c>
      <c r="H1604">
        <v>-1317.7627620000001</v>
      </c>
      <c r="I1604">
        <v>0</v>
      </c>
      <c r="J1604">
        <v>0</v>
      </c>
      <c r="K1604">
        <v>3.8730000000000002</v>
      </c>
      <c r="L1604">
        <v>748.8</v>
      </c>
      <c r="M1604">
        <v>0</v>
      </c>
      <c r="N1604">
        <v>0</v>
      </c>
      <c r="O1604">
        <v>-57.404039000006193</v>
      </c>
      <c r="P1604">
        <v>108810.079487</v>
      </c>
    </row>
    <row r="1605" spans="1:16" x14ac:dyDescent="0.25">
      <c r="A1605" s="10">
        <v>39969</v>
      </c>
      <c r="B1605">
        <v>-611.60593200000631</v>
      </c>
      <c r="C1605">
        <v>-8.7236200000000217</v>
      </c>
      <c r="D1605">
        <v>-262.024</v>
      </c>
      <c r="E1605">
        <v>0</v>
      </c>
      <c r="F1605">
        <v>0</v>
      </c>
      <c r="G1605">
        <v>-0.98799999999999955</v>
      </c>
      <c r="H1605">
        <v>-1208.204051140001</v>
      </c>
      <c r="I1605">
        <v>0</v>
      </c>
      <c r="J1605">
        <v>0</v>
      </c>
      <c r="K1605">
        <v>3.590452</v>
      </c>
      <c r="L1605">
        <v>758.4</v>
      </c>
      <c r="M1605">
        <v>0</v>
      </c>
      <c r="N1605">
        <v>0</v>
      </c>
      <c r="O1605">
        <v>106.3432871399947</v>
      </c>
      <c r="P1605">
        <v>108198.473555</v>
      </c>
    </row>
    <row r="1606" spans="1:16" x14ac:dyDescent="0.25">
      <c r="A1606" s="10">
        <v>39972</v>
      </c>
      <c r="B1606">
        <v>-2185.1933270000009</v>
      </c>
      <c r="C1606">
        <v>-202.90802000000011</v>
      </c>
      <c r="D1606">
        <v>-262.31099999999998</v>
      </c>
      <c r="E1606">
        <v>0</v>
      </c>
      <c r="F1606">
        <v>0</v>
      </c>
      <c r="G1606">
        <v>-1.51600000000002</v>
      </c>
      <c r="H1606">
        <v>-1733.780369999999</v>
      </c>
      <c r="I1606">
        <v>0</v>
      </c>
      <c r="J1606">
        <v>0</v>
      </c>
      <c r="K1606">
        <v>5.5830000000000002</v>
      </c>
      <c r="L1606">
        <v>0</v>
      </c>
      <c r="M1606">
        <v>0</v>
      </c>
      <c r="N1606">
        <v>0</v>
      </c>
      <c r="O1606">
        <v>9.7390629999970777</v>
      </c>
      <c r="P1606">
        <v>106013.280228</v>
      </c>
    </row>
    <row r="1607" spans="1:16" x14ac:dyDescent="0.25">
      <c r="A1607" s="10">
        <v>39973</v>
      </c>
      <c r="B1607">
        <v>686.3303900000177</v>
      </c>
      <c r="C1607">
        <v>-73.678159999999963</v>
      </c>
      <c r="D1607">
        <v>-262.99</v>
      </c>
      <c r="E1607">
        <v>0</v>
      </c>
      <c r="F1607">
        <v>0</v>
      </c>
      <c r="G1607">
        <v>-54.636999999999937</v>
      </c>
      <c r="H1607">
        <v>970.74281700000029</v>
      </c>
      <c r="I1607">
        <v>0</v>
      </c>
      <c r="J1607">
        <v>0</v>
      </c>
      <c r="K1607">
        <v>4.1859999999999999</v>
      </c>
      <c r="L1607">
        <v>0</v>
      </c>
      <c r="M1607">
        <v>0</v>
      </c>
      <c r="N1607">
        <v>0</v>
      </c>
      <c r="O1607">
        <v>102.70673300001729</v>
      </c>
      <c r="P1607">
        <v>106699.61061800001</v>
      </c>
    </row>
    <row r="1608" spans="1:16" x14ac:dyDescent="0.25">
      <c r="A1608" s="10">
        <v>39974</v>
      </c>
      <c r="B1608">
        <v>-1900.0992740000081</v>
      </c>
      <c r="C1608">
        <v>-39.649500000000018</v>
      </c>
      <c r="D1608">
        <v>-263.16500000000002</v>
      </c>
      <c r="E1608">
        <v>0</v>
      </c>
      <c r="F1608">
        <v>0</v>
      </c>
      <c r="G1608">
        <v>-1.315000000000055</v>
      </c>
      <c r="H1608">
        <v>-1770.215854999999</v>
      </c>
      <c r="I1608">
        <v>0</v>
      </c>
      <c r="J1608">
        <v>0</v>
      </c>
      <c r="K1608">
        <v>4.298</v>
      </c>
      <c r="L1608">
        <v>126.7000000000001</v>
      </c>
      <c r="M1608">
        <v>0</v>
      </c>
      <c r="N1608">
        <v>0</v>
      </c>
      <c r="O1608">
        <v>43.248080999990307</v>
      </c>
      <c r="P1608">
        <v>104799.511344</v>
      </c>
    </row>
    <row r="1609" spans="1:16" x14ac:dyDescent="0.25">
      <c r="A1609" s="10">
        <v>39975</v>
      </c>
      <c r="B1609">
        <v>148.13618000000179</v>
      </c>
      <c r="C1609">
        <v>-3.0297200000000029</v>
      </c>
      <c r="D1609">
        <v>-263.10899999999998</v>
      </c>
      <c r="E1609">
        <v>0</v>
      </c>
      <c r="F1609">
        <v>0</v>
      </c>
      <c r="G1609">
        <v>49.049161000000034</v>
      </c>
      <c r="H1609">
        <v>342.39929600000141</v>
      </c>
      <c r="I1609">
        <v>0</v>
      </c>
      <c r="J1609">
        <v>0</v>
      </c>
      <c r="K1609">
        <v>3.7120000000000002</v>
      </c>
      <c r="L1609">
        <v>32</v>
      </c>
      <c r="M1609">
        <v>0</v>
      </c>
      <c r="N1609">
        <v>0</v>
      </c>
      <c r="O1609">
        <v>-12.885556999999601</v>
      </c>
      <c r="P1609">
        <v>104947.647524</v>
      </c>
    </row>
    <row r="1610" spans="1:16" x14ac:dyDescent="0.25">
      <c r="A1610" s="10">
        <v>39976</v>
      </c>
      <c r="B1610">
        <v>-844.78168600000129</v>
      </c>
      <c r="C1610">
        <v>35.384000000000022</v>
      </c>
      <c r="D1610">
        <v>-263.30500000000001</v>
      </c>
      <c r="E1610">
        <v>0</v>
      </c>
      <c r="F1610">
        <v>0</v>
      </c>
      <c r="G1610">
        <v>-1.481161000000043</v>
      </c>
      <c r="H1610">
        <v>-630.51888399999916</v>
      </c>
      <c r="I1610">
        <v>0</v>
      </c>
      <c r="J1610">
        <v>0</v>
      </c>
      <c r="K1610">
        <v>5.0049999999999999</v>
      </c>
      <c r="L1610">
        <v>0</v>
      </c>
      <c r="M1610">
        <v>0</v>
      </c>
      <c r="N1610">
        <v>0</v>
      </c>
      <c r="O1610">
        <v>10.134358999997859</v>
      </c>
      <c r="P1610">
        <v>104102.865838</v>
      </c>
    </row>
    <row r="1611" spans="1:16" x14ac:dyDescent="0.25">
      <c r="A1611" s="10">
        <v>39980</v>
      </c>
      <c r="B1611">
        <v>-352.11351999998391</v>
      </c>
      <c r="C1611">
        <v>-12.80999999999999</v>
      </c>
      <c r="D1611">
        <v>-263.41000000000003</v>
      </c>
      <c r="E1611">
        <v>0</v>
      </c>
      <c r="F1611">
        <v>0</v>
      </c>
      <c r="G1611">
        <v>-40.720999999999997</v>
      </c>
      <c r="H1611">
        <v>-75.120412000000215</v>
      </c>
      <c r="I1611">
        <v>0</v>
      </c>
      <c r="J1611">
        <v>0</v>
      </c>
      <c r="K1611">
        <v>12.39</v>
      </c>
      <c r="L1611">
        <v>0</v>
      </c>
      <c r="M1611">
        <v>0</v>
      </c>
      <c r="N1611">
        <v>0</v>
      </c>
      <c r="O1611">
        <v>27.557892000016331</v>
      </c>
      <c r="P1611">
        <v>103750.752318</v>
      </c>
    </row>
    <row r="1612" spans="1:16" x14ac:dyDescent="0.25">
      <c r="A1612" s="10">
        <v>39981</v>
      </c>
      <c r="B1612">
        <v>-1084.0055420000119</v>
      </c>
      <c r="C1612">
        <v>-46.138760000000033</v>
      </c>
      <c r="D1612">
        <v>-263.70400000000001</v>
      </c>
      <c r="E1612">
        <v>0</v>
      </c>
      <c r="F1612">
        <v>0</v>
      </c>
      <c r="G1612">
        <v>37.556231000000032</v>
      </c>
      <c r="H1612">
        <v>-1501.5205289999981</v>
      </c>
      <c r="I1612">
        <v>0</v>
      </c>
      <c r="J1612">
        <v>0</v>
      </c>
      <c r="K1612">
        <v>6.69</v>
      </c>
      <c r="L1612">
        <v>655.4</v>
      </c>
      <c r="M1612">
        <v>0</v>
      </c>
      <c r="N1612">
        <v>0</v>
      </c>
      <c r="O1612">
        <v>27.711515999985291</v>
      </c>
      <c r="P1612">
        <v>102666.746776</v>
      </c>
    </row>
    <row r="1613" spans="1:16" x14ac:dyDescent="0.25">
      <c r="A1613" s="10">
        <v>39982</v>
      </c>
      <c r="B1613">
        <v>-3180.2843379999958</v>
      </c>
      <c r="C1613">
        <v>-98.723300000000052</v>
      </c>
      <c r="D1613">
        <v>-263.66899999999998</v>
      </c>
      <c r="E1613">
        <v>0</v>
      </c>
      <c r="F1613">
        <v>0</v>
      </c>
      <c r="G1613">
        <v>-3187.9997589999998</v>
      </c>
      <c r="H1613">
        <v>304.25970099999898</v>
      </c>
      <c r="I1613">
        <v>0</v>
      </c>
      <c r="J1613">
        <v>0</v>
      </c>
      <c r="K1613">
        <v>6.4379999999999997</v>
      </c>
      <c r="L1613">
        <v>52.6</v>
      </c>
      <c r="M1613">
        <v>0</v>
      </c>
      <c r="N1613">
        <v>0</v>
      </c>
      <c r="O1613">
        <v>6.8100200000052613</v>
      </c>
      <c r="P1613">
        <v>99486.462438000002</v>
      </c>
    </row>
    <row r="1614" spans="1:16" x14ac:dyDescent="0.25">
      <c r="A1614" s="10">
        <v>39983</v>
      </c>
      <c r="B1614">
        <v>1261.168338000004</v>
      </c>
      <c r="C1614">
        <v>-87.501400000000004</v>
      </c>
      <c r="D1614">
        <v>-263.74599999999998</v>
      </c>
      <c r="E1614">
        <v>0</v>
      </c>
      <c r="F1614">
        <v>0</v>
      </c>
      <c r="G1614">
        <v>3249.9475280000001</v>
      </c>
      <c r="H1614">
        <v>-1690.0958050000011</v>
      </c>
      <c r="I1614">
        <v>0</v>
      </c>
      <c r="J1614">
        <v>0</v>
      </c>
      <c r="K1614">
        <v>5.657</v>
      </c>
      <c r="L1614">
        <v>6.2999999999999989</v>
      </c>
      <c r="M1614">
        <v>0</v>
      </c>
      <c r="N1614">
        <v>0</v>
      </c>
      <c r="O1614">
        <v>40.607015000004822</v>
      </c>
      <c r="P1614">
        <v>100747.63077600001</v>
      </c>
    </row>
    <row r="1615" spans="1:16" x14ac:dyDescent="0.25">
      <c r="A1615" s="10">
        <v>39986</v>
      </c>
      <c r="B1615">
        <v>437.20307573999088</v>
      </c>
      <c r="C1615">
        <v>-467.32299999999998</v>
      </c>
      <c r="D1615">
        <v>-263.95600000000002</v>
      </c>
      <c r="E1615">
        <v>0</v>
      </c>
      <c r="F1615">
        <v>0</v>
      </c>
      <c r="G1615">
        <v>13.65199999999999</v>
      </c>
      <c r="H1615">
        <v>1122.1679999999981</v>
      </c>
      <c r="I1615">
        <v>0</v>
      </c>
      <c r="J1615">
        <v>0</v>
      </c>
      <c r="K1615">
        <v>7.2</v>
      </c>
      <c r="L1615">
        <v>0</v>
      </c>
      <c r="M1615">
        <v>0</v>
      </c>
      <c r="N1615">
        <v>0</v>
      </c>
      <c r="O1615">
        <v>25.462075739993001</v>
      </c>
      <c r="P1615">
        <v>101184.83385174</v>
      </c>
    </row>
    <row r="1616" spans="1:16" x14ac:dyDescent="0.25">
      <c r="A1616" s="10">
        <v>39987</v>
      </c>
      <c r="B1616">
        <v>-603.33730774000378</v>
      </c>
      <c r="C1616">
        <v>-280.83149999999989</v>
      </c>
      <c r="D1616">
        <v>-264.54399999999998</v>
      </c>
      <c r="E1616">
        <v>0</v>
      </c>
      <c r="F1616">
        <v>0</v>
      </c>
      <c r="G1616">
        <v>-5.0754029999999943</v>
      </c>
      <c r="H1616">
        <v>-186.36093500000061</v>
      </c>
      <c r="I1616">
        <v>0</v>
      </c>
      <c r="J1616">
        <v>0</v>
      </c>
      <c r="K1616">
        <v>7.1830000000000007</v>
      </c>
      <c r="L1616">
        <v>0</v>
      </c>
      <c r="M1616">
        <v>0</v>
      </c>
      <c r="N1616">
        <v>0</v>
      </c>
      <c r="O1616">
        <v>126.2915302599967</v>
      </c>
      <c r="P1616">
        <v>100581.49654399999</v>
      </c>
    </row>
    <row r="1617" spans="1:16" x14ac:dyDescent="0.25">
      <c r="A1617" s="10">
        <v>39988</v>
      </c>
      <c r="B1617">
        <v>-919.62970500000085</v>
      </c>
      <c r="C1617">
        <v>-695.61552000000006</v>
      </c>
      <c r="D1617">
        <v>-264.99900000000002</v>
      </c>
      <c r="E1617">
        <v>0</v>
      </c>
      <c r="F1617">
        <v>0</v>
      </c>
      <c r="G1617">
        <v>-1.276292000000069</v>
      </c>
      <c r="H1617">
        <v>-649.57007899999735</v>
      </c>
      <c r="I1617">
        <v>0</v>
      </c>
      <c r="J1617">
        <v>0</v>
      </c>
      <c r="K1617">
        <v>6.1680000000000001</v>
      </c>
      <c r="L1617">
        <v>712.80000000000007</v>
      </c>
      <c r="M1617">
        <v>0</v>
      </c>
      <c r="N1617">
        <v>0</v>
      </c>
      <c r="O1617">
        <v>-27.136814000003341</v>
      </c>
      <c r="P1617">
        <v>99661.866838999995</v>
      </c>
    </row>
    <row r="1618" spans="1:16" x14ac:dyDescent="0.25">
      <c r="A1618" s="10">
        <v>39989</v>
      </c>
      <c r="B1618">
        <v>1419.3456470000081</v>
      </c>
      <c r="C1618">
        <v>-565.44378999999992</v>
      </c>
      <c r="D1618">
        <v>-265.25099999999998</v>
      </c>
      <c r="E1618">
        <v>0</v>
      </c>
      <c r="F1618">
        <v>0</v>
      </c>
      <c r="G1618">
        <v>-2.3913050000001022</v>
      </c>
      <c r="H1618">
        <v>2215.301235999998</v>
      </c>
      <c r="I1618">
        <v>0</v>
      </c>
      <c r="J1618">
        <v>0</v>
      </c>
      <c r="K1618">
        <v>6.5390650000000008</v>
      </c>
      <c r="L1618">
        <v>0</v>
      </c>
      <c r="M1618">
        <v>0</v>
      </c>
      <c r="N1618">
        <v>0</v>
      </c>
      <c r="O1618">
        <v>30.591441000011041</v>
      </c>
      <c r="P1618">
        <v>101081.212486</v>
      </c>
    </row>
    <row r="1619" spans="1:16" x14ac:dyDescent="0.25">
      <c r="A1619" s="10">
        <v>39990</v>
      </c>
      <c r="B1619">
        <v>-108.8058170000004</v>
      </c>
      <c r="C1619">
        <v>-474.92770000000002</v>
      </c>
      <c r="D1619">
        <v>0</v>
      </c>
      <c r="E1619">
        <v>0</v>
      </c>
      <c r="F1619">
        <v>0</v>
      </c>
      <c r="G1619">
        <v>-225.16400808</v>
      </c>
      <c r="H1619">
        <v>618.59409900000173</v>
      </c>
      <c r="I1619">
        <v>0</v>
      </c>
      <c r="J1619">
        <v>0</v>
      </c>
      <c r="K1619">
        <v>5.6285999999999996</v>
      </c>
      <c r="L1619">
        <v>0</v>
      </c>
      <c r="M1619">
        <v>0</v>
      </c>
      <c r="N1619">
        <v>0</v>
      </c>
      <c r="O1619">
        <v>-32.936807920002153</v>
      </c>
      <c r="P1619">
        <v>100972.406669</v>
      </c>
    </row>
    <row r="1620" spans="1:16" x14ac:dyDescent="0.25">
      <c r="A1620" s="10">
        <v>39993</v>
      </c>
      <c r="B1620">
        <v>-255.77374299999681</v>
      </c>
      <c r="C1620">
        <v>-7.21</v>
      </c>
      <c r="D1620">
        <v>0</v>
      </c>
      <c r="E1620">
        <v>0</v>
      </c>
      <c r="F1620">
        <v>0</v>
      </c>
      <c r="G1620">
        <v>-36.22061076</v>
      </c>
      <c r="H1620">
        <v>-209.67599400000111</v>
      </c>
      <c r="I1620">
        <v>0</v>
      </c>
      <c r="J1620">
        <v>0</v>
      </c>
      <c r="K1620">
        <v>6.4410000000000007</v>
      </c>
      <c r="L1620">
        <v>53.4</v>
      </c>
      <c r="M1620">
        <v>0</v>
      </c>
      <c r="N1620">
        <v>0</v>
      </c>
      <c r="O1620">
        <v>-62.508138239995688</v>
      </c>
      <c r="P1620">
        <v>100716.63292600001</v>
      </c>
    </row>
    <row r="1621" spans="1:16" x14ac:dyDescent="0.25">
      <c r="A1621" s="10">
        <v>39994</v>
      </c>
      <c r="B1621">
        <v>2468.3815829999949</v>
      </c>
      <c r="C1621">
        <v>172.3415</v>
      </c>
      <c r="D1621">
        <v>0</v>
      </c>
      <c r="E1621">
        <v>0</v>
      </c>
      <c r="F1621">
        <v>3000</v>
      </c>
      <c r="G1621">
        <v>-2208.7807750000002</v>
      </c>
      <c r="H1621">
        <v>1439.777659000003</v>
      </c>
      <c r="I1621">
        <v>0</v>
      </c>
      <c r="J1621">
        <v>0</v>
      </c>
      <c r="K1621">
        <v>8.1850000000000005</v>
      </c>
      <c r="L1621">
        <v>0</v>
      </c>
      <c r="M1621">
        <v>0</v>
      </c>
      <c r="N1621">
        <v>0</v>
      </c>
      <c r="O1621">
        <v>56.858198999992332</v>
      </c>
      <c r="P1621">
        <v>103185.014509</v>
      </c>
    </row>
    <row r="1622" spans="1:16" x14ac:dyDescent="0.25">
      <c r="A1622" s="10">
        <v>39995</v>
      </c>
      <c r="B1622">
        <v>4693.0507389999984</v>
      </c>
      <c r="C1622">
        <v>-59.654910000000008</v>
      </c>
      <c r="D1622">
        <v>0</v>
      </c>
      <c r="E1622">
        <v>0</v>
      </c>
      <c r="F1622">
        <v>0</v>
      </c>
      <c r="G1622">
        <v>13.080195</v>
      </c>
      <c r="H1622">
        <v>4086.8797429999981</v>
      </c>
      <c r="I1622">
        <v>0</v>
      </c>
      <c r="J1622">
        <v>0</v>
      </c>
      <c r="K1622">
        <v>8.3820330000000016</v>
      </c>
      <c r="L1622">
        <v>639.70000000000005</v>
      </c>
      <c r="M1622">
        <v>0</v>
      </c>
      <c r="N1622">
        <v>0</v>
      </c>
      <c r="O1622">
        <v>4.6636780000006182</v>
      </c>
      <c r="P1622">
        <v>107878.065248</v>
      </c>
    </row>
    <row r="1623" spans="1:16" x14ac:dyDescent="0.25">
      <c r="A1623" s="10">
        <v>39996</v>
      </c>
      <c r="B1623">
        <v>-196.52100599999471</v>
      </c>
      <c r="C1623">
        <v>-3.4217</v>
      </c>
      <c r="D1623">
        <v>0</v>
      </c>
      <c r="E1623">
        <v>0</v>
      </c>
      <c r="F1623">
        <v>0</v>
      </c>
      <c r="G1623">
        <v>-47.991425000000049</v>
      </c>
      <c r="H1623">
        <v>-58.462961999999607</v>
      </c>
      <c r="I1623">
        <v>0</v>
      </c>
      <c r="J1623">
        <v>-102</v>
      </c>
      <c r="K1623">
        <v>3.0539999999998182</v>
      </c>
      <c r="L1623">
        <v>0</v>
      </c>
      <c r="M1623">
        <v>0</v>
      </c>
      <c r="N1623">
        <v>0</v>
      </c>
      <c r="O1623">
        <v>12.30108100000507</v>
      </c>
      <c r="P1623">
        <v>107681.544242</v>
      </c>
    </row>
    <row r="1624" spans="1:16" x14ac:dyDescent="0.25">
      <c r="A1624" s="10">
        <v>39997</v>
      </c>
      <c r="B1624">
        <v>131.79375199999799</v>
      </c>
      <c r="C1624">
        <v>-235.6559</v>
      </c>
      <c r="D1624">
        <v>0</v>
      </c>
      <c r="E1624">
        <v>0</v>
      </c>
      <c r="F1624">
        <v>0</v>
      </c>
      <c r="G1624">
        <v>80.812469000000007</v>
      </c>
      <c r="H1624">
        <v>233.29481499999929</v>
      </c>
      <c r="I1624">
        <v>0</v>
      </c>
      <c r="J1624">
        <v>0</v>
      </c>
      <c r="K1624">
        <v>4.0144960000000003</v>
      </c>
      <c r="L1624">
        <v>50.6</v>
      </c>
      <c r="M1624">
        <v>0</v>
      </c>
      <c r="N1624">
        <v>0</v>
      </c>
      <c r="O1624">
        <v>-1.2721280000012829</v>
      </c>
      <c r="P1624">
        <v>107813.337994</v>
      </c>
    </row>
    <row r="1625" spans="1:16" x14ac:dyDescent="0.25">
      <c r="A1625" s="10">
        <v>40000</v>
      </c>
      <c r="B1625">
        <v>113.5088990000084</v>
      </c>
      <c r="C1625">
        <v>-142.73500000000001</v>
      </c>
      <c r="D1625">
        <v>0</v>
      </c>
      <c r="E1625">
        <v>0</v>
      </c>
      <c r="F1625">
        <v>0</v>
      </c>
      <c r="G1625">
        <v>1301.428521</v>
      </c>
      <c r="H1625">
        <v>-960.58103699999992</v>
      </c>
      <c r="I1625">
        <v>0</v>
      </c>
      <c r="J1625">
        <v>0</v>
      </c>
      <c r="K1625">
        <v>4.3979999999999997</v>
      </c>
      <c r="L1625">
        <v>0</v>
      </c>
      <c r="M1625">
        <v>0</v>
      </c>
      <c r="N1625">
        <v>0</v>
      </c>
      <c r="O1625">
        <v>-89.001584999991778</v>
      </c>
      <c r="P1625">
        <v>107926.84689299999</v>
      </c>
    </row>
    <row r="1626" spans="1:16" x14ac:dyDescent="0.25">
      <c r="A1626" s="10">
        <v>40001</v>
      </c>
      <c r="B1626">
        <v>-430.89432000000642</v>
      </c>
      <c r="C1626">
        <v>60.502400000000009</v>
      </c>
      <c r="D1626">
        <v>0</v>
      </c>
      <c r="E1626">
        <v>0</v>
      </c>
      <c r="F1626">
        <v>0</v>
      </c>
      <c r="G1626">
        <v>-66.406560999999996</v>
      </c>
      <c r="H1626">
        <v>-451.36831499999971</v>
      </c>
      <c r="I1626">
        <v>0</v>
      </c>
      <c r="J1626">
        <v>0</v>
      </c>
      <c r="K1626">
        <v>3.9630000000000001</v>
      </c>
      <c r="L1626">
        <v>0</v>
      </c>
      <c r="M1626">
        <v>0</v>
      </c>
      <c r="N1626">
        <v>0</v>
      </c>
      <c r="O1626">
        <v>22.415155999993239</v>
      </c>
      <c r="P1626">
        <v>107495.952573</v>
      </c>
    </row>
    <row r="1627" spans="1:16" x14ac:dyDescent="0.25">
      <c r="A1627" s="10">
        <v>40002</v>
      </c>
      <c r="B1627">
        <v>786.53043299999331</v>
      </c>
      <c r="C1627">
        <v>-204.69300000000001</v>
      </c>
      <c r="D1627">
        <v>0</v>
      </c>
      <c r="E1627">
        <v>0</v>
      </c>
      <c r="F1627">
        <v>0</v>
      </c>
      <c r="G1627">
        <v>371.8203420000001</v>
      </c>
      <c r="H1627">
        <v>1357.6375600000031</v>
      </c>
      <c r="I1627">
        <v>0</v>
      </c>
      <c r="J1627">
        <v>0</v>
      </c>
      <c r="K1627">
        <v>4.2460000000000004</v>
      </c>
      <c r="L1627">
        <v>-896.12000000000012</v>
      </c>
      <c r="M1627">
        <v>0</v>
      </c>
      <c r="N1627">
        <v>0</v>
      </c>
      <c r="O1627">
        <v>153.63953099999051</v>
      </c>
      <c r="P1627">
        <v>108282.48300599999</v>
      </c>
    </row>
    <row r="1628" spans="1:16" x14ac:dyDescent="0.25">
      <c r="A1628" s="10">
        <v>40007</v>
      </c>
      <c r="B1628">
        <v>513.0352710000011</v>
      </c>
      <c r="C1628">
        <v>-78.143100000000004</v>
      </c>
      <c r="D1628">
        <v>0</v>
      </c>
      <c r="E1628">
        <v>0</v>
      </c>
      <c r="F1628">
        <v>0</v>
      </c>
      <c r="G1628">
        <v>502.49387799999988</v>
      </c>
      <c r="H1628">
        <v>91.038285999999061</v>
      </c>
      <c r="I1628">
        <v>0</v>
      </c>
      <c r="J1628">
        <v>0</v>
      </c>
      <c r="K1628">
        <v>9.141</v>
      </c>
      <c r="L1628">
        <v>49.900000000000013</v>
      </c>
      <c r="M1628">
        <v>0</v>
      </c>
      <c r="N1628">
        <v>0</v>
      </c>
      <c r="O1628">
        <v>-61.394792999997868</v>
      </c>
      <c r="P1628">
        <v>108795.518277</v>
      </c>
    </row>
    <row r="1629" spans="1:16" x14ac:dyDescent="0.25">
      <c r="A1629" s="10">
        <v>40008</v>
      </c>
      <c r="B1629">
        <v>-140.74239899999549</v>
      </c>
      <c r="C1629">
        <v>43.7515</v>
      </c>
      <c r="D1629">
        <v>0</v>
      </c>
      <c r="E1629">
        <v>0</v>
      </c>
      <c r="F1629">
        <v>0</v>
      </c>
      <c r="G1629">
        <v>-145.46965599999999</v>
      </c>
      <c r="H1629">
        <v>-41.702794000000722</v>
      </c>
      <c r="I1629">
        <v>0</v>
      </c>
      <c r="J1629">
        <v>0</v>
      </c>
      <c r="K1629">
        <v>3.573</v>
      </c>
      <c r="L1629">
        <v>0</v>
      </c>
      <c r="M1629">
        <v>0</v>
      </c>
      <c r="N1629">
        <v>0</v>
      </c>
      <c r="O1629">
        <v>-0.89444899999480187</v>
      </c>
      <c r="P1629">
        <v>108654.775878</v>
      </c>
    </row>
    <row r="1630" spans="1:16" x14ac:dyDescent="0.25">
      <c r="A1630" s="10">
        <v>40009</v>
      </c>
      <c r="B1630">
        <v>-521.51777499999946</v>
      </c>
      <c r="C1630">
        <v>0.38020000000000032</v>
      </c>
      <c r="D1630">
        <v>0</v>
      </c>
      <c r="E1630">
        <v>0</v>
      </c>
      <c r="F1630">
        <v>0</v>
      </c>
      <c r="G1630">
        <v>59.525996999999961</v>
      </c>
      <c r="H1630">
        <v>-467.43360799999942</v>
      </c>
      <c r="I1630">
        <v>0</v>
      </c>
      <c r="J1630">
        <v>0</v>
      </c>
      <c r="K1630">
        <v>5.3079999999999998</v>
      </c>
      <c r="L1630">
        <v>-149.69999999999999</v>
      </c>
      <c r="M1630">
        <v>0</v>
      </c>
      <c r="N1630">
        <v>0</v>
      </c>
      <c r="O1630">
        <v>30.401635999999989</v>
      </c>
      <c r="P1630">
        <v>108133.258103</v>
      </c>
    </row>
    <row r="1631" spans="1:16" x14ac:dyDescent="0.25">
      <c r="A1631" s="10">
        <v>40010</v>
      </c>
      <c r="B1631">
        <v>-1459.493178000004</v>
      </c>
      <c r="C1631">
        <v>74.989900000000006</v>
      </c>
      <c r="D1631">
        <v>0</v>
      </c>
      <c r="E1631">
        <v>0</v>
      </c>
      <c r="F1631">
        <v>0</v>
      </c>
      <c r="G1631">
        <v>-10.06521699999999</v>
      </c>
      <c r="H1631">
        <v>-1672.2766319999989</v>
      </c>
      <c r="I1631">
        <v>0</v>
      </c>
      <c r="J1631">
        <v>0</v>
      </c>
      <c r="K1631">
        <v>2.6721759999999999</v>
      </c>
      <c r="L1631">
        <v>0</v>
      </c>
      <c r="M1631">
        <v>0</v>
      </c>
      <c r="N1631">
        <v>0</v>
      </c>
      <c r="O1631">
        <v>145.18659499999481</v>
      </c>
      <c r="P1631">
        <v>106673.764925</v>
      </c>
    </row>
    <row r="1632" spans="1:16" x14ac:dyDescent="0.25">
      <c r="A1632" s="10">
        <v>40011</v>
      </c>
      <c r="B1632">
        <v>-3526.7969359999988</v>
      </c>
      <c r="C1632">
        <v>140.47399999999999</v>
      </c>
      <c r="D1632">
        <v>0</v>
      </c>
      <c r="E1632">
        <v>-1950</v>
      </c>
      <c r="F1632">
        <v>0</v>
      </c>
      <c r="G1632">
        <v>6.6138980000000238</v>
      </c>
      <c r="H1632">
        <v>-1703.788453999998</v>
      </c>
      <c r="I1632">
        <v>0</v>
      </c>
      <c r="J1632">
        <v>0</v>
      </c>
      <c r="K1632">
        <v>2.6970000000000001</v>
      </c>
      <c r="L1632">
        <v>0</v>
      </c>
      <c r="M1632">
        <v>0</v>
      </c>
      <c r="N1632">
        <v>0</v>
      </c>
      <c r="O1632">
        <v>-22.793380000000891</v>
      </c>
      <c r="P1632">
        <v>103146.967989</v>
      </c>
    </row>
    <row r="1633" spans="1:16" x14ac:dyDescent="0.25">
      <c r="A1633" s="10">
        <v>40014</v>
      </c>
      <c r="B1633">
        <v>734.87367600001744</v>
      </c>
      <c r="C1633">
        <v>11.40440000000001</v>
      </c>
      <c r="D1633">
        <v>0</v>
      </c>
      <c r="E1633">
        <v>0</v>
      </c>
      <c r="F1633">
        <v>0</v>
      </c>
      <c r="G1633">
        <v>-132.431735</v>
      </c>
      <c r="H1633">
        <v>900.83265500000016</v>
      </c>
      <c r="I1633">
        <v>0</v>
      </c>
      <c r="J1633">
        <v>0</v>
      </c>
      <c r="K1633">
        <v>8.558841000000001</v>
      </c>
      <c r="L1633">
        <v>0</v>
      </c>
      <c r="M1633">
        <v>0</v>
      </c>
      <c r="N1633">
        <v>0</v>
      </c>
      <c r="O1633">
        <v>-53.490484999982783</v>
      </c>
      <c r="P1633">
        <v>103881.841665</v>
      </c>
    </row>
    <row r="1634" spans="1:16" x14ac:dyDescent="0.25">
      <c r="A1634" s="10">
        <v>40015</v>
      </c>
      <c r="B1634">
        <v>-432.41137300001083</v>
      </c>
      <c r="C1634">
        <v>4.9492000000000127</v>
      </c>
      <c r="D1634">
        <v>0</v>
      </c>
      <c r="E1634">
        <v>0</v>
      </c>
      <c r="F1634">
        <v>0</v>
      </c>
      <c r="G1634">
        <v>227.24765199999999</v>
      </c>
      <c r="H1634">
        <v>-649.64112599999862</v>
      </c>
      <c r="I1634">
        <v>0</v>
      </c>
      <c r="J1634">
        <v>0</v>
      </c>
      <c r="K1634">
        <v>3.5129999999999999</v>
      </c>
      <c r="L1634">
        <v>0</v>
      </c>
      <c r="M1634">
        <v>0</v>
      </c>
      <c r="N1634">
        <v>0</v>
      </c>
      <c r="O1634">
        <v>-18.480099000012171</v>
      </c>
      <c r="P1634">
        <v>103449.430292</v>
      </c>
    </row>
    <row r="1635" spans="1:16" x14ac:dyDescent="0.25">
      <c r="A1635" s="10">
        <v>40016</v>
      </c>
      <c r="B1635">
        <v>-415.68242500000588</v>
      </c>
      <c r="C1635">
        <v>-47.601660000000003</v>
      </c>
      <c r="D1635">
        <v>0</v>
      </c>
      <c r="E1635">
        <v>0</v>
      </c>
      <c r="F1635">
        <v>0</v>
      </c>
      <c r="G1635">
        <v>-68.234780999999984</v>
      </c>
      <c r="H1635">
        <v>-95.301547999999457</v>
      </c>
      <c r="I1635">
        <v>0</v>
      </c>
      <c r="J1635">
        <v>0</v>
      </c>
      <c r="K1635">
        <v>4.7300000000000004</v>
      </c>
      <c r="L1635">
        <v>-161.2000000000001</v>
      </c>
      <c r="M1635">
        <v>0</v>
      </c>
      <c r="N1635">
        <v>0</v>
      </c>
      <c r="O1635">
        <v>-48.074436000006393</v>
      </c>
      <c r="P1635">
        <v>103033.747867</v>
      </c>
    </row>
    <row r="1636" spans="1:16" x14ac:dyDescent="0.25">
      <c r="A1636" s="10">
        <v>40017</v>
      </c>
      <c r="B1636">
        <v>557.49084300000641</v>
      </c>
      <c r="C1636">
        <v>49.10228</v>
      </c>
      <c r="D1636">
        <v>0</v>
      </c>
      <c r="E1636">
        <v>0</v>
      </c>
      <c r="F1636">
        <v>0</v>
      </c>
      <c r="G1636">
        <v>-28.885816999999999</v>
      </c>
      <c r="H1636">
        <v>575.11333899999954</v>
      </c>
      <c r="I1636">
        <v>0</v>
      </c>
      <c r="J1636">
        <v>0</v>
      </c>
      <c r="K1636">
        <v>4.681</v>
      </c>
      <c r="L1636">
        <v>13.2</v>
      </c>
      <c r="M1636">
        <v>0</v>
      </c>
      <c r="N1636">
        <v>0</v>
      </c>
      <c r="O1636">
        <v>-55.719958999993203</v>
      </c>
      <c r="P1636">
        <v>103591.23871000001</v>
      </c>
    </row>
    <row r="1637" spans="1:16" x14ac:dyDescent="0.25">
      <c r="A1637" s="10">
        <v>40018</v>
      </c>
      <c r="B1637">
        <v>1263.7888349999989</v>
      </c>
      <c r="C1637">
        <v>27.804580000000001</v>
      </c>
      <c r="D1637">
        <v>0</v>
      </c>
      <c r="E1637">
        <v>2000</v>
      </c>
      <c r="F1637">
        <v>0</v>
      </c>
      <c r="G1637">
        <v>45.449785000000048</v>
      </c>
      <c r="H1637">
        <v>-844.83558199999788</v>
      </c>
      <c r="I1637">
        <v>0</v>
      </c>
      <c r="J1637">
        <v>0</v>
      </c>
      <c r="K1637">
        <v>3.109</v>
      </c>
      <c r="L1637">
        <v>26.7</v>
      </c>
      <c r="M1637">
        <v>0</v>
      </c>
      <c r="N1637">
        <v>0</v>
      </c>
      <c r="O1637">
        <v>5.5610519999966073</v>
      </c>
      <c r="P1637">
        <v>104855.027545</v>
      </c>
    </row>
    <row r="1638" spans="1:16" x14ac:dyDescent="0.25">
      <c r="A1638" s="10">
        <v>40021</v>
      </c>
      <c r="B1638">
        <v>-842.60567600002128</v>
      </c>
      <c r="C1638">
        <v>-24.7683</v>
      </c>
      <c r="D1638">
        <v>0</v>
      </c>
      <c r="E1638">
        <v>0</v>
      </c>
      <c r="F1638">
        <v>0</v>
      </c>
      <c r="G1638">
        <v>-18.784967999999981</v>
      </c>
      <c r="H1638">
        <v>-789.50182599999971</v>
      </c>
      <c r="I1638">
        <v>0</v>
      </c>
      <c r="J1638">
        <v>0</v>
      </c>
      <c r="K1638">
        <v>6.9119999999999999</v>
      </c>
      <c r="L1638">
        <v>4.6999999999999993</v>
      </c>
      <c r="M1638">
        <v>0</v>
      </c>
      <c r="N1638">
        <v>0</v>
      </c>
      <c r="O1638">
        <v>-21.162582000021601</v>
      </c>
      <c r="P1638">
        <v>104012.421869</v>
      </c>
    </row>
    <row r="1639" spans="1:16" x14ac:dyDescent="0.25">
      <c r="A1639" s="10">
        <v>40022</v>
      </c>
      <c r="B1639">
        <v>348.4549780000242</v>
      </c>
      <c r="C1639">
        <v>-62.550999999999988</v>
      </c>
      <c r="D1639">
        <v>0</v>
      </c>
      <c r="E1639">
        <v>0</v>
      </c>
      <c r="F1639">
        <v>0</v>
      </c>
      <c r="G1639">
        <v>108.584487</v>
      </c>
      <c r="H1639">
        <v>262.22251700000021</v>
      </c>
      <c r="I1639">
        <v>0</v>
      </c>
      <c r="J1639">
        <v>0</v>
      </c>
      <c r="K1639">
        <v>6.1479999999999997</v>
      </c>
      <c r="L1639">
        <v>-5.2</v>
      </c>
      <c r="M1639">
        <v>0</v>
      </c>
      <c r="N1639">
        <v>0</v>
      </c>
      <c r="O1639">
        <v>39.250974000024051</v>
      </c>
      <c r="P1639">
        <v>104360.87684700001</v>
      </c>
    </row>
    <row r="1640" spans="1:16" x14ac:dyDescent="0.25">
      <c r="A1640" s="10">
        <v>40023</v>
      </c>
      <c r="B1640">
        <v>650.86214399999915</v>
      </c>
      <c r="C1640">
        <v>-302.88339999999999</v>
      </c>
      <c r="D1640">
        <v>0</v>
      </c>
      <c r="E1640">
        <v>0</v>
      </c>
      <c r="F1640">
        <v>0</v>
      </c>
      <c r="G1640">
        <v>-25.745304000000029</v>
      </c>
      <c r="H1640">
        <v>845.06201299999884</v>
      </c>
      <c r="I1640">
        <v>0</v>
      </c>
      <c r="J1640">
        <v>0</v>
      </c>
      <c r="K1640">
        <v>5.5699999999999994</v>
      </c>
      <c r="L1640">
        <v>78.400000000000006</v>
      </c>
      <c r="M1640">
        <v>0</v>
      </c>
      <c r="N1640">
        <v>0</v>
      </c>
      <c r="O1640">
        <v>50.458835000000249</v>
      </c>
      <c r="P1640">
        <v>105011.73899100001</v>
      </c>
    </row>
    <row r="1641" spans="1:16" x14ac:dyDescent="0.25">
      <c r="A1641" s="10">
        <v>40024</v>
      </c>
      <c r="B1641">
        <v>-1215.433550999996</v>
      </c>
      <c r="C1641">
        <v>-231.7081</v>
      </c>
      <c r="D1641">
        <v>0</v>
      </c>
      <c r="E1641">
        <v>0</v>
      </c>
      <c r="F1641">
        <v>700</v>
      </c>
      <c r="G1641">
        <v>-863.83361400000001</v>
      </c>
      <c r="H1641">
        <v>-917.36505300000204</v>
      </c>
      <c r="I1641">
        <v>0</v>
      </c>
      <c r="J1641">
        <v>0</v>
      </c>
      <c r="K1641">
        <v>8.0039999999999996</v>
      </c>
      <c r="L1641">
        <v>0</v>
      </c>
      <c r="M1641">
        <v>0</v>
      </c>
      <c r="N1641">
        <v>0</v>
      </c>
      <c r="O1641">
        <v>89.469116000006537</v>
      </c>
      <c r="P1641">
        <v>103796.30544</v>
      </c>
    </row>
    <row r="1642" spans="1:16" x14ac:dyDescent="0.25">
      <c r="A1642" s="10">
        <v>40025</v>
      </c>
      <c r="B1642">
        <v>-2276.999477999997</v>
      </c>
      <c r="C1642">
        <v>-290.28490000000011</v>
      </c>
      <c r="D1642">
        <v>0</v>
      </c>
      <c r="E1642">
        <v>0</v>
      </c>
      <c r="F1642">
        <v>0</v>
      </c>
      <c r="G1642">
        <v>6.9426140000000034</v>
      </c>
      <c r="H1642">
        <v>-2001.8533609999979</v>
      </c>
      <c r="I1642">
        <v>0</v>
      </c>
      <c r="J1642">
        <v>0</v>
      </c>
      <c r="K1642">
        <v>5.7910000000000004</v>
      </c>
      <c r="L1642">
        <v>0</v>
      </c>
      <c r="M1642">
        <v>0</v>
      </c>
      <c r="N1642">
        <v>0</v>
      </c>
      <c r="O1642">
        <v>2.4051690000003871</v>
      </c>
      <c r="P1642">
        <v>101519.305962</v>
      </c>
    </row>
    <row r="1643" spans="1:16" x14ac:dyDescent="0.25">
      <c r="A1643" s="10">
        <v>40028</v>
      </c>
      <c r="B1643">
        <v>6404.3183559999889</v>
      </c>
      <c r="C1643">
        <v>22.952649999999998</v>
      </c>
      <c r="D1643">
        <v>0</v>
      </c>
      <c r="E1643">
        <v>0</v>
      </c>
      <c r="F1643">
        <v>0</v>
      </c>
      <c r="G1643">
        <v>10.268000000000031</v>
      </c>
      <c r="H1643">
        <v>6492.7188749999996</v>
      </c>
      <c r="I1643">
        <v>0</v>
      </c>
      <c r="J1643">
        <v>-78.900000000000546</v>
      </c>
      <c r="K1643">
        <v>5.9659180000001806</v>
      </c>
      <c r="L1643">
        <v>0</v>
      </c>
      <c r="M1643">
        <v>0</v>
      </c>
      <c r="N1643">
        <v>0</v>
      </c>
      <c r="O1643">
        <v>-48.687087000011161</v>
      </c>
      <c r="P1643">
        <v>107923.624318</v>
      </c>
    </row>
    <row r="1644" spans="1:16" x14ac:dyDescent="0.25">
      <c r="A1644" s="10">
        <v>40029</v>
      </c>
      <c r="B1644">
        <v>807.73603800000251</v>
      </c>
      <c r="C1644">
        <v>165.14102</v>
      </c>
      <c r="D1644">
        <v>0</v>
      </c>
      <c r="E1644">
        <v>0</v>
      </c>
      <c r="F1644">
        <v>0</v>
      </c>
      <c r="G1644">
        <v>-5.4125410000000329</v>
      </c>
      <c r="H1644">
        <v>909.60473100000127</v>
      </c>
      <c r="I1644">
        <v>0</v>
      </c>
      <c r="J1644">
        <v>-103.5999999999995</v>
      </c>
      <c r="K1644">
        <v>1.408000000000182</v>
      </c>
      <c r="L1644">
        <v>0</v>
      </c>
      <c r="M1644">
        <v>0</v>
      </c>
      <c r="N1644">
        <v>0</v>
      </c>
      <c r="O1644">
        <v>-159.4051719999994</v>
      </c>
      <c r="P1644">
        <v>108731.360356</v>
      </c>
    </row>
    <row r="1645" spans="1:16" x14ac:dyDescent="0.25">
      <c r="A1645" s="10">
        <v>40030</v>
      </c>
      <c r="B1645">
        <v>-788.3387620000002</v>
      </c>
      <c r="C1645">
        <v>254.69988000000001</v>
      </c>
      <c r="D1645">
        <v>0</v>
      </c>
      <c r="E1645">
        <v>0</v>
      </c>
      <c r="F1645">
        <v>0</v>
      </c>
      <c r="G1645">
        <v>-13.486535999999999</v>
      </c>
      <c r="H1645">
        <v>-569.4648470000011</v>
      </c>
      <c r="I1645">
        <v>0</v>
      </c>
      <c r="J1645">
        <v>0</v>
      </c>
      <c r="K1645">
        <v>2.62</v>
      </c>
      <c r="L1645">
        <v>-437.6</v>
      </c>
      <c r="M1645">
        <v>0</v>
      </c>
      <c r="N1645">
        <v>0</v>
      </c>
      <c r="O1645">
        <v>-25.10725899999909</v>
      </c>
      <c r="P1645">
        <v>107943.02159400001</v>
      </c>
    </row>
    <row r="1646" spans="1:16" x14ac:dyDescent="0.25">
      <c r="A1646" s="10">
        <v>40031</v>
      </c>
      <c r="B1646">
        <v>-907.3895920000059</v>
      </c>
      <c r="C1646">
        <v>280.7482</v>
      </c>
      <c r="D1646">
        <v>0</v>
      </c>
      <c r="E1646">
        <v>0</v>
      </c>
      <c r="F1646">
        <v>0</v>
      </c>
      <c r="G1646">
        <v>-4.6209759999999989</v>
      </c>
      <c r="H1646">
        <v>-1189.734171999997</v>
      </c>
      <c r="I1646">
        <v>0</v>
      </c>
      <c r="J1646">
        <v>0</v>
      </c>
      <c r="K1646">
        <v>3.532</v>
      </c>
      <c r="L1646">
        <v>0</v>
      </c>
      <c r="M1646">
        <v>0</v>
      </c>
      <c r="N1646">
        <v>0</v>
      </c>
      <c r="O1646">
        <v>2.6853559999907932</v>
      </c>
      <c r="P1646">
        <v>107035.632002</v>
      </c>
    </row>
    <row r="1647" spans="1:16" x14ac:dyDescent="0.25">
      <c r="A1647" s="10">
        <v>40032</v>
      </c>
      <c r="B1647">
        <v>-420.42604799999418</v>
      </c>
      <c r="C1647">
        <v>280.43520000000001</v>
      </c>
      <c r="D1647">
        <v>0</v>
      </c>
      <c r="E1647">
        <v>0</v>
      </c>
      <c r="F1647">
        <v>0</v>
      </c>
      <c r="G1647">
        <v>-54.431651000000009</v>
      </c>
      <c r="H1647">
        <v>-622.57293100000243</v>
      </c>
      <c r="I1647">
        <v>0</v>
      </c>
      <c r="J1647">
        <v>0</v>
      </c>
      <c r="K1647">
        <v>3.5735749999999999</v>
      </c>
      <c r="L1647">
        <v>-0.90000000000000036</v>
      </c>
      <c r="M1647">
        <v>0</v>
      </c>
      <c r="N1647">
        <v>0</v>
      </c>
      <c r="O1647">
        <v>-26.530240999991861</v>
      </c>
      <c r="P1647">
        <v>106615.205954</v>
      </c>
    </row>
    <row r="1648" spans="1:16" x14ac:dyDescent="0.25">
      <c r="A1648" s="10">
        <v>40035</v>
      </c>
      <c r="B1648">
        <v>-140.66371800001161</v>
      </c>
      <c r="C1648">
        <v>379.05135000000001</v>
      </c>
      <c r="D1648">
        <v>0</v>
      </c>
      <c r="E1648">
        <v>0</v>
      </c>
      <c r="F1648">
        <v>0</v>
      </c>
      <c r="G1648">
        <v>93.977382000000006</v>
      </c>
      <c r="H1648">
        <v>-637.74858200000017</v>
      </c>
      <c r="I1648">
        <v>0</v>
      </c>
      <c r="J1648">
        <v>0</v>
      </c>
      <c r="K1648">
        <v>5.2989999999999986</v>
      </c>
      <c r="L1648">
        <v>0</v>
      </c>
      <c r="M1648">
        <v>0</v>
      </c>
      <c r="N1648">
        <v>0</v>
      </c>
      <c r="O1648">
        <v>18.757131999988591</v>
      </c>
      <c r="P1648">
        <v>106474.54223599999</v>
      </c>
    </row>
    <row r="1649" spans="1:16" x14ac:dyDescent="0.25">
      <c r="A1649" s="10">
        <v>40036</v>
      </c>
      <c r="B1649">
        <v>-168.43684299998989</v>
      </c>
      <c r="C1649">
        <v>52.097859999999997</v>
      </c>
      <c r="D1649">
        <v>0</v>
      </c>
      <c r="E1649">
        <v>0</v>
      </c>
      <c r="F1649">
        <v>0</v>
      </c>
      <c r="G1649">
        <v>-20.062511000000001</v>
      </c>
      <c r="H1649">
        <v>-267.35988100000401</v>
      </c>
      <c r="I1649">
        <v>0</v>
      </c>
      <c r="J1649">
        <v>0</v>
      </c>
      <c r="K1649">
        <v>3.0870000000000002</v>
      </c>
      <c r="L1649">
        <v>50.5</v>
      </c>
      <c r="M1649">
        <v>0</v>
      </c>
      <c r="N1649">
        <v>0</v>
      </c>
      <c r="O1649">
        <v>13.300689000014019</v>
      </c>
      <c r="P1649">
        <v>106306.10539300001</v>
      </c>
    </row>
    <row r="1650" spans="1:16" x14ac:dyDescent="0.25">
      <c r="A1650" s="10">
        <v>40037</v>
      </c>
      <c r="B1650">
        <v>591.15818399999966</v>
      </c>
      <c r="C1650">
        <v>297.08845000000002</v>
      </c>
      <c r="D1650">
        <v>0</v>
      </c>
      <c r="E1650">
        <v>0</v>
      </c>
      <c r="F1650">
        <v>0</v>
      </c>
      <c r="G1650">
        <v>207.21591953999999</v>
      </c>
      <c r="H1650">
        <v>763.51377499999944</v>
      </c>
      <c r="I1650">
        <v>0</v>
      </c>
      <c r="J1650">
        <v>0</v>
      </c>
      <c r="K1650">
        <v>2.6619999999999999</v>
      </c>
      <c r="L1650">
        <v>-648</v>
      </c>
      <c r="M1650">
        <v>0</v>
      </c>
      <c r="N1650">
        <v>0</v>
      </c>
      <c r="O1650">
        <v>-31.32196054000001</v>
      </c>
      <c r="P1650">
        <v>106897.26357700001</v>
      </c>
    </row>
    <row r="1651" spans="1:16" x14ac:dyDescent="0.25">
      <c r="A1651" s="10">
        <v>40038</v>
      </c>
      <c r="B1651">
        <v>-1346.964306000008</v>
      </c>
      <c r="C1651">
        <v>91.7</v>
      </c>
      <c r="D1651">
        <v>0</v>
      </c>
      <c r="E1651">
        <v>0</v>
      </c>
      <c r="F1651">
        <v>0</v>
      </c>
      <c r="G1651">
        <v>-15.632156999999999</v>
      </c>
      <c r="H1651">
        <v>-1448.7170988</v>
      </c>
      <c r="I1651">
        <v>0</v>
      </c>
      <c r="J1651">
        <v>0</v>
      </c>
      <c r="K1651">
        <v>3.6669999999999998</v>
      </c>
      <c r="L1651">
        <v>0</v>
      </c>
      <c r="M1651">
        <v>0</v>
      </c>
      <c r="N1651">
        <v>0</v>
      </c>
      <c r="O1651">
        <v>22.01794979999131</v>
      </c>
      <c r="P1651">
        <v>105550.299271</v>
      </c>
    </row>
    <row r="1652" spans="1:16" x14ac:dyDescent="0.25">
      <c r="A1652" s="10">
        <v>40039</v>
      </c>
      <c r="B1652">
        <v>-302.81691500000392</v>
      </c>
      <c r="C1652">
        <v>-6.9080000000000004</v>
      </c>
      <c r="D1652">
        <v>0</v>
      </c>
      <c r="E1652">
        <v>0</v>
      </c>
      <c r="F1652">
        <v>0</v>
      </c>
      <c r="G1652">
        <v>-84.365092000000004</v>
      </c>
      <c r="H1652">
        <v>-269.63360800000009</v>
      </c>
      <c r="I1652">
        <v>0</v>
      </c>
      <c r="J1652">
        <v>0</v>
      </c>
      <c r="K1652">
        <v>3.6019999999999999</v>
      </c>
      <c r="L1652">
        <v>40.200000000000003</v>
      </c>
      <c r="M1652">
        <v>0</v>
      </c>
      <c r="N1652">
        <v>0</v>
      </c>
      <c r="O1652">
        <v>14.28778499999628</v>
      </c>
      <c r="P1652">
        <v>105247.48235599999</v>
      </c>
    </row>
    <row r="1653" spans="1:16" x14ac:dyDescent="0.25">
      <c r="A1653" s="10">
        <v>40043</v>
      </c>
      <c r="B1653">
        <v>366.70959400000129</v>
      </c>
      <c r="C1653">
        <v>84.995539999999991</v>
      </c>
      <c r="D1653">
        <v>0</v>
      </c>
      <c r="E1653">
        <v>0</v>
      </c>
      <c r="F1653">
        <v>0</v>
      </c>
      <c r="G1653">
        <v>54.074704999999987</v>
      </c>
      <c r="H1653">
        <v>184.3676590000014</v>
      </c>
      <c r="I1653">
        <v>0</v>
      </c>
      <c r="J1653">
        <v>0</v>
      </c>
      <c r="K1653">
        <v>9.9146439999999991</v>
      </c>
      <c r="L1653">
        <v>25.2</v>
      </c>
      <c r="M1653">
        <v>0</v>
      </c>
      <c r="N1653">
        <v>0</v>
      </c>
      <c r="O1653">
        <v>8.1570459999999692</v>
      </c>
      <c r="P1653">
        <v>105614.19194999999</v>
      </c>
    </row>
    <row r="1654" spans="1:16" x14ac:dyDescent="0.25">
      <c r="A1654" s="10">
        <v>40044</v>
      </c>
      <c r="B1654">
        <v>-1515.360598999978</v>
      </c>
      <c r="C1654">
        <v>-43.069499999999998</v>
      </c>
      <c r="D1654">
        <v>0</v>
      </c>
      <c r="E1654">
        <v>0</v>
      </c>
      <c r="F1654">
        <v>0</v>
      </c>
      <c r="G1654">
        <v>25.661477000000001</v>
      </c>
      <c r="H1654">
        <v>-962.49143699999877</v>
      </c>
      <c r="I1654">
        <v>0</v>
      </c>
      <c r="J1654">
        <v>0</v>
      </c>
      <c r="K1654">
        <v>4.3798810000000001</v>
      </c>
      <c r="L1654">
        <v>-571.9</v>
      </c>
      <c r="M1654">
        <v>0</v>
      </c>
      <c r="N1654">
        <v>0</v>
      </c>
      <c r="O1654">
        <v>32.058980000020213</v>
      </c>
      <c r="P1654">
        <v>104098.831351</v>
      </c>
    </row>
    <row r="1655" spans="1:16" x14ac:dyDescent="0.25">
      <c r="A1655" s="10">
        <v>40045</v>
      </c>
      <c r="B1655">
        <v>518.22334799998475</v>
      </c>
      <c r="C1655">
        <v>-20.404900000000001</v>
      </c>
      <c r="D1655">
        <v>0</v>
      </c>
      <c r="E1655">
        <v>0</v>
      </c>
      <c r="F1655">
        <v>0</v>
      </c>
      <c r="G1655">
        <v>49.827008000000028</v>
      </c>
      <c r="H1655">
        <v>514.02375699999902</v>
      </c>
      <c r="I1655">
        <v>0</v>
      </c>
      <c r="J1655">
        <v>0</v>
      </c>
      <c r="K1655">
        <v>4.8386300000000002</v>
      </c>
      <c r="L1655">
        <v>-26.5</v>
      </c>
      <c r="M1655">
        <v>0</v>
      </c>
      <c r="N1655">
        <v>0</v>
      </c>
      <c r="O1655">
        <v>-3.5611470000141709</v>
      </c>
      <c r="P1655">
        <v>104617.054699</v>
      </c>
    </row>
    <row r="1656" spans="1:16" x14ac:dyDescent="0.25">
      <c r="A1656" s="10">
        <v>40046</v>
      </c>
      <c r="B1656">
        <v>149.00943199999111</v>
      </c>
      <c r="C1656">
        <v>-35.423559999999988</v>
      </c>
      <c r="D1656">
        <v>0</v>
      </c>
      <c r="E1656">
        <v>0</v>
      </c>
      <c r="F1656">
        <v>0</v>
      </c>
      <c r="G1656">
        <v>49.044998999999997</v>
      </c>
      <c r="H1656">
        <v>144.53344999999899</v>
      </c>
      <c r="I1656">
        <v>0</v>
      </c>
      <c r="J1656">
        <v>0</v>
      </c>
      <c r="K1656">
        <v>4.4669999999999996</v>
      </c>
      <c r="L1656">
        <v>-5</v>
      </c>
      <c r="M1656">
        <v>0</v>
      </c>
      <c r="N1656">
        <v>0</v>
      </c>
      <c r="O1656">
        <v>-8.6124570000079181</v>
      </c>
      <c r="P1656">
        <v>104766.06413100001</v>
      </c>
    </row>
    <row r="1657" spans="1:16" x14ac:dyDescent="0.25">
      <c r="A1657" s="10">
        <v>40049</v>
      </c>
      <c r="B1657">
        <v>407.03516500000927</v>
      </c>
      <c r="C1657">
        <v>-3.851</v>
      </c>
      <c r="D1657">
        <v>0</v>
      </c>
      <c r="E1657">
        <v>0</v>
      </c>
      <c r="F1657">
        <v>0</v>
      </c>
      <c r="G1657">
        <v>10.38650800000001</v>
      </c>
      <c r="H1657">
        <v>153.5335760000016</v>
      </c>
      <c r="I1657">
        <v>0</v>
      </c>
      <c r="J1657">
        <v>0</v>
      </c>
      <c r="K1657">
        <v>4.7565150000000003</v>
      </c>
      <c r="L1657">
        <v>32.299999999999997</v>
      </c>
      <c r="M1657">
        <v>0</v>
      </c>
      <c r="N1657">
        <v>0</v>
      </c>
      <c r="O1657">
        <v>209.90956600000769</v>
      </c>
      <c r="P1657">
        <v>105173.099296</v>
      </c>
    </row>
    <row r="1658" spans="1:16" x14ac:dyDescent="0.25">
      <c r="A1658" s="10">
        <v>40050</v>
      </c>
      <c r="B1658">
        <v>559.80091799999479</v>
      </c>
      <c r="C1658">
        <v>-7.3213399999999993</v>
      </c>
      <c r="D1658">
        <v>0</v>
      </c>
      <c r="E1658">
        <v>0</v>
      </c>
      <c r="F1658">
        <v>0</v>
      </c>
      <c r="G1658">
        <v>-37.083531999999991</v>
      </c>
      <c r="H1658">
        <v>592.35019900000043</v>
      </c>
      <c r="I1658">
        <v>0</v>
      </c>
      <c r="J1658">
        <v>0</v>
      </c>
      <c r="K1658">
        <v>4.3330000000000002</v>
      </c>
      <c r="L1658">
        <v>0</v>
      </c>
      <c r="M1658">
        <v>0</v>
      </c>
      <c r="N1658">
        <v>0</v>
      </c>
      <c r="O1658">
        <v>7.5225909999943728</v>
      </c>
      <c r="P1658">
        <v>105732.90021399999</v>
      </c>
    </row>
    <row r="1659" spans="1:16" x14ac:dyDescent="0.25">
      <c r="A1659" s="10">
        <v>40051</v>
      </c>
      <c r="B1659">
        <v>-1012.027832999984</v>
      </c>
      <c r="C1659">
        <v>46.949199999999998</v>
      </c>
      <c r="D1659">
        <v>0</v>
      </c>
      <c r="E1659">
        <v>0</v>
      </c>
      <c r="F1659">
        <v>0</v>
      </c>
      <c r="G1659">
        <v>-3.5985380000000049</v>
      </c>
      <c r="H1659">
        <v>305.86257599999948</v>
      </c>
      <c r="I1659">
        <v>0</v>
      </c>
      <c r="J1659">
        <v>0</v>
      </c>
      <c r="K1659">
        <v>4.2610000000000001</v>
      </c>
      <c r="L1659">
        <v>-1350.9</v>
      </c>
      <c r="M1659">
        <v>0</v>
      </c>
      <c r="N1659">
        <v>0</v>
      </c>
      <c r="O1659">
        <v>-14.60207099998361</v>
      </c>
      <c r="P1659">
        <v>104720.87238099999</v>
      </c>
    </row>
    <row r="1660" spans="1:16" x14ac:dyDescent="0.25">
      <c r="A1660" s="10">
        <v>40052</v>
      </c>
      <c r="B1660">
        <v>-1079.93869000001</v>
      </c>
      <c r="C1660">
        <v>31.556000000000001</v>
      </c>
      <c r="D1660">
        <v>0</v>
      </c>
      <c r="E1660">
        <v>0</v>
      </c>
      <c r="F1660">
        <v>0</v>
      </c>
      <c r="G1660">
        <v>-13.47916699999999</v>
      </c>
      <c r="H1660">
        <v>-1085.8380749999981</v>
      </c>
      <c r="I1660">
        <v>0</v>
      </c>
      <c r="J1660">
        <v>0</v>
      </c>
      <c r="K1660">
        <v>4.3310000000000004</v>
      </c>
      <c r="L1660">
        <v>-7.6</v>
      </c>
      <c r="M1660">
        <v>0</v>
      </c>
      <c r="N1660">
        <v>0</v>
      </c>
      <c r="O1660">
        <v>-8.9084480000124593</v>
      </c>
      <c r="P1660">
        <v>103640.933691</v>
      </c>
    </row>
    <row r="1661" spans="1:16" x14ac:dyDescent="0.25">
      <c r="A1661" s="10">
        <v>40053</v>
      </c>
      <c r="B1661">
        <v>-4.1982879999984348</v>
      </c>
      <c r="C1661">
        <v>214.41</v>
      </c>
      <c r="D1661">
        <v>0</v>
      </c>
      <c r="E1661">
        <v>0</v>
      </c>
      <c r="F1661">
        <v>0</v>
      </c>
      <c r="G1661">
        <v>53.048725000000559</v>
      </c>
      <c r="H1661">
        <v>-290.76427099999819</v>
      </c>
      <c r="I1661">
        <v>0</v>
      </c>
      <c r="J1661">
        <v>0</v>
      </c>
      <c r="K1661">
        <v>4.4308449999999997</v>
      </c>
      <c r="L1661">
        <v>0</v>
      </c>
      <c r="M1661">
        <v>0</v>
      </c>
      <c r="N1661">
        <v>0</v>
      </c>
      <c r="O1661">
        <v>14.676412999999229</v>
      </c>
      <c r="P1661">
        <v>103636.735403</v>
      </c>
    </row>
    <row r="1662" spans="1:16" x14ac:dyDescent="0.25">
      <c r="A1662" s="10">
        <v>40056</v>
      </c>
      <c r="B1662">
        <v>893.00215500000991</v>
      </c>
      <c r="C1662">
        <v>-22.736840000000001</v>
      </c>
      <c r="D1662">
        <v>0</v>
      </c>
      <c r="E1662">
        <v>0</v>
      </c>
      <c r="F1662">
        <v>0</v>
      </c>
      <c r="G1662">
        <v>-199.600381</v>
      </c>
      <c r="H1662">
        <v>1101.0354760000009</v>
      </c>
      <c r="I1662">
        <v>0</v>
      </c>
      <c r="J1662">
        <v>0</v>
      </c>
      <c r="K1662">
        <v>8.3498680000000007</v>
      </c>
      <c r="L1662">
        <v>0</v>
      </c>
      <c r="M1662">
        <v>0</v>
      </c>
      <c r="N1662">
        <v>0</v>
      </c>
      <c r="O1662">
        <v>5.9540320000090103</v>
      </c>
      <c r="P1662">
        <v>104529.73755799999</v>
      </c>
    </row>
    <row r="1663" spans="1:16" x14ac:dyDescent="0.25">
      <c r="A1663" s="10">
        <v>40057</v>
      </c>
      <c r="B1663">
        <v>3190.2511640000021</v>
      </c>
      <c r="C1663">
        <v>221.87469999999999</v>
      </c>
      <c r="D1663">
        <v>-192.35</v>
      </c>
      <c r="E1663">
        <v>0</v>
      </c>
      <c r="F1663">
        <v>0</v>
      </c>
      <c r="G1663">
        <v>213.63777899999999</v>
      </c>
      <c r="H1663">
        <v>2977.0841819999969</v>
      </c>
      <c r="I1663">
        <v>0</v>
      </c>
      <c r="J1663">
        <v>0</v>
      </c>
      <c r="K1663">
        <v>3.8023760000000002</v>
      </c>
      <c r="L1663">
        <v>-3.9</v>
      </c>
      <c r="M1663">
        <v>0</v>
      </c>
      <c r="N1663">
        <v>0</v>
      </c>
      <c r="O1663">
        <v>-29.897872999995521</v>
      </c>
      <c r="P1663">
        <v>107719.98872199999</v>
      </c>
    </row>
    <row r="1664" spans="1:16" x14ac:dyDescent="0.25">
      <c r="A1664" s="10">
        <v>40058</v>
      </c>
      <c r="B1664">
        <v>148.42606699999271</v>
      </c>
      <c r="C1664">
        <v>136.1489</v>
      </c>
      <c r="D1664">
        <v>0</v>
      </c>
      <c r="E1664">
        <v>0</v>
      </c>
      <c r="F1664">
        <v>0</v>
      </c>
      <c r="G1664">
        <v>505.37793299999998</v>
      </c>
      <c r="H1664">
        <v>14.41920500000197</v>
      </c>
      <c r="I1664">
        <v>0</v>
      </c>
      <c r="J1664">
        <v>-105.4000000000005</v>
      </c>
      <c r="K1664">
        <v>1.936000000000182</v>
      </c>
      <c r="L1664">
        <v>-385.30000000000013</v>
      </c>
      <c r="M1664">
        <v>0</v>
      </c>
      <c r="N1664">
        <v>0</v>
      </c>
      <c r="O1664">
        <v>-18.75597100000887</v>
      </c>
      <c r="P1664">
        <v>107868.414789</v>
      </c>
    </row>
    <row r="1665" spans="1:16" x14ac:dyDescent="0.25">
      <c r="A1665" s="10">
        <v>40059</v>
      </c>
      <c r="B1665">
        <v>1357.2794779999961</v>
      </c>
      <c r="C1665">
        <v>180.37700000000001</v>
      </c>
      <c r="D1665">
        <v>0</v>
      </c>
      <c r="E1665">
        <v>0</v>
      </c>
      <c r="F1665">
        <v>0</v>
      </c>
      <c r="G1665">
        <v>11.859774</v>
      </c>
      <c r="H1665">
        <v>1111.508487000001</v>
      </c>
      <c r="I1665">
        <v>0</v>
      </c>
      <c r="J1665">
        <v>0</v>
      </c>
      <c r="K1665">
        <v>3.1360000000000001</v>
      </c>
      <c r="L1665">
        <v>65.400000000000006</v>
      </c>
      <c r="M1665">
        <v>0</v>
      </c>
      <c r="N1665">
        <v>0</v>
      </c>
      <c r="O1665">
        <v>-15.00178300000475</v>
      </c>
      <c r="P1665">
        <v>109225.694267</v>
      </c>
    </row>
    <row r="1666" spans="1:16" x14ac:dyDescent="0.25">
      <c r="A1666" s="10">
        <v>40060</v>
      </c>
      <c r="B1666">
        <v>-1458.5052691699959</v>
      </c>
      <c r="C1666">
        <v>177.73349999999999</v>
      </c>
      <c r="D1666">
        <v>0</v>
      </c>
      <c r="E1666">
        <v>0</v>
      </c>
      <c r="F1666">
        <v>0</v>
      </c>
      <c r="G1666">
        <v>-60.425289999999997</v>
      </c>
      <c r="H1666">
        <v>-1555.3264059999999</v>
      </c>
      <c r="I1666">
        <v>0</v>
      </c>
      <c r="J1666">
        <v>0</v>
      </c>
      <c r="K1666">
        <v>1.258</v>
      </c>
      <c r="L1666">
        <v>0</v>
      </c>
      <c r="M1666">
        <v>0</v>
      </c>
      <c r="N1666">
        <v>0</v>
      </c>
      <c r="O1666">
        <v>-21.74507316999625</v>
      </c>
      <c r="P1666">
        <v>107767.18899783</v>
      </c>
    </row>
    <row r="1667" spans="1:16" x14ac:dyDescent="0.25">
      <c r="A1667" s="10">
        <v>40063</v>
      </c>
      <c r="B1667">
        <v>-401.90476983001309</v>
      </c>
      <c r="C1667">
        <v>2.6920000000000002</v>
      </c>
      <c r="D1667">
        <v>0</v>
      </c>
      <c r="E1667">
        <v>0</v>
      </c>
      <c r="F1667">
        <v>0</v>
      </c>
      <c r="G1667">
        <v>4.2214870000000042</v>
      </c>
      <c r="H1667">
        <v>-465.49078599999848</v>
      </c>
      <c r="I1667">
        <v>0</v>
      </c>
      <c r="J1667">
        <v>0</v>
      </c>
      <c r="K1667">
        <v>3.2869999999999999</v>
      </c>
      <c r="L1667">
        <v>0</v>
      </c>
      <c r="M1667">
        <v>0</v>
      </c>
      <c r="N1667">
        <v>0</v>
      </c>
      <c r="O1667">
        <v>53.385529169985347</v>
      </c>
      <c r="P1667">
        <v>107365.284228</v>
      </c>
    </row>
    <row r="1668" spans="1:16" x14ac:dyDescent="0.25">
      <c r="A1668" s="10">
        <v>40064</v>
      </c>
      <c r="B1668">
        <v>-843.53438599998401</v>
      </c>
      <c r="C1668">
        <v>5.0170000000000039</v>
      </c>
      <c r="D1668">
        <v>0</v>
      </c>
      <c r="E1668">
        <v>0</v>
      </c>
      <c r="F1668">
        <v>0</v>
      </c>
      <c r="G1668">
        <v>-9.149792000000005</v>
      </c>
      <c r="H1668">
        <v>-835.92002599999978</v>
      </c>
      <c r="I1668">
        <v>0</v>
      </c>
      <c r="J1668">
        <v>0</v>
      </c>
      <c r="K1668">
        <v>2.0049999999999999</v>
      </c>
      <c r="L1668">
        <v>0</v>
      </c>
      <c r="M1668">
        <v>0</v>
      </c>
      <c r="N1668">
        <v>0</v>
      </c>
      <c r="O1668">
        <v>-5.4865679999842314</v>
      </c>
      <c r="P1668">
        <v>106521.749842</v>
      </c>
    </row>
    <row r="1669" spans="1:16" x14ac:dyDescent="0.25">
      <c r="A1669" s="10">
        <v>40065</v>
      </c>
      <c r="B1669">
        <v>473.01639200000602</v>
      </c>
      <c r="C1669">
        <v>1.5384299999999991</v>
      </c>
      <c r="D1669">
        <v>0</v>
      </c>
      <c r="E1669">
        <v>0</v>
      </c>
      <c r="F1669">
        <v>0</v>
      </c>
      <c r="G1669">
        <v>15.755304999999909</v>
      </c>
      <c r="H1669">
        <v>1254.2690740000021</v>
      </c>
      <c r="I1669">
        <v>0</v>
      </c>
      <c r="J1669">
        <v>0</v>
      </c>
      <c r="K1669">
        <v>4.1029999999999998</v>
      </c>
      <c r="L1669">
        <v>-809.3</v>
      </c>
      <c r="M1669">
        <v>0</v>
      </c>
      <c r="N1669">
        <v>0</v>
      </c>
      <c r="O1669">
        <v>6.6505830000043247</v>
      </c>
      <c r="P1669">
        <v>106994.766234</v>
      </c>
    </row>
    <row r="1670" spans="1:16" x14ac:dyDescent="0.25">
      <c r="A1670" s="10">
        <v>40066</v>
      </c>
      <c r="B1670">
        <v>193.84073099998949</v>
      </c>
      <c r="C1670">
        <v>-122.56570000000001</v>
      </c>
      <c r="D1670">
        <v>0</v>
      </c>
      <c r="E1670">
        <v>0</v>
      </c>
      <c r="F1670">
        <v>0</v>
      </c>
      <c r="G1670">
        <v>1.25898200000001</v>
      </c>
      <c r="H1670">
        <v>314.01936500000011</v>
      </c>
      <c r="I1670">
        <v>0</v>
      </c>
      <c r="J1670">
        <v>0</v>
      </c>
      <c r="K1670">
        <v>3.1150000000000002</v>
      </c>
      <c r="L1670">
        <v>0</v>
      </c>
      <c r="M1670">
        <v>0</v>
      </c>
      <c r="N1670">
        <v>0</v>
      </c>
      <c r="O1670">
        <v>-1.986916000010575</v>
      </c>
      <c r="P1670">
        <v>107188.606965</v>
      </c>
    </row>
    <row r="1671" spans="1:16" x14ac:dyDescent="0.25">
      <c r="A1671" s="10">
        <v>40067</v>
      </c>
      <c r="B1671">
        <v>-1124.6375669999979</v>
      </c>
      <c r="C1671">
        <v>-42.78922</v>
      </c>
      <c r="D1671">
        <v>0</v>
      </c>
      <c r="E1671">
        <v>0</v>
      </c>
      <c r="F1671">
        <v>0</v>
      </c>
      <c r="G1671">
        <v>-100.530598</v>
      </c>
      <c r="H1671">
        <v>-970.54404600000089</v>
      </c>
      <c r="I1671">
        <v>0</v>
      </c>
      <c r="J1671">
        <v>0</v>
      </c>
      <c r="K1671">
        <v>3.9679669999999989</v>
      </c>
      <c r="L1671">
        <v>0</v>
      </c>
      <c r="M1671">
        <v>0</v>
      </c>
      <c r="N1671">
        <v>0</v>
      </c>
      <c r="O1671">
        <v>-14.741669999997651</v>
      </c>
      <c r="P1671">
        <v>106063.969398</v>
      </c>
    </row>
    <row r="1672" spans="1:16" x14ac:dyDescent="0.25">
      <c r="A1672" s="10">
        <v>40070</v>
      </c>
      <c r="B1672">
        <v>830.62976199998184</v>
      </c>
      <c r="C1672">
        <v>-0.38559999999999972</v>
      </c>
      <c r="D1672">
        <v>0</v>
      </c>
      <c r="E1672">
        <v>0</v>
      </c>
      <c r="F1672">
        <v>0</v>
      </c>
      <c r="G1672">
        <v>-45.896976000000024</v>
      </c>
      <c r="H1672">
        <v>966.49775899999986</v>
      </c>
      <c r="I1672">
        <v>0</v>
      </c>
      <c r="J1672">
        <v>0</v>
      </c>
      <c r="K1672">
        <v>5.7519999999999998</v>
      </c>
      <c r="L1672">
        <v>0</v>
      </c>
      <c r="M1672">
        <v>0</v>
      </c>
      <c r="N1672">
        <v>0</v>
      </c>
      <c r="O1672">
        <v>-95.337421000017883</v>
      </c>
      <c r="P1672">
        <v>106894.59916</v>
      </c>
    </row>
    <row r="1673" spans="1:16" x14ac:dyDescent="0.25">
      <c r="A1673" s="10">
        <v>40071</v>
      </c>
      <c r="B1673">
        <v>-263.01421699998741</v>
      </c>
      <c r="C1673">
        <v>616.42589999999996</v>
      </c>
      <c r="D1673">
        <v>0</v>
      </c>
      <c r="E1673">
        <v>0</v>
      </c>
      <c r="F1673">
        <v>0</v>
      </c>
      <c r="G1673">
        <v>-7.0846250000000168</v>
      </c>
      <c r="H1673">
        <v>-702.383636999999</v>
      </c>
      <c r="I1673">
        <v>0</v>
      </c>
      <c r="J1673">
        <v>0</v>
      </c>
      <c r="K1673">
        <v>2.3940000000000001</v>
      </c>
      <c r="L1673">
        <v>0</v>
      </c>
      <c r="M1673">
        <v>0</v>
      </c>
      <c r="N1673">
        <v>0</v>
      </c>
      <c r="O1673">
        <v>-172.36585499998839</v>
      </c>
      <c r="P1673">
        <v>106631.58494299999</v>
      </c>
    </row>
    <row r="1674" spans="1:16" x14ac:dyDescent="0.25">
      <c r="A1674" s="10">
        <v>40072</v>
      </c>
      <c r="B1674">
        <v>-409.44826999999322</v>
      </c>
      <c r="C1674">
        <v>186.04944</v>
      </c>
      <c r="D1674">
        <v>0</v>
      </c>
      <c r="E1674">
        <v>0</v>
      </c>
      <c r="F1674">
        <v>0</v>
      </c>
      <c r="G1674">
        <v>-8.6597830000000062</v>
      </c>
      <c r="H1674">
        <v>-78.887462000002415</v>
      </c>
      <c r="I1674">
        <v>0</v>
      </c>
      <c r="J1674">
        <v>0</v>
      </c>
      <c r="K1674">
        <v>3.1859999999999999</v>
      </c>
      <c r="L1674">
        <v>-499.7</v>
      </c>
      <c r="M1674">
        <v>0</v>
      </c>
      <c r="N1674">
        <v>0</v>
      </c>
      <c r="O1674">
        <v>-11.436464999990809</v>
      </c>
      <c r="P1674">
        <v>106222.136673</v>
      </c>
    </row>
    <row r="1675" spans="1:16" x14ac:dyDescent="0.25">
      <c r="A1675" s="10">
        <v>40073</v>
      </c>
      <c r="B1675">
        <v>-1581.584149000003</v>
      </c>
      <c r="C1675">
        <v>12.644</v>
      </c>
      <c r="D1675">
        <v>0</v>
      </c>
      <c r="E1675">
        <v>0</v>
      </c>
      <c r="F1675">
        <v>0</v>
      </c>
      <c r="G1675">
        <v>-30.615000000000009</v>
      </c>
      <c r="H1675">
        <v>-1538.2088979999969</v>
      </c>
      <c r="I1675">
        <v>0</v>
      </c>
      <c r="J1675">
        <v>0</v>
      </c>
      <c r="K1675">
        <v>2.4580000000000002</v>
      </c>
      <c r="L1675">
        <v>5.2</v>
      </c>
      <c r="M1675">
        <v>0</v>
      </c>
      <c r="N1675">
        <v>0</v>
      </c>
      <c r="O1675">
        <v>-33.062251000005517</v>
      </c>
      <c r="P1675">
        <v>104640.552524</v>
      </c>
    </row>
    <row r="1676" spans="1:16" x14ac:dyDescent="0.25">
      <c r="A1676" s="10">
        <v>40074</v>
      </c>
      <c r="B1676">
        <v>824.05017800000553</v>
      </c>
      <c r="C1676">
        <v>10.382999999999999</v>
      </c>
      <c r="D1676">
        <v>0</v>
      </c>
      <c r="E1676">
        <v>0</v>
      </c>
      <c r="F1676">
        <v>0</v>
      </c>
      <c r="G1676">
        <v>143.66659799999999</v>
      </c>
      <c r="H1676">
        <v>687.25945700000011</v>
      </c>
      <c r="I1676">
        <v>0</v>
      </c>
      <c r="J1676">
        <v>0</v>
      </c>
      <c r="K1676">
        <v>3.6104799999999999</v>
      </c>
      <c r="L1676">
        <v>0</v>
      </c>
      <c r="M1676">
        <v>0</v>
      </c>
      <c r="N1676">
        <v>0</v>
      </c>
      <c r="O1676">
        <v>-20.86935699999465</v>
      </c>
      <c r="P1676">
        <v>105464.602702</v>
      </c>
    </row>
    <row r="1677" spans="1:16" x14ac:dyDescent="0.25">
      <c r="A1677" s="10">
        <v>40077</v>
      </c>
      <c r="B1677">
        <v>231.5169020000028</v>
      </c>
      <c r="C1677">
        <v>399.49520000000001</v>
      </c>
      <c r="D1677">
        <v>0</v>
      </c>
      <c r="E1677">
        <v>0</v>
      </c>
      <c r="F1677">
        <v>0</v>
      </c>
      <c r="G1677">
        <v>74.249516999999983</v>
      </c>
      <c r="H1677">
        <v>-205.37375500000229</v>
      </c>
      <c r="I1677">
        <v>0</v>
      </c>
      <c r="J1677">
        <v>0</v>
      </c>
      <c r="K1677">
        <v>5.707306</v>
      </c>
      <c r="L1677">
        <v>13.8</v>
      </c>
      <c r="M1677">
        <v>0</v>
      </c>
      <c r="N1677">
        <v>0</v>
      </c>
      <c r="O1677">
        <v>-56.361365999994881</v>
      </c>
      <c r="P1677">
        <v>105696.11960400001</v>
      </c>
    </row>
    <row r="1678" spans="1:16" x14ac:dyDescent="0.25">
      <c r="A1678" s="10">
        <v>40078</v>
      </c>
      <c r="B1678">
        <v>-234.65228000000809</v>
      </c>
      <c r="C1678">
        <v>340.09949999999998</v>
      </c>
      <c r="D1678">
        <v>0</v>
      </c>
      <c r="E1678">
        <v>0</v>
      </c>
      <c r="F1678">
        <v>0</v>
      </c>
      <c r="G1678">
        <v>3.3088850000000041</v>
      </c>
      <c r="H1678">
        <v>-543.64564799999971</v>
      </c>
      <c r="I1678">
        <v>0</v>
      </c>
      <c r="J1678">
        <v>0</v>
      </c>
      <c r="K1678">
        <v>3.0209999999999999</v>
      </c>
      <c r="L1678">
        <v>0</v>
      </c>
      <c r="M1678">
        <v>0</v>
      </c>
      <c r="N1678">
        <v>0</v>
      </c>
      <c r="O1678">
        <v>-37.436017000008391</v>
      </c>
      <c r="P1678">
        <v>105461.467324</v>
      </c>
    </row>
    <row r="1679" spans="1:16" x14ac:dyDescent="0.25">
      <c r="A1679" s="10">
        <v>40079</v>
      </c>
      <c r="B1679">
        <v>554.31215499999132</v>
      </c>
      <c r="C1679">
        <v>-0.38390000000000007</v>
      </c>
      <c r="D1679">
        <v>0</v>
      </c>
      <c r="E1679">
        <v>0</v>
      </c>
      <c r="F1679">
        <v>0</v>
      </c>
      <c r="G1679">
        <v>-4.7689999999999912</v>
      </c>
      <c r="H1679">
        <v>2339.889407000001</v>
      </c>
      <c r="I1679">
        <v>0</v>
      </c>
      <c r="J1679">
        <v>0</v>
      </c>
      <c r="K1679">
        <v>4.298</v>
      </c>
      <c r="L1679">
        <v>-1846.5</v>
      </c>
      <c r="M1679">
        <v>0</v>
      </c>
      <c r="N1679">
        <v>0</v>
      </c>
      <c r="O1679">
        <v>61.777647999991267</v>
      </c>
      <c r="P1679">
        <v>106015.779479</v>
      </c>
    </row>
    <row r="1680" spans="1:16" x14ac:dyDescent="0.25">
      <c r="A1680" s="10">
        <v>40080</v>
      </c>
      <c r="B1680">
        <v>-743.03691699999069</v>
      </c>
      <c r="C1680">
        <v>260.85685999999998</v>
      </c>
      <c r="D1680">
        <v>0</v>
      </c>
      <c r="E1680">
        <v>-530</v>
      </c>
      <c r="F1680">
        <v>0</v>
      </c>
      <c r="G1680">
        <v>5.472868999999946</v>
      </c>
      <c r="H1680">
        <v>-480.4585160000006</v>
      </c>
      <c r="I1680">
        <v>0</v>
      </c>
      <c r="J1680">
        <v>0</v>
      </c>
      <c r="K1680">
        <v>2.889014</v>
      </c>
      <c r="L1680">
        <v>0</v>
      </c>
      <c r="M1680">
        <v>0</v>
      </c>
      <c r="N1680">
        <v>0</v>
      </c>
      <c r="O1680">
        <v>-1.7971439999901351</v>
      </c>
      <c r="P1680">
        <v>105272.742562</v>
      </c>
    </row>
    <row r="1681" spans="1:16" x14ac:dyDescent="0.25">
      <c r="A1681" s="10">
        <v>40081</v>
      </c>
      <c r="B1681">
        <v>418.45029999999622</v>
      </c>
      <c r="C1681">
        <v>26.479600000000001</v>
      </c>
      <c r="D1681">
        <v>0</v>
      </c>
      <c r="E1681">
        <v>0</v>
      </c>
      <c r="F1681">
        <v>0</v>
      </c>
      <c r="G1681">
        <v>-24.43537899999999</v>
      </c>
      <c r="H1681">
        <v>426.41258000000022</v>
      </c>
      <c r="I1681">
        <v>0</v>
      </c>
      <c r="J1681">
        <v>0</v>
      </c>
      <c r="K1681">
        <v>2.447152</v>
      </c>
      <c r="L1681">
        <v>0</v>
      </c>
      <c r="M1681">
        <v>0</v>
      </c>
      <c r="N1681">
        <v>0</v>
      </c>
      <c r="O1681">
        <v>-12.453653000004021</v>
      </c>
      <c r="P1681">
        <v>105691.192862</v>
      </c>
    </row>
    <row r="1682" spans="1:16" x14ac:dyDescent="0.25">
      <c r="A1682" s="10">
        <v>40084</v>
      </c>
      <c r="B1682">
        <v>-234.65556698999791</v>
      </c>
      <c r="C1682">
        <v>-42.634999999999998</v>
      </c>
      <c r="D1682">
        <v>0</v>
      </c>
      <c r="E1682">
        <v>0</v>
      </c>
      <c r="F1682">
        <v>0</v>
      </c>
      <c r="G1682">
        <v>10.099999999999991</v>
      </c>
      <c r="H1682">
        <v>-227.30811299999729</v>
      </c>
      <c r="I1682">
        <v>0</v>
      </c>
      <c r="J1682">
        <v>0</v>
      </c>
      <c r="K1682">
        <v>5.1459999999999999</v>
      </c>
      <c r="L1682">
        <v>52.2</v>
      </c>
      <c r="M1682">
        <v>0</v>
      </c>
      <c r="N1682">
        <v>0</v>
      </c>
      <c r="O1682">
        <v>-32.158453990000467</v>
      </c>
      <c r="P1682">
        <v>105456.53729501</v>
      </c>
    </row>
    <row r="1683" spans="1:16" x14ac:dyDescent="0.25">
      <c r="A1683" s="10">
        <v>40085</v>
      </c>
      <c r="B1683">
        <v>-1409.0708411700041</v>
      </c>
      <c r="C1683">
        <v>0</v>
      </c>
      <c r="D1683">
        <v>-575.97</v>
      </c>
      <c r="E1683">
        <v>0</v>
      </c>
      <c r="F1683">
        <v>700</v>
      </c>
      <c r="G1683">
        <v>-622.60549000000015</v>
      </c>
      <c r="H1683">
        <v>-860.34000000000196</v>
      </c>
      <c r="I1683">
        <v>0</v>
      </c>
      <c r="J1683">
        <v>0</v>
      </c>
      <c r="K1683">
        <v>3.2240000000000002</v>
      </c>
      <c r="L1683">
        <v>0</v>
      </c>
      <c r="M1683">
        <v>0</v>
      </c>
      <c r="N1683">
        <v>0</v>
      </c>
      <c r="O1683">
        <v>-53.379351170001428</v>
      </c>
      <c r="P1683">
        <v>104047.46645384</v>
      </c>
    </row>
    <row r="1684" spans="1:16" x14ac:dyDescent="0.25">
      <c r="A1684" s="10">
        <v>40086</v>
      </c>
      <c r="B1684">
        <v>-189.42340343998501</v>
      </c>
      <c r="C1684">
        <v>118.3702</v>
      </c>
      <c r="D1684">
        <v>0</v>
      </c>
      <c r="E1684">
        <v>0</v>
      </c>
      <c r="F1684">
        <v>0</v>
      </c>
      <c r="G1684">
        <v>317.24897900000008</v>
      </c>
      <c r="H1684">
        <v>-1412.686423000001</v>
      </c>
      <c r="I1684">
        <v>0</v>
      </c>
      <c r="J1684">
        <v>0</v>
      </c>
      <c r="K1684">
        <v>3.544</v>
      </c>
      <c r="L1684">
        <v>747.4</v>
      </c>
      <c r="M1684">
        <v>0</v>
      </c>
      <c r="N1684">
        <v>0</v>
      </c>
      <c r="O1684">
        <v>36.699840560016042</v>
      </c>
      <c r="P1684">
        <v>103858.0430504</v>
      </c>
    </row>
    <row r="1685" spans="1:16" x14ac:dyDescent="0.25">
      <c r="A1685" s="10">
        <v>40087</v>
      </c>
      <c r="B1685">
        <v>3500.032704599987</v>
      </c>
      <c r="C1685">
        <v>128.238</v>
      </c>
      <c r="D1685">
        <v>0</v>
      </c>
      <c r="E1685">
        <v>600</v>
      </c>
      <c r="F1685">
        <v>0</v>
      </c>
      <c r="G1685">
        <v>89.079297999999994</v>
      </c>
      <c r="H1685">
        <v>2655.4311840000009</v>
      </c>
      <c r="I1685">
        <v>0</v>
      </c>
      <c r="J1685">
        <v>0</v>
      </c>
      <c r="K1685">
        <v>3.476</v>
      </c>
      <c r="L1685">
        <v>0</v>
      </c>
      <c r="M1685">
        <v>0</v>
      </c>
      <c r="N1685">
        <v>0</v>
      </c>
      <c r="O1685">
        <v>23.808222599985861</v>
      </c>
      <c r="P1685">
        <v>107358.075755</v>
      </c>
    </row>
    <row r="1686" spans="1:16" x14ac:dyDescent="0.25">
      <c r="A1686" s="10">
        <v>40088</v>
      </c>
      <c r="B1686">
        <v>157.7427400000004</v>
      </c>
      <c r="C1686">
        <v>-7.6909999999999998</v>
      </c>
      <c r="D1686">
        <v>0</v>
      </c>
      <c r="E1686">
        <v>0</v>
      </c>
      <c r="F1686">
        <v>0</v>
      </c>
      <c r="G1686">
        <v>20.209198999999959</v>
      </c>
      <c r="H1686">
        <v>272.26044200000069</v>
      </c>
      <c r="I1686">
        <v>0</v>
      </c>
      <c r="J1686">
        <v>-123.6700000000001</v>
      </c>
      <c r="K1686">
        <v>0.97500000000018194</v>
      </c>
      <c r="L1686">
        <v>0</v>
      </c>
      <c r="M1686">
        <v>0</v>
      </c>
      <c r="N1686">
        <v>0</v>
      </c>
      <c r="O1686">
        <v>-4.3409010000003772</v>
      </c>
      <c r="P1686">
        <v>107515.818495</v>
      </c>
    </row>
    <row r="1687" spans="1:16" x14ac:dyDescent="0.25">
      <c r="A1687" s="10">
        <v>40091</v>
      </c>
      <c r="B1687">
        <v>-234.83297417999731</v>
      </c>
      <c r="C1687">
        <v>88.681560000000005</v>
      </c>
      <c r="D1687">
        <v>0</v>
      </c>
      <c r="E1687">
        <v>0</v>
      </c>
      <c r="F1687">
        <v>0</v>
      </c>
      <c r="G1687">
        <v>-2.1537019999999529</v>
      </c>
      <c r="H1687">
        <v>-219.44768600000131</v>
      </c>
      <c r="I1687">
        <v>0</v>
      </c>
      <c r="J1687">
        <v>0</v>
      </c>
      <c r="K1687">
        <v>3.6440000000000001</v>
      </c>
      <c r="L1687">
        <v>21.2</v>
      </c>
      <c r="M1687">
        <v>0</v>
      </c>
      <c r="N1687">
        <v>0</v>
      </c>
      <c r="O1687">
        <v>-126.757146179996</v>
      </c>
      <c r="P1687">
        <v>107280.98552082</v>
      </c>
    </row>
    <row r="1688" spans="1:16" x14ac:dyDescent="0.25">
      <c r="A1688" s="10">
        <v>40092</v>
      </c>
      <c r="B1688">
        <v>358.53455118001273</v>
      </c>
      <c r="C1688">
        <v>652.37834499999997</v>
      </c>
      <c r="D1688">
        <v>0</v>
      </c>
      <c r="E1688">
        <v>0</v>
      </c>
      <c r="F1688">
        <v>0</v>
      </c>
      <c r="G1688">
        <v>-28.484048999999999</v>
      </c>
      <c r="H1688">
        <v>-256.36485900000122</v>
      </c>
      <c r="I1688">
        <v>0</v>
      </c>
      <c r="J1688">
        <v>0</v>
      </c>
      <c r="K1688">
        <v>2.7170000000000001</v>
      </c>
      <c r="L1688">
        <v>0</v>
      </c>
      <c r="M1688">
        <v>0</v>
      </c>
      <c r="N1688">
        <v>0</v>
      </c>
      <c r="O1688">
        <v>-11.711885819986049</v>
      </c>
      <c r="P1688">
        <v>107639.520072</v>
      </c>
    </row>
    <row r="1689" spans="1:16" x14ac:dyDescent="0.25">
      <c r="A1689" s="10">
        <v>40093</v>
      </c>
      <c r="B1689">
        <v>-449.9027760000169</v>
      </c>
      <c r="C1689">
        <v>114.633</v>
      </c>
      <c r="D1689">
        <v>0</v>
      </c>
      <c r="E1689">
        <v>0</v>
      </c>
      <c r="F1689">
        <v>0</v>
      </c>
      <c r="G1689">
        <v>49.364361000000002</v>
      </c>
      <c r="H1689">
        <v>286.04559000000148</v>
      </c>
      <c r="I1689">
        <v>0</v>
      </c>
      <c r="J1689">
        <v>0</v>
      </c>
      <c r="K1689">
        <v>3.82</v>
      </c>
      <c r="L1689">
        <v>-833.7</v>
      </c>
      <c r="M1689">
        <v>0</v>
      </c>
      <c r="N1689">
        <v>0</v>
      </c>
      <c r="O1689">
        <v>-70.065727000018413</v>
      </c>
      <c r="P1689">
        <v>107189.617296</v>
      </c>
    </row>
    <row r="1690" spans="1:16" x14ac:dyDescent="0.25">
      <c r="A1690" s="10">
        <v>40094</v>
      </c>
      <c r="B1690">
        <v>738.26562900000135</v>
      </c>
      <c r="C1690">
        <v>156.38640000000001</v>
      </c>
      <c r="D1690">
        <v>0</v>
      </c>
      <c r="E1690">
        <v>0</v>
      </c>
      <c r="F1690">
        <v>0</v>
      </c>
      <c r="G1690">
        <v>-84.839110000000005</v>
      </c>
      <c r="H1690">
        <v>700.40685399999711</v>
      </c>
      <c r="I1690">
        <v>0</v>
      </c>
      <c r="J1690">
        <v>0</v>
      </c>
      <c r="K1690">
        <v>3.986739</v>
      </c>
      <c r="L1690">
        <v>45.2</v>
      </c>
      <c r="M1690">
        <v>0</v>
      </c>
      <c r="N1690">
        <v>0</v>
      </c>
      <c r="O1690">
        <v>-82.875253999995749</v>
      </c>
      <c r="P1690">
        <v>107927.882925</v>
      </c>
    </row>
    <row r="1691" spans="1:16" x14ac:dyDescent="0.25">
      <c r="A1691" s="10">
        <v>40095</v>
      </c>
      <c r="B1691">
        <v>-843.21940599998914</v>
      </c>
      <c r="C1691">
        <v>82.705000000000013</v>
      </c>
      <c r="D1691">
        <v>0</v>
      </c>
      <c r="E1691">
        <v>-1000</v>
      </c>
      <c r="F1691">
        <v>0</v>
      </c>
      <c r="G1691">
        <v>50.200792999999919</v>
      </c>
      <c r="H1691">
        <v>89.67870000000039</v>
      </c>
      <c r="I1691">
        <v>0</v>
      </c>
      <c r="J1691">
        <v>0</v>
      </c>
      <c r="K1691">
        <v>2.0259999999999998</v>
      </c>
      <c r="L1691">
        <v>0</v>
      </c>
      <c r="M1691">
        <v>0</v>
      </c>
      <c r="N1691">
        <v>0</v>
      </c>
      <c r="O1691">
        <v>-67.829898999989339</v>
      </c>
      <c r="P1691">
        <v>107084.66351899999</v>
      </c>
    </row>
    <row r="1692" spans="1:16" x14ac:dyDescent="0.25">
      <c r="A1692" s="10">
        <v>40099</v>
      </c>
      <c r="B1692">
        <v>1119.0837869999809</v>
      </c>
      <c r="C1692">
        <v>707.71949999999993</v>
      </c>
      <c r="D1692">
        <v>0</v>
      </c>
      <c r="E1692">
        <v>0</v>
      </c>
      <c r="F1692">
        <v>0</v>
      </c>
      <c r="G1692">
        <v>8.0326800000000134</v>
      </c>
      <c r="H1692">
        <v>366.51812500000051</v>
      </c>
      <c r="I1692">
        <v>0</v>
      </c>
      <c r="J1692">
        <v>0</v>
      </c>
      <c r="K1692">
        <v>5.8595700000000006</v>
      </c>
      <c r="L1692">
        <v>50.3</v>
      </c>
      <c r="M1692">
        <v>0</v>
      </c>
      <c r="N1692">
        <v>0</v>
      </c>
      <c r="O1692">
        <v>-19.346088000019659</v>
      </c>
      <c r="P1692">
        <v>108203.747306</v>
      </c>
    </row>
    <row r="1693" spans="1:16" x14ac:dyDescent="0.25">
      <c r="A1693" s="10">
        <v>40100</v>
      </c>
      <c r="B1693">
        <v>-194.54208299999269</v>
      </c>
      <c r="C1693">
        <v>492.76229999999998</v>
      </c>
      <c r="D1693">
        <v>0</v>
      </c>
      <c r="E1693">
        <v>0</v>
      </c>
      <c r="F1693">
        <v>0</v>
      </c>
      <c r="G1693">
        <v>-47.044396000000013</v>
      </c>
      <c r="H1693">
        <v>-421.99497499999961</v>
      </c>
      <c r="I1693">
        <v>0</v>
      </c>
      <c r="J1693">
        <v>0</v>
      </c>
      <c r="K1693">
        <v>3.5453209999999999</v>
      </c>
      <c r="L1693">
        <v>-76.600000000000051</v>
      </c>
      <c r="M1693">
        <v>0</v>
      </c>
      <c r="N1693">
        <v>0</v>
      </c>
      <c r="O1693">
        <v>-145.210332999993</v>
      </c>
      <c r="P1693">
        <v>108009.205223</v>
      </c>
    </row>
    <row r="1694" spans="1:16" x14ac:dyDescent="0.25">
      <c r="A1694" s="10">
        <v>40101</v>
      </c>
      <c r="B1694">
        <v>-280.00755600001128</v>
      </c>
      <c r="C1694">
        <v>652.14979999999991</v>
      </c>
      <c r="D1694">
        <v>0</v>
      </c>
      <c r="E1694">
        <v>0</v>
      </c>
      <c r="F1694">
        <v>0</v>
      </c>
      <c r="G1694">
        <v>50.905806999999982</v>
      </c>
      <c r="H1694">
        <v>-922.75703500000054</v>
      </c>
      <c r="I1694">
        <v>0</v>
      </c>
      <c r="J1694">
        <v>0</v>
      </c>
      <c r="K1694">
        <v>2.4893179999999999</v>
      </c>
      <c r="L1694">
        <v>0</v>
      </c>
      <c r="M1694">
        <v>0</v>
      </c>
      <c r="N1694">
        <v>0</v>
      </c>
      <c r="O1694">
        <v>-62.795446000010656</v>
      </c>
      <c r="P1694">
        <v>107729.197667</v>
      </c>
    </row>
    <row r="1695" spans="1:16" x14ac:dyDescent="0.25">
      <c r="A1695" s="10">
        <v>40102</v>
      </c>
      <c r="B1695">
        <v>-595.90088399998842</v>
      </c>
      <c r="C1695">
        <v>637.85550000000001</v>
      </c>
      <c r="D1695">
        <v>0</v>
      </c>
      <c r="E1695">
        <v>930</v>
      </c>
      <c r="F1695">
        <v>0</v>
      </c>
      <c r="G1695">
        <v>-20.457555999999951</v>
      </c>
      <c r="H1695">
        <v>-2156.7025909999988</v>
      </c>
      <c r="I1695">
        <v>0</v>
      </c>
      <c r="J1695">
        <v>0</v>
      </c>
      <c r="K1695">
        <v>2.7817949999999998</v>
      </c>
      <c r="L1695">
        <v>15.1</v>
      </c>
      <c r="M1695">
        <v>0</v>
      </c>
      <c r="N1695">
        <v>0</v>
      </c>
      <c r="O1695">
        <v>-4.4780319999894118</v>
      </c>
      <c r="P1695">
        <v>107133.296783</v>
      </c>
    </row>
    <row r="1696" spans="1:16" x14ac:dyDescent="0.25">
      <c r="A1696" s="10">
        <v>40105</v>
      </c>
      <c r="B1696">
        <v>-2343.2055819999941</v>
      </c>
      <c r="C1696">
        <v>11.465999999999999</v>
      </c>
      <c r="D1696">
        <v>0</v>
      </c>
      <c r="E1696">
        <v>0</v>
      </c>
      <c r="F1696">
        <v>0</v>
      </c>
      <c r="G1696">
        <v>-656.11730399999999</v>
      </c>
      <c r="H1696">
        <v>-1705.073805999999</v>
      </c>
      <c r="I1696">
        <v>0</v>
      </c>
      <c r="J1696">
        <v>0</v>
      </c>
      <c r="K1696">
        <v>4.6387850000000004</v>
      </c>
      <c r="L1696">
        <v>0</v>
      </c>
      <c r="M1696">
        <v>0</v>
      </c>
      <c r="N1696">
        <v>0</v>
      </c>
      <c r="O1696">
        <v>1.8807430000041681</v>
      </c>
      <c r="P1696">
        <v>104790.091201</v>
      </c>
    </row>
    <row r="1697" spans="1:16" x14ac:dyDescent="0.25">
      <c r="A1697" s="10">
        <v>40106</v>
      </c>
      <c r="B1697">
        <v>675.19716999999969</v>
      </c>
      <c r="C1697">
        <v>451.6105</v>
      </c>
      <c r="D1697">
        <v>0</v>
      </c>
      <c r="E1697">
        <v>0</v>
      </c>
      <c r="F1697">
        <v>0</v>
      </c>
      <c r="G1697">
        <v>216.3960000000001</v>
      </c>
      <c r="H1697">
        <v>18.702914999998029</v>
      </c>
      <c r="I1697">
        <v>0</v>
      </c>
      <c r="J1697">
        <v>0</v>
      </c>
      <c r="K1697">
        <v>3.2960470000000002</v>
      </c>
      <c r="L1697">
        <v>0</v>
      </c>
      <c r="M1697">
        <v>0</v>
      </c>
      <c r="N1697">
        <v>0</v>
      </c>
      <c r="O1697">
        <v>-14.80829199999844</v>
      </c>
      <c r="P1697">
        <v>105465.288371</v>
      </c>
    </row>
    <row r="1698" spans="1:16" x14ac:dyDescent="0.25">
      <c r="A1698" s="10">
        <v>40107</v>
      </c>
      <c r="B1698">
        <v>1689.037759489991</v>
      </c>
      <c r="C1698">
        <v>440.541</v>
      </c>
      <c r="D1698">
        <v>0</v>
      </c>
      <c r="E1698">
        <v>0</v>
      </c>
      <c r="F1698">
        <v>0</v>
      </c>
      <c r="G1698">
        <v>293.68599999999992</v>
      </c>
      <c r="H1698">
        <v>1189.253000000004</v>
      </c>
      <c r="I1698">
        <v>0</v>
      </c>
      <c r="J1698">
        <v>0</v>
      </c>
      <c r="K1698">
        <v>3.9660000000000002</v>
      </c>
      <c r="L1698">
        <v>-257.8</v>
      </c>
      <c r="M1698">
        <v>0</v>
      </c>
      <c r="N1698">
        <v>0</v>
      </c>
      <c r="O1698">
        <v>19.391759489986502</v>
      </c>
      <c r="P1698">
        <v>107154.32613048999</v>
      </c>
    </row>
    <row r="1699" spans="1:16" x14ac:dyDescent="0.25">
      <c r="A1699" s="10">
        <v>40108</v>
      </c>
      <c r="B1699">
        <v>531.29016651000666</v>
      </c>
      <c r="C1699">
        <v>371.11219999999997</v>
      </c>
      <c r="D1699">
        <v>0</v>
      </c>
      <c r="E1699">
        <v>0</v>
      </c>
      <c r="F1699">
        <v>0</v>
      </c>
      <c r="G1699">
        <v>193.67159599999999</v>
      </c>
      <c r="H1699">
        <v>-79.86794000000009</v>
      </c>
      <c r="I1699">
        <v>0</v>
      </c>
      <c r="J1699">
        <v>0</v>
      </c>
      <c r="K1699">
        <v>3.9018830000000002</v>
      </c>
      <c r="L1699">
        <v>0</v>
      </c>
      <c r="M1699">
        <v>0</v>
      </c>
      <c r="N1699">
        <v>0</v>
      </c>
      <c r="O1699">
        <v>42.47242751000681</v>
      </c>
      <c r="P1699">
        <v>107685.616297</v>
      </c>
    </row>
    <row r="1700" spans="1:16" x14ac:dyDescent="0.25">
      <c r="A1700" s="10">
        <v>40109</v>
      </c>
      <c r="B1700">
        <v>-1056.1629299999911</v>
      </c>
      <c r="C1700">
        <v>-19.105</v>
      </c>
      <c r="D1700">
        <v>0</v>
      </c>
      <c r="E1700">
        <v>-1000</v>
      </c>
      <c r="F1700">
        <v>0</v>
      </c>
      <c r="G1700">
        <v>-11.55617399999999</v>
      </c>
      <c r="H1700">
        <v>-34.598159100001787</v>
      </c>
      <c r="I1700">
        <v>0</v>
      </c>
      <c r="J1700">
        <v>0</v>
      </c>
      <c r="K1700">
        <v>3.6499350000000002</v>
      </c>
      <c r="L1700">
        <v>13</v>
      </c>
      <c r="M1700">
        <v>0</v>
      </c>
      <c r="N1700">
        <v>0</v>
      </c>
      <c r="O1700">
        <v>-7.5535318999889114</v>
      </c>
      <c r="P1700">
        <v>106629.45336699999</v>
      </c>
    </row>
    <row r="1701" spans="1:16" x14ac:dyDescent="0.25">
      <c r="A1701" s="10">
        <v>40112</v>
      </c>
      <c r="B1701">
        <v>1155.7991559999939</v>
      </c>
      <c r="C1701">
        <v>286.5</v>
      </c>
      <c r="D1701">
        <v>0</v>
      </c>
      <c r="E1701">
        <v>0</v>
      </c>
      <c r="F1701">
        <v>0</v>
      </c>
      <c r="G1701">
        <v>-7.0077629999999864</v>
      </c>
      <c r="H1701">
        <v>808.63062100000207</v>
      </c>
      <c r="I1701">
        <v>0</v>
      </c>
      <c r="J1701">
        <v>0</v>
      </c>
      <c r="K1701">
        <v>5.7447270000000001</v>
      </c>
      <c r="L1701">
        <v>57.7</v>
      </c>
      <c r="M1701">
        <v>0</v>
      </c>
      <c r="N1701">
        <v>0</v>
      </c>
      <c r="O1701">
        <v>4.2315709999923001</v>
      </c>
      <c r="P1701">
        <v>107785.252523</v>
      </c>
    </row>
    <row r="1702" spans="1:16" x14ac:dyDescent="0.25">
      <c r="A1702" s="10">
        <v>40113</v>
      </c>
      <c r="B1702">
        <v>385.35273000001348</v>
      </c>
      <c r="C1702">
        <v>-0.76400000000000001</v>
      </c>
      <c r="D1702">
        <v>0</v>
      </c>
      <c r="E1702">
        <v>0</v>
      </c>
      <c r="F1702">
        <v>0</v>
      </c>
      <c r="G1702">
        <v>-21.590838000000002</v>
      </c>
      <c r="H1702">
        <v>422.74968799999988</v>
      </c>
      <c r="I1702">
        <v>0</v>
      </c>
      <c r="J1702">
        <v>0</v>
      </c>
      <c r="K1702">
        <v>2.597</v>
      </c>
      <c r="L1702">
        <v>0</v>
      </c>
      <c r="M1702">
        <v>0</v>
      </c>
      <c r="N1702">
        <v>0</v>
      </c>
      <c r="O1702">
        <v>-17.639119999986331</v>
      </c>
      <c r="P1702">
        <v>108170.605253</v>
      </c>
    </row>
    <row r="1703" spans="1:16" x14ac:dyDescent="0.25">
      <c r="A1703" s="10">
        <v>40114</v>
      </c>
      <c r="B1703">
        <v>-943.01356700001634</v>
      </c>
      <c r="C1703">
        <v>0</v>
      </c>
      <c r="D1703">
        <v>0</v>
      </c>
      <c r="E1703">
        <v>0</v>
      </c>
      <c r="F1703">
        <v>0</v>
      </c>
      <c r="G1703">
        <v>9.7974089999999947</v>
      </c>
      <c r="H1703">
        <v>334.34644000000122</v>
      </c>
      <c r="I1703">
        <v>0</v>
      </c>
      <c r="J1703">
        <v>0</v>
      </c>
      <c r="K1703">
        <v>3.6212599999999999</v>
      </c>
      <c r="L1703">
        <v>-1338.1</v>
      </c>
      <c r="M1703">
        <v>0</v>
      </c>
      <c r="N1703">
        <v>0</v>
      </c>
      <c r="O1703">
        <v>47.321323999982397</v>
      </c>
      <c r="P1703">
        <v>107227.591686</v>
      </c>
    </row>
    <row r="1704" spans="1:16" x14ac:dyDescent="0.25">
      <c r="A1704" s="10">
        <v>40115</v>
      </c>
      <c r="B1704">
        <v>824.9283600399948</v>
      </c>
      <c r="C1704">
        <v>0</v>
      </c>
      <c r="D1704">
        <v>0</v>
      </c>
      <c r="E1704">
        <v>1050</v>
      </c>
      <c r="F1704">
        <v>0</v>
      </c>
      <c r="G1704">
        <v>2.5237700000001291</v>
      </c>
      <c r="H1704">
        <v>-190.107</v>
      </c>
      <c r="I1704">
        <v>0</v>
      </c>
      <c r="J1704">
        <v>0</v>
      </c>
      <c r="K1704">
        <v>3.871</v>
      </c>
      <c r="L1704">
        <v>0</v>
      </c>
      <c r="M1704">
        <v>0</v>
      </c>
      <c r="N1704">
        <v>0</v>
      </c>
      <c r="O1704">
        <v>-41.359409960005493</v>
      </c>
      <c r="P1704">
        <v>108052.52004603999</v>
      </c>
    </row>
    <row r="1705" spans="1:16" x14ac:dyDescent="0.25">
      <c r="A1705" s="10">
        <v>40116</v>
      </c>
      <c r="B1705">
        <v>-133.23366903999741</v>
      </c>
      <c r="C1705">
        <v>397.17500000000001</v>
      </c>
      <c r="D1705">
        <v>0</v>
      </c>
      <c r="E1705">
        <v>0</v>
      </c>
      <c r="F1705">
        <v>0</v>
      </c>
      <c r="G1705">
        <v>-181.355864</v>
      </c>
      <c r="H1705">
        <v>-308.35098499999913</v>
      </c>
      <c r="I1705">
        <v>0</v>
      </c>
      <c r="J1705">
        <v>0</v>
      </c>
      <c r="K1705">
        <v>3.3319999999999999</v>
      </c>
      <c r="L1705">
        <v>0</v>
      </c>
      <c r="M1705">
        <v>0</v>
      </c>
      <c r="N1705">
        <v>0</v>
      </c>
      <c r="O1705">
        <v>-44.033820039998282</v>
      </c>
      <c r="P1705">
        <v>107919.286377</v>
      </c>
    </row>
    <row r="1706" spans="1:16" x14ac:dyDescent="0.25">
      <c r="A1706" s="10">
        <v>40119</v>
      </c>
      <c r="B1706">
        <v>3165.385999000006</v>
      </c>
      <c r="C1706">
        <v>412.452</v>
      </c>
      <c r="D1706">
        <v>0</v>
      </c>
      <c r="E1706">
        <v>0</v>
      </c>
      <c r="F1706">
        <v>0</v>
      </c>
      <c r="G1706">
        <v>8.5875499999999931</v>
      </c>
      <c r="H1706">
        <v>2770.0890299999992</v>
      </c>
      <c r="I1706">
        <v>0</v>
      </c>
      <c r="J1706">
        <v>0</v>
      </c>
      <c r="K1706">
        <v>5.8019999999999996</v>
      </c>
      <c r="L1706">
        <v>0</v>
      </c>
      <c r="M1706">
        <v>0</v>
      </c>
      <c r="N1706">
        <v>0</v>
      </c>
      <c r="O1706">
        <v>-31.54458099999319</v>
      </c>
      <c r="P1706">
        <v>111084.672376</v>
      </c>
    </row>
    <row r="1707" spans="1:16" x14ac:dyDescent="0.25">
      <c r="A1707" s="10">
        <v>40120</v>
      </c>
      <c r="B1707">
        <v>-582.84391699999037</v>
      </c>
      <c r="C1707">
        <v>55.360999999999997</v>
      </c>
      <c r="D1707">
        <v>0</v>
      </c>
      <c r="E1707">
        <v>0</v>
      </c>
      <c r="F1707">
        <v>0</v>
      </c>
      <c r="G1707">
        <v>-15.79600499999999</v>
      </c>
      <c r="H1707">
        <v>-515.25749999999789</v>
      </c>
      <c r="I1707">
        <v>0</v>
      </c>
      <c r="J1707">
        <v>-109.75</v>
      </c>
      <c r="K1707">
        <v>0.75499999999992728</v>
      </c>
      <c r="L1707">
        <v>5.0999999999999996</v>
      </c>
      <c r="M1707">
        <v>0</v>
      </c>
      <c r="N1707">
        <v>0</v>
      </c>
      <c r="O1707">
        <v>-3.2564119999923382</v>
      </c>
      <c r="P1707">
        <v>110501.828459</v>
      </c>
    </row>
    <row r="1708" spans="1:16" x14ac:dyDescent="0.25">
      <c r="A1708" s="10">
        <v>40121</v>
      </c>
      <c r="B1708">
        <v>-164.83067700001979</v>
      </c>
      <c r="C1708">
        <v>338.94959999999998</v>
      </c>
      <c r="D1708">
        <v>0</v>
      </c>
      <c r="E1708">
        <v>0</v>
      </c>
      <c r="F1708">
        <v>0</v>
      </c>
      <c r="G1708">
        <v>-0.86268099999999492</v>
      </c>
      <c r="H1708">
        <v>88.667254999998477</v>
      </c>
      <c r="I1708">
        <v>0</v>
      </c>
      <c r="J1708">
        <v>0</v>
      </c>
      <c r="K1708">
        <v>2.1509999999999998</v>
      </c>
      <c r="L1708">
        <v>-507.1</v>
      </c>
      <c r="M1708">
        <v>0</v>
      </c>
      <c r="N1708">
        <v>0</v>
      </c>
      <c r="O1708">
        <v>-86.635851000018235</v>
      </c>
      <c r="P1708">
        <v>110336.99778200001</v>
      </c>
    </row>
    <row r="1709" spans="1:16" x14ac:dyDescent="0.25">
      <c r="A1709" s="10">
        <v>40122</v>
      </c>
      <c r="B1709">
        <v>-770.31253937000258</v>
      </c>
      <c r="C1709">
        <v>74.4315</v>
      </c>
      <c r="D1709">
        <v>0</v>
      </c>
      <c r="E1709">
        <v>0</v>
      </c>
      <c r="F1709">
        <v>0</v>
      </c>
      <c r="G1709">
        <v>-4.004846999999998</v>
      </c>
      <c r="H1709">
        <v>-852.9657709999974</v>
      </c>
      <c r="I1709">
        <v>0</v>
      </c>
      <c r="J1709">
        <v>0</v>
      </c>
      <c r="K1709">
        <v>2.953973</v>
      </c>
      <c r="L1709">
        <v>1</v>
      </c>
      <c r="M1709">
        <v>0</v>
      </c>
      <c r="N1709">
        <v>0</v>
      </c>
      <c r="O1709">
        <v>8.2726056299948141</v>
      </c>
      <c r="P1709">
        <v>109566.68524263</v>
      </c>
    </row>
    <row r="1710" spans="1:16" x14ac:dyDescent="0.25">
      <c r="A1710" s="10">
        <v>40126</v>
      </c>
      <c r="B1710">
        <v>-10.623883629989219</v>
      </c>
      <c r="C1710">
        <v>662.4606</v>
      </c>
      <c r="D1710">
        <v>0</v>
      </c>
      <c r="E1710">
        <v>0</v>
      </c>
      <c r="F1710">
        <v>0</v>
      </c>
      <c r="G1710">
        <v>-23.692153000000001</v>
      </c>
      <c r="H1710">
        <v>-663.36584500000026</v>
      </c>
      <c r="I1710">
        <v>0</v>
      </c>
      <c r="J1710">
        <v>0</v>
      </c>
      <c r="K1710">
        <v>6.76</v>
      </c>
      <c r="L1710">
        <v>5.1000000000000014</v>
      </c>
      <c r="M1710">
        <v>0</v>
      </c>
      <c r="N1710">
        <v>0</v>
      </c>
      <c r="O1710">
        <v>2.1135143700110119</v>
      </c>
      <c r="P1710">
        <v>109556.061359</v>
      </c>
    </row>
    <row r="1711" spans="1:16" x14ac:dyDescent="0.25">
      <c r="A1711" s="10">
        <v>40127</v>
      </c>
      <c r="B1711">
        <v>150.29392500000631</v>
      </c>
      <c r="C1711">
        <v>125.895</v>
      </c>
      <c r="D1711">
        <v>0</v>
      </c>
      <c r="E1711">
        <v>0</v>
      </c>
      <c r="F1711">
        <v>0</v>
      </c>
      <c r="G1711">
        <v>29.759999999999991</v>
      </c>
      <c r="H1711">
        <v>-26.651751000001241</v>
      </c>
      <c r="I1711">
        <v>0</v>
      </c>
      <c r="J1711">
        <v>0</v>
      </c>
      <c r="K1711">
        <v>3.5372599999999998</v>
      </c>
      <c r="L1711">
        <v>0</v>
      </c>
      <c r="M1711">
        <v>0</v>
      </c>
      <c r="N1711">
        <v>0</v>
      </c>
      <c r="O1711">
        <v>17.753416000007508</v>
      </c>
      <c r="P1711">
        <v>109706.355284</v>
      </c>
    </row>
    <row r="1712" spans="1:16" x14ac:dyDescent="0.25">
      <c r="A1712" s="10">
        <v>40128</v>
      </c>
      <c r="B1712">
        <v>-495.59400500000692</v>
      </c>
      <c r="C1712">
        <v>0</v>
      </c>
      <c r="D1712">
        <v>0</v>
      </c>
      <c r="E1712">
        <v>0</v>
      </c>
      <c r="F1712">
        <v>0</v>
      </c>
      <c r="G1712">
        <v>-6.3312119999999972</v>
      </c>
      <c r="H1712">
        <v>313.01936000000018</v>
      </c>
      <c r="I1712">
        <v>0</v>
      </c>
      <c r="J1712">
        <v>0</v>
      </c>
      <c r="K1712">
        <v>3.129687000000001</v>
      </c>
      <c r="L1712">
        <v>-748.30000000000018</v>
      </c>
      <c r="M1712">
        <v>0</v>
      </c>
      <c r="N1712">
        <v>0</v>
      </c>
      <c r="O1712">
        <v>-57.111840000006929</v>
      </c>
      <c r="P1712">
        <v>109210.761279</v>
      </c>
    </row>
    <row r="1713" spans="1:16" x14ac:dyDescent="0.25">
      <c r="A1713" s="10">
        <v>40129</v>
      </c>
      <c r="B1713">
        <v>1090.990315999996</v>
      </c>
      <c r="C1713">
        <v>81.979500000000002</v>
      </c>
      <c r="D1713">
        <v>0</v>
      </c>
      <c r="E1713">
        <v>0</v>
      </c>
      <c r="F1713">
        <v>0</v>
      </c>
      <c r="G1713">
        <v>-6.3058929999999984</v>
      </c>
      <c r="H1713">
        <v>924.96233099999881</v>
      </c>
      <c r="I1713">
        <v>0</v>
      </c>
      <c r="J1713">
        <v>0</v>
      </c>
      <c r="K1713">
        <v>3.242</v>
      </c>
      <c r="L1713">
        <v>0.19999999999999929</v>
      </c>
      <c r="M1713">
        <v>0</v>
      </c>
      <c r="N1713">
        <v>0</v>
      </c>
      <c r="O1713">
        <v>86.912377999996764</v>
      </c>
      <c r="P1713">
        <v>110301.75159499999</v>
      </c>
    </row>
    <row r="1714" spans="1:16" x14ac:dyDescent="0.25">
      <c r="A1714" s="10">
        <v>40130</v>
      </c>
      <c r="B1714">
        <v>-648.83320299998763</v>
      </c>
      <c r="C1714">
        <v>26.701499999999999</v>
      </c>
      <c r="D1714">
        <v>0</v>
      </c>
      <c r="E1714">
        <v>0</v>
      </c>
      <c r="F1714">
        <v>0</v>
      </c>
      <c r="G1714">
        <v>-4.1608950000000391</v>
      </c>
      <c r="H1714">
        <v>-679.80562100000134</v>
      </c>
      <c r="I1714">
        <v>0</v>
      </c>
      <c r="J1714">
        <v>0</v>
      </c>
      <c r="K1714">
        <v>0.904945</v>
      </c>
      <c r="L1714">
        <v>0</v>
      </c>
      <c r="M1714">
        <v>0</v>
      </c>
      <c r="N1714">
        <v>0</v>
      </c>
      <c r="O1714">
        <v>7.5268680000138373</v>
      </c>
      <c r="P1714">
        <v>109652.91839200001</v>
      </c>
    </row>
    <row r="1715" spans="1:16" x14ac:dyDescent="0.25">
      <c r="A1715" s="10">
        <v>40133</v>
      </c>
      <c r="B1715">
        <v>-90.975325999999086</v>
      </c>
      <c r="C1715">
        <v>0</v>
      </c>
      <c r="D1715">
        <v>-124</v>
      </c>
      <c r="E1715">
        <v>0</v>
      </c>
      <c r="F1715">
        <v>0</v>
      </c>
      <c r="G1715">
        <v>82.977671999999984</v>
      </c>
      <c r="H1715">
        <v>-90.649698000001081</v>
      </c>
      <c r="I1715">
        <v>0</v>
      </c>
      <c r="J1715">
        <v>0</v>
      </c>
      <c r="K1715">
        <v>4.202</v>
      </c>
      <c r="L1715">
        <v>36.799999999999997</v>
      </c>
      <c r="M1715">
        <v>0</v>
      </c>
      <c r="N1715">
        <v>0</v>
      </c>
      <c r="O1715">
        <v>-0.30529999999800422</v>
      </c>
      <c r="P1715">
        <v>109561.94306600001</v>
      </c>
    </row>
    <row r="1716" spans="1:16" x14ac:dyDescent="0.25">
      <c r="A1716" s="10">
        <v>40134</v>
      </c>
      <c r="B1716">
        <v>-1771.5435189999989</v>
      </c>
      <c r="C1716">
        <v>51.435000000000002</v>
      </c>
      <c r="D1716">
        <v>0</v>
      </c>
      <c r="E1716">
        <v>0</v>
      </c>
      <c r="F1716">
        <v>0</v>
      </c>
      <c r="G1716">
        <v>-244.927336</v>
      </c>
      <c r="H1716">
        <v>-1557.8154380000001</v>
      </c>
      <c r="I1716">
        <v>0</v>
      </c>
      <c r="J1716">
        <v>0</v>
      </c>
      <c r="K1716">
        <v>2.7149999999999999</v>
      </c>
      <c r="L1716">
        <v>0</v>
      </c>
      <c r="M1716">
        <v>0</v>
      </c>
      <c r="N1716">
        <v>0</v>
      </c>
      <c r="O1716">
        <v>-22.950744999999461</v>
      </c>
      <c r="P1716">
        <v>107790.39954699999</v>
      </c>
    </row>
    <row r="1717" spans="1:16" x14ac:dyDescent="0.25">
      <c r="A1717" s="10">
        <v>40135</v>
      </c>
      <c r="B1717">
        <v>267.01691699998548</v>
      </c>
      <c r="C1717">
        <v>223.76400000000001</v>
      </c>
      <c r="D1717">
        <v>0</v>
      </c>
      <c r="E1717">
        <v>0</v>
      </c>
      <c r="F1717">
        <v>0</v>
      </c>
      <c r="G1717">
        <v>1.538543000000004</v>
      </c>
      <c r="H1717">
        <v>1163.8829119999989</v>
      </c>
      <c r="I1717">
        <v>0</v>
      </c>
      <c r="J1717">
        <v>0</v>
      </c>
      <c r="K1717">
        <v>4.5309999999999997</v>
      </c>
      <c r="L1717">
        <v>-1151.3</v>
      </c>
      <c r="M1717">
        <v>0</v>
      </c>
      <c r="N1717">
        <v>0</v>
      </c>
      <c r="O1717">
        <v>24.600461999986319</v>
      </c>
      <c r="P1717">
        <v>108057.41646399999</v>
      </c>
    </row>
    <row r="1718" spans="1:16" x14ac:dyDescent="0.25">
      <c r="A1718" s="10">
        <v>40136</v>
      </c>
      <c r="B1718">
        <v>1765.3662960000081</v>
      </c>
      <c r="C1718">
        <v>434.10109999999997</v>
      </c>
      <c r="D1718">
        <v>0</v>
      </c>
      <c r="E1718">
        <v>0</v>
      </c>
      <c r="F1718">
        <v>0</v>
      </c>
      <c r="G1718">
        <v>49.854145000000017</v>
      </c>
      <c r="H1718">
        <v>1277.548846000002</v>
      </c>
      <c r="I1718">
        <v>0</v>
      </c>
      <c r="J1718">
        <v>0</v>
      </c>
      <c r="K1718">
        <v>3.2040000000000002</v>
      </c>
      <c r="L1718">
        <v>0</v>
      </c>
      <c r="M1718">
        <v>0</v>
      </c>
      <c r="N1718">
        <v>0</v>
      </c>
      <c r="O1718">
        <v>0.65820500000600068</v>
      </c>
      <c r="P1718">
        <v>109822.78276</v>
      </c>
    </row>
    <row r="1719" spans="1:16" x14ac:dyDescent="0.25">
      <c r="A1719" s="10">
        <v>40137</v>
      </c>
      <c r="B1719">
        <v>-1860.5175339999989</v>
      </c>
      <c r="C1719">
        <v>220.02</v>
      </c>
      <c r="D1719">
        <v>0</v>
      </c>
      <c r="E1719">
        <v>-1700</v>
      </c>
      <c r="F1719">
        <v>0</v>
      </c>
      <c r="G1719">
        <v>-5.7024000000055253E-2</v>
      </c>
      <c r="H1719">
        <v>-326.85815200000252</v>
      </c>
      <c r="I1719">
        <v>0</v>
      </c>
      <c r="J1719">
        <v>0</v>
      </c>
      <c r="K1719">
        <v>1.68</v>
      </c>
      <c r="L1719">
        <v>0</v>
      </c>
      <c r="M1719">
        <v>0</v>
      </c>
      <c r="N1719">
        <v>0</v>
      </c>
      <c r="O1719">
        <v>-55.30235799999641</v>
      </c>
      <c r="P1719">
        <v>107962.265226</v>
      </c>
    </row>
    <row r="1720" spans="1:16" x14ac:dyDescent="0.25">
      <c r="A1720" s="10">
        <v>40140</v>
      </c>
      <c r="B1720">
        <v>-486.28117800000541</v>
      </c>
      <c r="C1720">
        <v>564.14949999999999</v>
      </c>
      <c r="D1720">
        <v>0</v>
      </c>
      <c r="E1720">
        <v>0</v>
      </c>
      <c r="F1720">
        <v>0</v>
      </c>
      <c r="G1720">
        <v>-379.93963400000001</v>
      </c>
      <c r="H1720">
        <v>-695.52026199999818</v>
      </c>
      <c r="I1720">
        <v>0</v>
      </c>
      <c r="J1720">
        <v>0</v>
      </c>
      <c r="K1720">
        <v>5.3339999999999996</v>
      </c>
      <c r="L1720">
        <v>30</v>
      </c>
      <c r="M1720">
        <v>0</v>
      </c>
      <c r="N1720">
        <v>0</v>
      </c>
      <c r="O1720">
        <v>-10.30478200000716</v>
      </c>
      <c r="P1720">
        <v>107475.984048</v>
      </c>
    </row>
    <row r="1721" spans="1:16" x14ac:dyDescent="0.25">
      <c r="A1721" s="10">
        <v>40141</v>
      </c>
      <c r="B1721">
        <v>442.26625488999628</v>
      </c>
      <c r="C1721">
        <v>218.453</v>
      </c>
      <c r="D1721">
        <v>0</v>
      </c>
      <c r="E1721">
        <v>2800</v>
      </c>
      <c r="F1721">
        <v>0</v>
      </c>
      <c r="G1721">
        <v>-2411.4063660000002</v>
      </c>
      <c r="H1721">
        <v>-176.11833427000241</v>
      </c>
      <c r="I1721">
        <v>0</v>
      </c>
      <c r="J1721">
        <v>0</v>
      </c>
      <c r="K1721">
        <v>3.1619999999999999</v>
      </c>
      <c r="L1721">
        <v>0</v>
      </c>
      <c r="M1721">
        <v>0</v>
      </c>
      <c r="N1721">
        <v>0</v>
      </c>
      <c r="O1721">
        <v>8.1759551599989315</v>
      </c>
      <c r="P1721">
        <v>107918.25030289</v>
      </c>
    </row>
    <row r="1722" spans="1:16" x14ac:dyDescent="0.25">
      <c r="A1722" s="10">
        <v>40142</v>
      </c>
      <c r="B1722">
        <v>1317.795972110006</v>
      </c>
      <c r="C1722">
        <v>102.688</v>
      </c>
      <c r="D1722">
        <v>0</v>
      </c>
      <c r="E1722">
        <v>0</v>
      </c>
      <c r="F1722">
        <v>0</v>
      </c>
      <c r="G1722">
        <v>9.0732909999999976</v>
      </c>
      <c r="H1722">
        <v>1252.813612000002</v>
      </c>
      <c r="I1722">
        <v>0</v>
      </c>
      <c r="J1722">
        <v>0</v>
      </c>
      <c r="K1722">
        <v>2.9870000000000001</v>
      </c>
      <c r="L1722">
        <v>-58.599999999999987</v>
      </c>
      <c r="M1722">
        <v>0</v>
      </c>
      <c r="N1722">
        <v>0</v>
      </c>
      <c r="O1722">
        <v>8.8340691100040658</v>
      </c>
      <c r="P1722">
        <v>109236.046275</v>
      </c>
    </row>
    <row r="1723" spans="1:16" x14ac:dyDescent="0.25">
      <c r="A1723" s="10">
        <v>40143</v>
      </c>
      <c r="B1723">
        <v>3181.7441119999999</v>
      </c>
      <c r="C1723">
        <v>0</v>
      </c>
      <c r="D1723">
        <v>0</v>
      </c>
      <c r="E1723">
        <v>1650</v>
      </c>
      <c r="F1723">
        <v>0</v>
      </c>
      <c r="G1723">
        <v>-17.094291000000169</v>
      </c>
      <c r="H1723">
        <v>1530.795106999999</v>
      </c>
      <c r="I1723">
        <v>0</v>
      </c>
      <c r="J1723">
        <v>0</v>
      </c>
      <c r="K1723">
        <v>2.032</v>
      </c>
      <c r="L1723">
        <v>-0.1</v>
      </c>
      <c r="M1723">
        <v>0</v>
      </c>
      <c r="N1723">
        <v>0</v>
      </c>
      <c r="O1723">
        <v>16.111296000001399</v>
      </c>
      <c r="P1723">
        <v>112417.790387</v>
      </c>
    </row>
    <row r="1724" spans="1:16" x14ac:dyDescent="0.25">
      <c r="A1724" s="10">
        <v>40144</v>
      </c>
      <c r="B1724">
        <v>-1247.908913000007</v>
      </c>
      <c r="C1724">
        <v>30.468</v>
      </c>
      <c r="D1724">
        <v>0</v>
      </c>
      <c r="E1724">
        <v>0</v>
      </c>
      <c r="F1724">
        <v>0</v>
      </c>
      <c r="G1724">
        <v>-13.8</v>
      </c>
      <c r="H1724">
        <v>-1261.931065</v>
      </c>
      <c r="I1724">
        <v>0</v>
      </c>
      <c r="J1724">
        <v>0</v>
      </c>
      <c r="K1724">
        <v>1.825</v>
      </c>
      <c r="L1724">
        <v>-0.1</v>
      </c>
      <c r="M1724">
        <v>0</v>
      </c>
      <c r="N1724">
        <v>0</v>
      </c>
      <c r="O1724">
        <v>-4.3708480000075722</v>
      </c>
      <c r="P1724">
        <v>111169.88147399999</v>
      </c>
    </row>
    <row r="1725" spans="1:16" x14ac:dyDescent="0.25">
      <c r="A1725" s="10">
        <v>40147</v>
      </c>
      <c r="B1725">
        <v>-244.73035099999089</v>
      </c>
      <c r="C1725">
        <v>371.44</v>
      </c>
      <c r="D1725">
        <v>0</v>
      </c>
      <c r="E1725">
        <v>0</v>
      </c>
      <c r="F1725">
        <v>0</v>
      </c>
      <c r="G1725">
        <v>-106.507542</v>
      </c>
      <c r="H1725">
        <v>-539.36233999999968</v>
      </c>
      <c r="I1725">
        <v>0</v>
      </c>
      <c r="J1725">
        <v>0</v>
      </c>
      <c r="K1725">
        <v>5.9234810000000007</v>
      </c>
      <c r="L1725">
        <v>0</v>
      </c>
      <c r="M1725">
        <v>0</v>
      </c>
      <c r="N1725">
        <v>0</v>
      </c>
      <c r="O1725">
        <v>23.776050000008819</v>
      </c>
      <c r="P1725">
        <v>110925.151123</v>
      </c>
    </row>
    <row r="1726" spans="1:16" x14ac:dyDescent="0.25">
      <c r="A1726" s="10">
        <v>40148</v>
      </c>
      <c r="B1726">
        <v>3431.6257880000048</v>
      </c>
      <c r="C1726">
        <v>-7.6239999999999988</v>
      </c>
      <c r="D1726">
        <v>0</v>
      </c>
      <c r="E1726">
        <v>1850</v>
      </c>
      <c r="F1726">
        <v>0</v>
      </c>
      <c r="G1726">
        <v>-1941.389574</v>
      </c>
      <c r="H1726">
        <v>3527.436126000001</v>
      </c>
      <c r="I1726">
        <v>0</v>
      </c>
      <c r="J1726">
        <v>0</v>
      </c>
      <c r="K1726">
        <v>2.282</v>
      </c>
      <c r="L1726">
        <v>0</v>
      </c>
      <c r="M1726">
        <v>0</v>
      </c>
      <c r="N1726">
        <v>0</v>
      </c>
      <c r="O1726">
        <v>0.92123600000359218</v>
      </c>
      <c r="P1726">
        <v>114356.77691099999</v>
      </c>
    </row>
    <row r="1727" spans="1:16" x14ac:dyDescent="0.25">
      <c r="A1727" s="10">
        <v>40149</v>
      </c>
      <c r="B1727">
        <v>500.71039199999342</v>
      </c>
      <c r="C1727">
        <v>41.923000000000002</v>
      </c>
      <c r="D1727">
        <v>0</v>
      </c>
      <c r="E1727">
        <v>0</v>
      </c>
      <c r="F1727">
        <v>0</v>
      </c>
      <c r="G1727">
        <v>-6.7086879999999383</v>
      </c>
      <c r="H1727">
        <v>280.35893299999952</v>
      </c>
      <c r="I1727">
        <v>0</v>
      </c>
      <c r="J1727">
        <v>-112</v>
      </c>
      <c r="K1727">
        <v>0.91099999999981818</v>
      </c>
      <c r="L1727">
        <v>303.10000000000002</v>
      </c>
      <c r="M1727">
        <v>0</v>
      </c>
      <c r="N1727">
        <v>0</v>
      </c>
      <c r="O1727">
        <v>-6.8738530000060107</v>
      </c>
      <c r="P1727">
        <v>114857.487303</v>
      </c>
    </row>
    <row r="1728" spans="1:16" x14ac:dyDescent="0.25">
      <c r="A1728" s="10">
        <v>40150</v>
      </c>
      <c r="B1728">
        <v>556.57424400000343</v>
      </c>
      <c r="C1728">
        <v>34.292999999999999</v>
      </c>
      <c r="D1728">
        <v>0</v>
      </c>
      <c r="E1728">
        <v>0</v>
      </c>
      <c r="F1728">
        <v>0</v>
      </c>
      <c r="G1728">
        <v>-87.920848000000007</v>
      </c>
      <c r="H1728">
        <v>632.56656200000089</v>
      </c>
      <c r="I1728">
        <v>0</v>
      </c>
      <c r="J1728">
        <v>0</v>
      </c>
      <c r="K1728">
        <v>1.0029999999999999</v>
      </c>
      <c r="L1728">
        <v>0</v>
      </c>
      <c r="M1728">
        <v>0</v>
      </c>
      <c r="N1728">
        <v>0</v>
      </c>
      <c r="O1728">
        <v>-23.367469999997521</v>
      </c>
      <c r="P1728">
        <v>115414.061547</v>
      </c>
    </row>
    <row r="1729" spans="1:16" x14ac:dyDescent="0.25">
      <c r="A1729" s="10">
        <v>40151</v>
      </c>
      <c r="B1729">
        <v>283.20927300000028</v>
      </c>
      <c r="C1729">
        <v>86.440640000000002</v>
      </c>
      <c r="D1729">
        <v>0</v>
      </c>
      <c r="E1729">
        <v>-1300</v>
      </c>
      <c r="F1729">
        <v>0</v>
      </c>
      <c r="G1729">
        <v>1382.52773</v>
      </c>
      <c r="H1729">
        <v>188.36458099999979</v>
      </c>
      <c r="I1729">
        <v>0</v>
      </c>
      <c r="J1729">
        <v>0</v>
      </c>
      <c r="K1729">
        <v>1.728</v>
      </c>
      <c r="L1729">
        <v>0</v>
      </c>
      <c r="M1729">
        <v>0</v>
      </c>
      <c r="N1729">
        <v>0</v>
      </c>
      <c r="O1729">
        <v>-75.851677999999538</v>
      </c>
      <c r="P1729">
        <v>115697.27082000001</v>
      </c>
    </row>
    <row r="1730" spans="1:16" x14ac:dyDescent="0.25">
      <c r="A1730" s="10">
        <v>40154</v>
      </c>
      <c r="B1730">
        <v>-446.49778900000138</v>
      </c>
      <c r="C1730">
        <v>328.4683</v>
      </c>
      <c r="D1730">
        <v>0</v>
      </c>
      <c r="E1730">
        <v>0</v>
      </c>
      <c r="F1730">
        <v>0</v>
      </c>
      <c r="G1730">
        <v>-33.636664000000017</v>
      </c>
      <c r="H1730">
        <v>-735.24119500000052</v>
      </c>
      <c r="I1730">
        <v>0</v>
      </c>
      <c r="J1730">
        <v>0</v>
      </c>
      <c r="K1730">
        <v>1.5289999999999999</v>
      </c>
      <c r="L1730">
        <v>0</v>
      </c>
      <c r="M1730">
        <v>0</v>
      </c>
      <c r="N1730">
        <v>0</v>
      </c>
      <c r="O1730">
        <v>-7.6172300000008821</v>
      </c>
      <c r="P1730">
        <v>115250.773031</v>
      </c>
    </row>
    <row r="1731" spans="1:16" x14ac:dyDescent="0.25">
      <c r="A1731" s="10">
        <v>40156</v>
      </c>
      <c r="B1731">
        <v>368.66359599999822</v>
      </c>
      <c r="C1731">
        <v>214.7</v>
      </c>
      <c r="D1731">
        <v>0</v>
      </c>
      <c r="E1731">
        <v>0</v>
      </c>
      <c r="F1731">
        <v>0</v>
      </c>
      <c r="G1731">
        <v>-9.7832499999999527</v>
      </c>
      <c r="H1731">
        <v>-488.64751999999947</v>
      </c>
      <c r="I1731">
        <v>0</v>
      </c>
      <c r="J1731">
        <v>0</v>
      </c>
      <c r="K1731">
        <v>3.380992</v>
      </c>
      <c r="L1731">
        <v>686.5</v>
      </c>
      <c r="M1731">
        <v>0</v>
      </c>
      <c r="N1731">
        <v>0</v>
      </c>
      <c r="O1731">
        <v>-37.486626000002353</v>
      </c>
      <c r="P1731">
        <v>115619.436627</v>
      </c>
    </row>
    <row r="1732" spans="1:16" x14ac:dyDescent="0.25">
      <c r="A1732" s="10">
        <v>40157</v>
      </c>
      <c r="B1732">
        <v>102.35117300000231</v>
      </c>
      <c r="C1732">
        <v>174.85900000000001</v>
      </c>
      <c r="D1732">
        <v>0</v>
      </c>
      <c r="E1732">
        <v>0</v>
      </c>
      <c r="F1732">
        <v>0</v>
      </c>
      <c r="G1732">
        <v>5.7259369999999876</v>
      </c>
      <c r="H1732">
        <v>-151.43496700000011</v>
      </c>
      <c r="I1732">
        <v>0</v>
      </c>
      <c r="J1732">
        <v>0</v>
      </c>
      <c r="K1732">
        <v>1.752</v>
      </c>
      <c r="L1732">
        <v>0</v>
      </c>
      <c r="M1732">
        <v>0</v>
      </c>
      <c r="N1732">
        <v>0</v>
      </c>
      <c r="O1732">
        <v>71.449203000002484</v>
      </c>
      <c r="P1732">
        <v>115721.78780000001</v>
      </c>
    </row>
    <row r="1733" spans="1:16" x14ac:dyDescent="0.25">
      <c r="A1733" s="10">
        <v>40158</v>
      </c>
      <c r="B1733">
        <v>3381.8943829999921</v>
      </c>
      <c r="C1733">
        <v>433.15800000000002</v>
      </c>
      <c r="D1733">
        <v>0</v>
      </c>
      <c r="E1733">
        <v>1350</v>
      </c>
      <c r="F1733">
        <v>0</v>
      </c>
      <c r="G1733">
        <v>2660.5889040000002</v>
      </c>
      <c r="H1733">
        <v>-1124.885526</v>
      </c>
      <c r="I1733">
        <v>0</v>
      </c>
      <c r="J1733">
        <v>0</v>
      </c>
      <c r="K1733">
        <v>1.1060000000000001</v>
      </c>
      <c r="L1733">
        <v>0</v>
      </c>
      <c r="M1733">
        <v>0</v>
      </c>
      <c r="N1733">
        <v>0</v>
      </c>
      <c r="O1733">
        <v>61.927004999992</v>
      </c>
      <c r="P1733">
        <v>119103.682183</v>
      </c>
    </row>
    <row r="1734" spans="1:16" x14ac:dyDescent="0.25">
      <c r="A1734" s="10">
        <v>40161</v>
      </c>
      <c r="B1734">
        <v>1747.410478000005</v>
      </c>
      <c r="C1734">
        <v>341.30200000000002</v>
      </c>
      <c r="D1734">
        <v>0</v>
      </c>
      <c r="E1734">
        <v>0</v>
      </c>
      <c r="F1734">
        <v>0</v>
      </c>
      <c r="G1734">
        <v>13.354198</v>
      </c>
      <c r="H1734">
        <v>1372.869365</v>
      </c>
      <c r="I1734">
        <v>0</v>
      </c>
      <c r="J1734">
        <v>0</v>
      </c>
      <c r="K1734">
        <v>3.0990000000000002</v>
      </c>
      <c r="L1734">
        <v>0</v>
      </c>
      <c r="M1734">
        <v>0</v>
      </c>
      <c r="N1734">
        <v>0</v>
      </c>
      <c r="O1734">
        <v>16.785915000004429</v>
      </c>
      <c r="P1734">
        <v>120851.092661</v>
      </c>
    </row>
    <row r="1735" spans="1:16" x14ac:dyDescent="0.25">
      <c r="A1735" s="10">
        <v>40162</v>
      </c>
      <c r="B1735">
        <v>84.642872830008784</v>
      </c>
      <c r="C1735">
        <v>238.99700000000001</v>
      </c>
      <c r="D1735">
        <v>0</v>
      </c>
      <c r="E1735">
        <v>0</v>
      </c>
      <c r="F1735">
        <v>0</v>
      </c>
      <c r="G1735">
        <v>-284.84101899999968</v>
      </c>
      <c r="H1735">
        <v>136.06614000000079</v>
      </c>
      <c r="I1735">
        <v>0</v>
      </c>
      <c r="J1735">
        <v>0</v>
      </c>
      <c r="K1735">
        <v>0.49099999999999988</v>
      </c>
      <c r="L1735">
        <v>0</v>
      </c>
      <c r="M1735">
        <v>0</v>
      </c>
      <c r="N1735">
        <v>0</v>
      </c>
      <c r="O1735">
        <v>-6.0702481699922766</v>
      </c>
      <c r="P1735">
        <v>120935.73553383</v>
      </c>
    </row>
    <row r="1736" spans="1:16" x14ac:dyDescent="0.25">
      <c r="A1736" s="10">
        <v>40163</v>
      </c>
      <c r="B1736">
        <v>-547.9385758300192</v>
      </c>
      <c r="C1736">
        <v>337.18599999999998</v>
      </c>
      <c r="D1736">
        <v>0</v>
      </c>
      <c r="E1736">
        <v>0</v>
      </c>
      <c r="F1736">
        <v>0</v>
      </c>
      <c r="G1736">
        <v>-15.020576999999999</v>
      </c>
      <c r="H1736">
        <v>-862.10492900000099</v>
      </c>
      <c r="I1736">
        <v>0</v>
      </c>
      <c r="J1736">
        <v>0</v>
      </c>
      <c r="K1736">
        <v>2.3149999999999999</v>
      </c>
      <c r="L1736">
        <v>-92</v>
      </c>
      <c r="M1736">
        <v>0</v>
      </c>
      <c r="N1736">
        <v>0</v>
      </c>
      <c r="O1736">
        <v>81.685930169981859</v>
      </c>
      <c r="P1736">
        <v>120387.79695800001</v>
      </c>
    </row>
    <row r="1737" spans="1:16" x14ac:dyDescent="0.25">
      <c r="A1737" s="10">
        <v>40164</v>
      </c>
      <c r="B1737">
        <v>-1415.8620849299909</v>
      </c>
      <c r="C1737">
        <v>297.11264000000011</v>
      </c>
      <c r="D1737">
        <v>0</v>
      </c>
      <c r="E1737">
        <v>-150</v>
      </c>
      <c r="F1737">
        <v>0</v>
      </c>
      <c r="G1737">
        <v>123.002393</v>
      </c>
      <c r="H1737">
        <v>-1711.2755860000011</v>
      </c>
      <c r="I1737">
        <v>0</v>
      </c>
      <c r="J1737">
        <v>0</v>
      </c>
      <c r="K1737">
        <v>2.3290000000000002</v>
      </c>
      <c r="L1737">
        <v>0</v>
      </c>
      <c r="M1737">
        <v>0</v>
      </c>
      <c r="N1737">
        <v>0</v>
      </c>
      <c r="O1737">
        <v>22.969468070009452</v>
      </c>
      <c r="P1737">
        <v>118971.93487307</v>
      </c>
    </row>
    <row r="1738" spans="1:16" x14ac:dyDescent="0.25">
      <c r="A1738" s="10">
        <v>40165</v>
      </c>
      <c r="B1738">
        <v>-1645.2098950700031</v>
      </c>
      <c r="C1738">
        <v>130.59815</v>
      </c>
      <c r="D1738">
        <v>0</v>
      </c>
      <c r="E1738">
        <v>0</v>
      </c>
      <c r="F1738">
        <v>0</v>
      </c>
      <c r="G1738">
        <v>-402.60260099999988</v>
      </c>
      <c r="H1738">
        <v>-1348.23808014</v>
      </c>
      <c r="I1738">
        <v>0</v>
      </c>
      <c r="J1738">
        <v>0</v>
      </c>
      <c r="K1738">
        <v>2.0579999999999998</v>
      </c>
      <c r="L1738">
        <v>0</v>
      </c>
      <c r="M1738">
        <v>0</v>
      </c>
      <c r="N1738">
        <v>0</v>
      </c>
      <c r="O1738">
        <v>-27.025363930003419</v>
      </c>
      <c r="P1738">
        <v>117326.724978</v>
      </c>
    </row>
    <row r="1739" spans="1:16" x14ac:dyDescent="0.25">
      <c r="A1739" s="10">
        <v>40168</v>
      </c>
      <c r="B1739">
        <v>1302.4690340000091</v>
      </c>
      <c r="C1739">
        <v>83.402799999999999</v>
      </c>
      <c r="D1739">
        <v>0</v>
      </c>
      <c r="E1739">
        <v>0</v>
      </c>
      <c r="F1739">
        <v>0</v>
      </c>
      <c r="G1739">
        <v>476.43162100000001</v>
      </c>
      <c r="H1739">
        <v>711.52570399999968</v>
      </c>
      <c r="I1739">
        <v>0</v>
      </c>
      <c r="J1739">
        <v>0</v>
      </c>
      <c r="K1739">
        <v>3.5619999999999998</v>
      </c>
      <c r="L1739">
        <v>22.3</v>
      </c>
      <c r="M1739">
        <v>0</v>
      </c>
      <c r="N1739">
        <v>0</v>
      </c>
      <c r="O1739">
        <v>5.2469090000091914</v>
      </c>
      <c r="P1739">
        <v>118629.19401200001</v>
      </c>
    </row>
    <row r="1740" spans="1:16" x14ac:dyDescent="0.25">
      <c r="A1740" s="10">
        <v>40169</v>
      </c>
      <c r="B1740">
        <v>1397.1399939999831</v>
      </c>
      <c r="C1740">
        <v>582.28399999999999</v>
      </c>
      <c r="D1740">
        <v>0</v>
      </c>
      <c r="E1740">
        <v>0</v>
      </c>
      <c r="F1740">
        <v>0</v>
      </c>
      <c r="G1740">
        <v>-7.7290199999999913</v>
      </c>
      <c r="H1740">
        <v>835.27386500000011</v>
      </c>
      <c r="I1740">
        <v>0</v>
      </c>
      <c r="J1740">
        <v>0</v>
      </c>
      <c r="K1740">
        <v>1.556</v>
      </c>
      <c r="L1740">
        <v>0</v>
      </c>
      <c r="M1740">
        <v>0</v>
      </c>
      <c r="N1740">
        <v>0</v>
      </c>
      <c r="O1740">
        <v>-14.244851000016711</v>
      </c>
      <c r="P1740">
        <v>120026.334006</v>
      </c>
    </row>
    <row r="1741" spans="1:16" x14ac:dyDescent="0.25">
      <c r="A1741" s="10">
        <v>40170</v>
      </c>
      <c r="B1741">
        <v>884.756998000012</v>
      </c>
      <c r="C1741">
        <v>314.16899999999998</v>
      </c>
      <c r="D1741">
        <v>0</v>
      </c>
      <c r="E1741">
        <v>100</v>
      </c>
      <c r="F1741">
        <v>0</v>
      </c>
      <c r="G1741">
        <v>-108.68391099999999</v>
      </c>
      <c r="H1741">
        <v>609.84126120000019</v>
      </c>
      <c r="I1741">
        <v>0</v>
      </c>
      <c r="J1741">
        <v>0</v>
      </c>
      <c r="K1741">
        <v>3.516</v>
      </c>
      <c r="L1741">
        <v>-21.2</v>
      </c>
      <c r="M1741">
        <v>0</v>
      </c>
      <c r="N1741">
        <v>0</v>
      </c>
      <c r="O1741">
        <v>-12.88535219998812</v>
      </c>
      <c r="P1741">
        <v>120911.091004</v>
      </c>
    </row>
    <row r="1742" spans="1:16" x14ac:dyDescent="0.25">
      <c r="A1742" s="10">
        <v>40171</v>
      </c>
      <c r="B1742">
        <v>25.438775999994991</v>
      </c>
      <c r="C1742">
        <v>128.22880000000001</v>
      </c>
      <c r="D1742">
        <v>0</v>
      </c>
      <c r="E1742">
        <v>0</v>
      </c>
      <c r="F1742">
        <v>0</v>
      </c>
      <c r="G1742">
        <v>-10.82108899999997</v>
      </c>
      <c r="H1742">
        <v>-74.481112879999273</v>
      </c>
      <c r="I1742">
        <v>0</v>
      </c>
      <c r="J1742">
        <v>0</v>
      </c>
      <c r="K1742">
        <v>0.24299999999999999</v>
      </c>
      <c r="L1742">
        <v>0</v>
      </c>
      <c r="M1742">
        <v>0</v>
      </c>
      <c r="N1742">
        <v>0</v>
      </c>
      <c r="O1742">
        <v>-17.730822120005769</v>
      </c>
      <c r="P1742">
        <v>120936.52978</v>
      </c>
    </row>
    <row r="1743" spans="1:16" x14ac:dyDescent="0.25">
      <c r="A1743" s="10">
        <v>40175</v>
      </c>
      <c r="B1743">
        <v>1639.1251423399231</v>
      </c>
      <c r="C1743">
        <v>722.29</v>
      </c>
      <c r="D1743">
        <v>0</v>
      </c>
      <c r="E1743">
        <v>0</v>
      </c>
      <c r="F1743">
        <v>0</v>
      </c>
      <c r="G1743">
        <v>6.7300000000000182</v>
      </c>
      <c r="H1743">
        <v>888.73687199999858</v>
      </c>
      <c r="I1743">
        <v>0</v>
      </c>
      <c r="J1743">
        <v>0</v>
      </c>
      <c r="K1743">
        <v>8.3205600000000004</v>
      </c>
      <c r="L1743">
        <v>46</v>
      </c>
      <c r="M1743">
        <v>0</v>
      </c>
      <c r="N1743">
        <v>0</v>
      </c>
      <c r="O1743">
        <v>-32.952289660076119</v>
      </c>
      <c r="P1743">
        <v>122575.65492233991</v>
      </c>
    </row>
    <row r="1744" spans="1:16" x14ac:dyDescent="0.25">
      <c r="A1744" s="10">
        <v>40176</v>
      </c>
      <c r="B1744">
        <v>303.57444565012719</v>
      </c>
      <c r="C1744">
        <v>239.47</v>
      </c>
      <c r="D1744">
        <v>0</v>
      </c>
      <c r="E1744">
        <v>0</v>
      </c>
      <c r="F1744">
        <v>0</v>
      </c>
      <c r="G1744">
        <v>-4</v>
      </c>
      <c r="H1744">
        <v>118.2780000000012</v>
      </c>
      <c r="I1744">
        <v>0</v>
      </c>
      <c r="J1744">
        <v>0</v>
      </c>
      <c r="K1744">
        <v>2.3740000000000001</v>
      </c>
      <c r="L1744">
        <v>0</v>
      </c>
      <c r="M1744">
        <v>0</v>
      </c>
      <c r="N1744">
        <v>0</v>
      </c>
      <c r="O1744">
        <v>-52.547554349873941</v>
      </c>
      <c r="P1744">
        <v>122879.22936799</v>
      </c>
    </row>
    <row r="1745" spans="1:16" x14ac:dyDescent="0.25">
      <c r="A1745" s="10">
        <v>40177</v>
      </c>
      <c r="B1745">
        <v>482.88288855996518</v>
      </c>
      <c r="C1745">
        <v>351.40699999999998</v>
      </c>
      <c r="D1745">
        <v>0</v>
      </c>
      <c r="E1745">
        <v>0</v>
      </c>
      <c r="F1745">
        <v>0</v>
      </c>
      <c r="G1745">
        <v>-132.50078963089999</v>
      </c>
      <c r="H1745">
        <v>-414.61399999999958</v>
      </c>
      <c r="I1745">
        <v>0</v>
      </c>
      <c r="J1745">
        <v>0</v>
      </c>
      <c r="K1745">
        <v>3.089</v>
      </c>
      <c r="L1745">
        <v>698.5</v>
      </c>
      <c r="M1745">
        <v>0</v>
      </c>
      <c r="N1745">
        <v>0</v>
      </c>
      <c r="O1745">
        <v>-22.998321809135199</v>
      </c>
      <c r="P1745">
        <v>123362.11225655</v>
      </c>
    </row>
    <row r="1746" spans="1:16" x14ac:dyDescent="0.25">
      <c r="A1746" s="10">
        <v>40178</v>
      </c>
      <c r="B1746">
        <v>-1011.941851140015</v>
      </c>
      <c r="C1746">
        <v>129.17400000000001</v>
      </c>
      <c r="D1746">
        <v>0</v>
      </c>
      <c r="E1746">
        <v>0</v>
      </c>
      <c r="F1746">
        <v>0</v>
      </c>
      <c r="G1746">
        <v>-267.41500000000008</v>
      </c>
      <c r="H1746">
        <v>-830.23299999999836</v>
      </c>
      <c r="I1746">
        <v>0</v>
      </c>
      <c r="J1746">
        <v>0</v>
      </c>
      <c r="K1746">
        <v>0.56299999999999994</v>
      </c>
      <c r="L1746">
        <v>0</v>
      </c>
      <c r="M1746">
        <v>0</v>
      </c>
      <c r="N1746">
        <v>0</v>
      </c>
      <c r="O1746">
        <v>-44.030851140016132</v>
      </c>
      <c r="P1746">
        <v>122350.17040541</v>
      </c>
    </row>
    <row r="1747" spans="1:16" x14ac:dyDescent="0.25">
      <c r="A1747" s="10">
        <v>40182</v>
      </c>
      <c r="B1747">
        <v>1466.2812881000141</v>
      </c>
      <c r="C1747">
        <v>443.565</v>
      </c>
      <c r="D1747">
        <v>0</v>
      </c>
      <c r="E1747">
        <v>0</v>
      </c>
      <c r="F1747">
        <v>0</v>
      </c>
      <c r="G1747">
        <v>-14.49630099999999</v>
      </c>
      <c r="H1747">
        <v>1134.140841999998</v>
      </c>
      <c r="I1747">
        <v>0</v>
      </c>
      <c r="J1747">
        <v>0</v>
      </c>
      <c r="K1747">
        <v>5.0359999999999996</v>
      </c>
      <c r="L1747">
        <v>19.399999999999999</v>
      </c>
      <c r="M1747">
        <v>0</v>
      </c>
      <c r="N1747">
        <v>0</v>
      </c>
      <c r="O1747">
        <v>-121.36425289998429</v>
      </c>
      <c r="P1747">
        <v>123816.45169351</v>
      </c>
    </row>
    <row r="1748" spans="1:16" x14ac:dyDescent="0.25">
      <c r="A1748" s="10">
        <v>40183</v>
      </c>
      <c r="B1748">
        <v>-1510.3683605100091</v>
      </c>
      <c r="C1748">
        <v>208.565</v>
      </c>
      <c r="D1748">
        <v>0</v>
      </c>
      <c r="E1748">
        <v>0</v>
      </c>
      <c r="F1748">
        <v>0</v>
      </c>
      <c r="G1748">
        <v>-5.8889829999999961</v>
      </c>
      <c r="H1748">
        <v>-1736.694788</v>
      </c>
      <c r="I1748">
        <v>0</v>
      </c>
      <c r="J1748">
        <v>0</v>
      </c>
      <c r="K1748">
        <v>2.0190000000000001</v>
      </c>
      <c r="L1748">
        <v>0</v>
      </c>
      <c r="M1748">
        <v>0</v>
      </c>
      <c r="N1748">
        <v>0</v>
      </c>
      <c r="O1748">
        <v>21.631410489990959</v>
      </c>
      <c r="P1748">
        <v>122306.083333</v>
      </c>
    </row>
    <row r="1749" spans="1:16" x14ac:dyDescent="0.25">
      <c r="A1749" s="10">
        <v>40184</v>
      </c>
      <c r="B1749">
        <v>-117.9498570000152</v>
      </c>
      <c r="C1749">
        <v>98.090711999999996</v>
      </c>
      <c r="D1749">
        <v>0</v>
      </c>
      <c r="E1749">
        <v>0</v>
      </c>
      <c r="F1749">
        <v>0</v>
      </c>
      <c r="G1749">
        <v>-13.14537090000001</v>
      </c>
      <c r="H1749">
        <v>149.77277599999979</v>
      </c>
      <c r="I1749">
        <v>0</v>
      </c>
      <c r="J1749">
        <v>0</v>
      </c>
      <c r="K1749">
        <v>3.6058910000000002</v>
      </c>
      <c r="L1749">
        <v>-358.2</v>
      </c>
      <c r="M1749">
        <v>0</v>
      </c>
      <c r="N1749">
        <v>0</v>
      </c>
      <c r="O1749">
        <v>1.9261348999849759</v>
      </c>
      <c r="P1749">
        <v>122188.133476</v>
      </c>
    </row>
    <row r="1750" spans="1:16" x14ac:dyDescent="0.25">
      <c r="A1750" s="10">
        <v>40185</v>
      </c>
      <c r="B1750">
        <v>-288.93381099999448</v>
      </c>
      <c r="C1750">
        <v>253.53149999999999</v>
      </c>
      <c r="D1750">
        <v>0</v>
      </c>
      <c r="E1750">
        <v>0</v>
      </c>
      <c r="F1750">
        <v>0</v>
      </c>
      <c r="G1750">
        <v>573.19065489999991</v>
      </c>
      <c r="H1750">
        <v>-976.29420400000163</v>
      </c>
      <c r="I1750">
        <v>0</v>
      </c>
      <c r="J1750">
        <v>0</v>
      </c>
      <c r="K1750">
        <v>1.2549999999999999</v>
      </c>
      <c r="L1750">
        <v>0</v>
      </c>
      <c r="M1750">
        <v>0</v>
      </c>
      <c r="N1750">
        <v>0</v>
      </c>
      <c r="O1750">
        <v>-140.61676189999289</v>
      </c>
      <c r="P1750">
        <v>121899.19966499999</v>
      </c>
    </row>
    <row r="1751" spans="1:16" x14ac:dyDescent="0.25">
      <c r="A1751" s="10">
        <v>40186</v>
      </c>
      <c r="B1751">
        <v>-163.60974699998059</v>
      </c>
      <c r="C1751">
        <v>-19.411799999999999</v>
      </c>
      <c r="D1751">
        <v>0</v>
      </c>
      <c r="E1751">
        <v>0</v>
      </c>
      <c r="F1751">
        <v>0</v>
      </c>
      <c r="G1751">
        <v>15.44776999999999</v>
      </c>
      <c r="H1751">
        <v>-128.37505699999929</v>
      </c>
      <c r="I1751">
        <v>0</v>
      </c>
      <c r="J1751">
        <v>0</v>
      </c>
      <c r="K1751">
        <v>1.3129999999999999</v>
      </c>
      <c r="L1751">
        <v>1.7000000000000011</v>
      </c>
      <c r="M1751">
        <v>0</v>
      </c>
      <c r="N1751">
        <v>0</v>
      </c>
      <c r="O1751">
        <v>-34.283659999981232</v>
      </c>
      <c r="P1751">
        <v>121735.589918</v>
      </c>
    </row>
    <row r="1752" spans="1:16" x14ac:dyDescent="0.25">
      <c r="A1752" s="10">
        <v>40189</v>
      </c>
      <c r="B1752">
        <v>-410.32628932001609</v>
      </c>
      <c r="C1752">
        <v>23.532699999999998</v>
      </c>
      <c r="D1752">
        <v>0</v>
      </c>
      <c r="E1752">
        <v>0</v>
      </c>
      <c r="F1752">
        <v>0</v>
      </c>
      <c r="G1752">
        <v>30.429477999999971</v>
      </c>
      <c r="H1752">
        <v>-497.12167899999992</v>
      </c>
      <c r="I1752">
        <v>0</v>
      </c>
      <c r="J1752">
        <v>0</v>
      </c>
      <c r="K1752">
        <v>3.7450000000000001</v>
      </c>
      <c r="L1752">
        <v>6.3999999999999986</v>
      </c>
      <c r="M1752">
        <v>0</v>
      </c>
      <c r="N1752">
        <v>0</v>
      </c>
      <c r="O1752">
        <v>22.688211679983748</v>
      </c>
      <c r="P1752">
        <v>121325.26362868</v>
      </c>
    </row>
    <row r="1753" spans="1:16" x14ac:dyDescent="0.25">
      <c r="A1753" s="10">
        <v>40190</v>
      </c>
      <c r="B1753">
        <v>743.2367713200066</v>
      </c>
      <c r="C1753">
        <v>158.5429</v>
      </c>
      <c r="D1753">
        <v>0</v>
      </c>
      <c r="E1753">
        <v>0</v>
      </c>
      <c r="F1753">
        <v>0</v>
      </c>
      <c r="G1753">
        <v>-34.810858000000003</v>
      </c>
      <c r="H1753">
        <v>663.47910899999988</v>
      </c>
      <c r="I1753">
        <v>0</v>
      </c>
      <c r="J1753">
        <v>0</v>
      </c>
      <c r="K1753">
        <v>2.5579999999999998</v>
      </c>
      <c r="L1753">
        <v>0</v>
      </c>
      <c r="M1753">
        <v>0</v>
      </c>
      <c r="N1753">
        <v>0</v>
      </c>
      <c r="O1753">
        <v>-46.532379679993277</v>
      </c>
      <c r="P1753">
        <v>122068.5004</v>
      </c>
    </row>
    <row r="1754" spans="1:16" x14ac:dyDescent="0.25">
      <c r="A1754" s="10">
        <v>40191</v>
      </c>
      <c r="B1754">
        <v>843.48959600000023</v>
      </c>
      <c r="C1754">
        <v>530.37630000000001</v>
      </c>
      <c r="D1754">
        <v>0</v>
      </c>
      <c r="E1754">
        <v>0</v>
      </c>
      <c r="F1754">
        <v>0</v>
      </c>
      <c r="G1754">
        <v>43.602609999999999</v>
      </c>
      <c r="H1754">
        <v>-544.08098499999869</v>
      </c>
      <c r="I1754">
        <v>0</v>
      </c>
      <c r="J1754">
        <v>0</v>
      </c>
      <c r="K1754">
        <v>2.4790000000000001</v>
      </c>
      <c r="L1754">
        <v>792</v>
      </c>
      <c r="M1754">
        <v>0</v>
      </c>
      <c r="N1754">
        <v>0</v>
      </c>
      <c r="O1754">
        <v>19.112670999998819</v>
      </c>
      <c r="P1754">
        <v>122911.989996</v>
      </c>
    </row>
    <row r="1755" spans="1:16" x14ac:dyDescent="0.25">
      <c r="A1755" s="10">
        <v>40192</v>
      </c>
      <c r="B1755">
        <v>28.487833999985099</v>
      </c>
      <c r="C1755">
        <v>329.11180000000002</v>
      </c>
      <c r="D1755">
        <v>0</v>
      </c>
      <c r="E1755">
        <v>0</v>
      </c>
      <c r="F1755">
        <v>0</v>
      </c>
      <c r="G1755">
        <v>-152.26400000000001</v>
      </c>
      <c r="H1755">
        <v>-140.3900840000006</v>
      </c>
      <c r="I1755">
        <v>0</v>
      </c>
      <c r="J1755">
        <v>0</v>
      </c>
      <c r="K1755">
        <v>2.9460000000000002</v>
      </c>
      <c r="L1755">
        <v>0</v>
      </c>
      <c r="M1755">
        <v>0</v>
      </c>
      <c r="N1755">
        <v>0</v>
      </c>
      <c r="O1755">
        <v>-10.91588200001434</v>
      </c>
      <c r="P1755">
        <v>122940.47783</v>
      </c>
    </row>
    <row r="1756" spans="1:16" x14ac:dyDescent="0.25">
      <c r="A1756" s="10">
        <v>40193</v>
      </c>
      <c r="B1756">
        <v>-1162.4900019999759</v>
      </c>
      <c r="C1756">
        <v>49.7241</v>
      </c>
      <c r="D1756">
        <v>0</v>
      </c>
      <c r="E1756">
        <v>0</v>
      </c>
      <c r="F1756">
        <v>0</v>
      </c>
      <c r="G1756">
        <v>173.847624</v>
      </c>
      <c r="H1756">
        <v>-1403.7419250000021</v>
      </c>
      <c r="I1756">
        <v>0</v>
      </c>
      <c r="J1756">
        <v>0</v>
      </c>
      <c r="K1756">
        <v>3.266</v>
      </c>
      <c r="L1756">
        <v>0</v>
      </c>
      <c r="M1756">
        <v>0</v>
      </c>
      <c r="N1756">
        <v>0</v>
      </c>
      <c r="O1756">
        <v>14.41419900002575</v>
      </c>
      <c r="P1756">
        <v>121777.987828</v>
      </c>
    </row>
    <row r="1757" spans="1:16" x14ac:dyDescent="0.25">
      <c r="A1757" s="10">
        <v>40196</v>
      </c>
      <c r="B1757">
        <v>-985.21920700000112</v>
      </c>
      <c r="C1757">
        <v>-2.6589999999999998</v>
      </c>
      <c r="D1757">
        <v>0</v>
      </c>
      <c r="E1757">
        <v>0</v>
      </c>
      <c r="F1757">
        <v>0</v>
      </c>
      <c r="G1757">
        <v>-44.005875000000003</v>
      </c>
      <c r="H1757">
        <v>-951.71913500000119</v>
      </c>
      <c r="I1757">
        <v>0</v>
      </c>
      <c r="J1757">
        <v>0</v>
      </c>
      <c r="K1757">
        <v>6.2460000000000004</v>
      </c>
      <c r="L1757">
        <v>0</v>
      </c>
      <c r="M1757">
        <v>0</v>
      </c>
      <c r="N1757">
        <v>0</v>
      </c>
      <c r="O1757">
        <v>6.9188030000001621</v>
      </c>
      <c r="P1757">
        <v>120792.768621</v>
      </c>
    </row>
    <row r="1758" spans="1:16" x14ac:dyDescent="0.25">
      <c r="A1758" s="10">
        <v>40197</v>
      </c>
      <c r="B1758">
        <v>-786.73312699999917</v>
      </c>
      <c r="C1758">
        <v>215.61600000000001</v>
      </c>
      <c r="D1758">
        <v>0</v>
      </c>
      <c r="E1758">
        <v>0</v>
      </c>
      <c r="F1758">
        <v>0</v>
      </c>
      <c r="G1758">
        <v>-24.32074900000001</v>
      </c>
      <c r="H1758">
        <v>-964.30379499999981</v>
      </c>
      <c r="I1758">
        <v>0</v>
      </c>
      <c r="J1758">
        <v>0</v>
      </c>
      <c r="K1758">
        <v>2.5430000000000001</v>
      </c>
      <c r="L1758">
        <v>0</v>
      </c>
      <c r="M1758">
        <v>0</v>
      </c>
      <c r="N1758">
        <v>0</v>
      </c>
      <c r="O1758">
        <v>-16.267582999999359</v>
      </c>
      <c r="P1758">
        <v>120006.035494</v>
      </c>
    </row>
    <row r="1759" spans="1:16" x14ac:dyDescent="0.25">
      <c r="A1759" s="10">
        <v>40198</v>
      </c>
      <c r="B1759">
        <v>652.70132199997886</v>
      </c>
      <c r="C1759">
        <v>255.36250000000001</v>
      </c>
      <c r="D1759">
        <v>0</v>
      </c>
      <c r="E1759">
        <v>0</v>
      </c>
      <c r="F1759">
        <v>0</v>
      </c>
      <c r="G1759">
        <v>53.856614000000008</v>
      </c>
      <c r="H1759">
        <v>-237.33878000000001</v>
      </c>
      <c r="I1759">
        <v>0</v>
      </c>
      <c r="J1759">
        <v>0</v>
      </c>
      <c r="K1759">
        <v>3.3490000000000002</v>
      </c>
      <c r="L1759">
        <v>539.9</v>
      </c>
      <c r="M1759">
        <v>0</v>
      </c>
      <c r="N1759">
        <v>0</v>
      </c>
      <c r="O1759">
        <v>37.571987999978887</v>
      </c>
      <c r="P1759">
        <v>120658.736816</v>
      </c>
    </row>
    <row r="1760" spans="1:16" x14ac:dyDescent="0.25">
      <c r="A1760" s="10">
        <v>40199</v>
      </c>
      <c r="B1760">
        <v>614.02256400001374</v>
      </c>
      <c r="C1760">
        <v>255.96316999999999</v>
      </c>
      <c r="D1760">
        <v>0</v>
      </c>
      <c r="E1760">
        <v>0</v>
      </c>
      <c r="F1760">
        <v>0</v>
      </c>
      <c r="G1760">
        <v>95.022058000000001</v>
      </c>
      <c r="H1760">
        <v>252.10917800000061</v>
      </c>
      <c r="I1760">
        <v>0</v>
      </c>
      <c r="J1760">
        <v>0</v>
      </c>
      <c r="K1760">
        <v>3.472</v>
      </c>
      <c r="L1760">
        <v>5.9999999999999991</v>
      </c>
      <c r="M1760">
        <v>0</v>
      </c>
      <c r="N1760">
        <v>0</v>
      </c>
      <c r="O1760">
        <v>1.45615800001317</v>
      </c>
      <c r="P1760">
        <v>121272.75938</v>
      </c>
    </row>
    <row r="1761" spans="1:16" x14ac:dyDescent="0.25">
      <c r="A1761" s="10">
        <v>40200</v>
      </c>
      <c r="B1761">
        <v>373.30868000000117</v>
      </c>
      <c r="C1761">
        <v>81.35672000000001</v>
      </c>
      <c r="D1761">
        <v>0</v>
      </c>
      <c r="E1761">
        <v>1800</v>
      </c>
      <c r="F1761">
        <v>0</v>
      </c>
      <c r="G1761">
        <v>-1816.904918</v>
      </c>
      <c r="H1761">
        <v>352.10323600000078</v>
      </c>
      <c r="I1761">
        <v>0</v>
      </c>
      <c r="J1761">
        <v>0</v>
      </c>
      <c r="K1761">
        <v>3.7879999999999998</v>
      </c>
      <c r="L1761">
        <v>0</v>
      </c>
      <c r="M1761">
        <v>0</v>
      </c>
      <c r="N1761">
        <v>0</v>
      </c>
      <c r="O1761">
        <v>-47.034357999999408</v>
      </c>
      <c r="P1761">
        <v>121646.06806000001</v>
      </c>
    </row>
    <row r="1762" spans="1:16" x14ac:dyDescent="0.25">
      <c r="A1762" s="10">
        <v>40203</v>
      </c>
      <c r="B1762">
        <v>41.45564300000818</v>
      </c>
      <c r="C1762">
        <v>326.88350000000003</v>
      </c>
      <c r="D1762">
        <v>0</v>
      </c>
      <c r="E1762">
        <v>-1800</v>
      </c>
      <c r="F1762">
        <v>0</v>
      </c>
      <c r="G1762">
        <v>1793.650858</v>
      </c>
      <c r="H1762">
        <v>-282.15909199999987</v>
      </c>
      <c r="I1762">
        <v>0</v>
      </c>
      <c r="J1762">
        <v>0</v>
      </c>
      <c r="K1762">
        <v>7.0190000000000001</v>
      </c>
      <c r="L1762">
        <v>18.3</v>
      </c>
      <c r="M1762">
        <v>0</v>
      </c>
      <c r="N1762">
        <v>0</v>
      </c>
      <c r="O1762">
        <v>-22.238622999991829</v>
      </c>
      <c r="P1762">
        <v>121687.523703</v>
      </c>
    </row>
    <row r="1763" spans="1:16" x14ac:dyDescent="0.25">
      <c r="A1763" s="10">
        <v>40204</v>
      </c>
      <c r="B1763">
        <v>-1066.0020470000161</v>
      </c>
      <c r="C1763">
        <v>73.51100000000001</v>
      </c>
      <c r="D1763">
        <v>0</v>
      </c>
      <c r="E1763">
        <v>0</v>
      </c>
      <c r="F1763">
        <v>0</v>
      </c>
      <c r="G1763">
        <v>18.540462999999988</v>
      </c>
      <c r="H1763">
        <v>-1214.8629670000009</v>
      </c>
      <c r="I1763">
        <v>0</v>
      </c>
      <c r="J1763">
        <v>0</v>
      </c>
      <c r="K1763">
        <v>3.08</v>
      </c>
      <c r="L1763">
        <v>0</v>
      </c>
      <c r="M1763">
        <v>0</v>
      </c>
      <c r="N1763">
        <v>0</v>
      </c>
      <c r="O1763">
        <v>53.72945699998477</v>
      </c>
      <c r="P1763">
        <v>120621.521656</v>
      </c>
    </row>
    <row r="1764" spans="1:16" x14ac:dyDescent="0.25">
      <c r="A1764" s="10">
        <v>40205</v>
      </c>
      <c r="B1764">
        <v>7.5955039999966178</v>
      </c>
      <c r="C1764">
        <v>107.82368</v>
      </c>
      <c r="D1764">
        <v>0</v>
      </c>
      <c r="E1764">
        <v>0</v>
      </c>
      <c r="F1764">
        <v>0</v>
      </c>
      <c r="G1764">
        <v>-79.062877999999955</v>
      </c>
      <c r="H1764">
        <v>-498.2352207999993</v>
      </c>
      <c r="I1764">
        <v>0</v>
      </c>
      <c r="J1764">
        <v>0</v>
      </c>
      <c r="K1764">
        <v>3.9940000000000002</v>
      </c>
      <c r="L1764">
        <v>480.3</v>
      </c>
      <c r="M1764">
        <v>0</v>
      </c>
      <c r="N1764">
        <v>0</v>
      </c>
      <c r="O1764">
        <v>-7.2240772000041371</v>
      </c>
      <c r="P1764">
        <v>120629.11715999999</v>
      </c>
    </row>
    <row r="1765" spans="1:16" x14ac:dyDescent="0.25">
      <c r="A1765" s="10">
        <v>40206</v>
      </c>
      <c r="B1765">
        <v>-530.02311699998972</v>
      </c>
      <c r="C1765">
        <v>99.442000000000007</v>
      </c>
      <c r="D1765">
        <v>0</v>
      </c>
      <c r="E1765">
        <v>0</v>
      </c>
      <c r="F1765">
        <v>0</v>
      </c>
      <c r="G1765">
        <v>15.218802999999999</v>
      </c>
      <c r="H1765">
        <v>-646.28896499999973</v>
      </c>
      <c r="I1765">
        <v>0</v>
      </c>
      <c r="J1765">
        <v>0</v>
      </c>
      <c r="K1765">
        <v>2.6070000000000002</v>
      </c>
      <c r="L1765">
        <v>0</v>
      </c>
      <c r="M1765">
        <v>0</v>
      </c>
      <c r="N1765">
        <v>0</v>
      </c>
      <c r="O1765">
        <v>-1.0019549999899939</v>
      </c>
      <c r="P1765">
        <v>120099.094043</v>
      </c>
    </row>
    <row r="1766" spans="1:16" x14ac:dyDescent="0.25">
      <c r="A1766" s="10">
        <v>40207</v>
      </c>
      <c r="B1766">
        <v>1219.098633999994</v>
      </c>
      <c r="C1766">
        <v>13.01</v>
      </c>
      <c r="D1766">
        <v>0</v>
      </c>
      <c r="E1766">
        <v>1800</v>
      </c>
      <c r="F1766">
        <v>0</v>
      </c>
      <c r="G1766">
        <v>-6.5763099999998076</v>
      </c>
      <c r="H1766">
        <v>-611.8759570000002</v>
      </c>
      <c r="I1766">
        <v>0</v>
      </c>
      <c r="J1766">
        <v>0</v>
      </c>
      <c r="K1766">
        <v>4.5220000000000002</v>
      </c>
      <c r="L1766">
        <v>0</v>
      </c>
      <c r="M1766">
        <v>0</v>
      </c>
      <c r="N1766">
        <v>0</v>
      </c>
      <c r="O1766">
        <v>20.018900999993502</v>
      </c>
      <c r="P1766">
        <v>121318.192677</v>
      </c>
    </row>
    <row r="1767" spans="1:16" x14ac:dyDescent="0.25">
      <c r="A1767" s="10">
        <v>40210</v>
      </c>
      <c r="B1767">
        <v>1788.3483160000039</v>
      </c>
      <c r="C1767">
        <v>-3.0720000000000001</v>
      </c>
      <c r="D1767">
        <v>0</v>
      </c>
      <c r="E1767">
        <v>0</v>
      </c>
      <c r="F1767">
        <v>0</v>
      </c>
      <c r="G1767">
        <v>-151.6677930000001</v>
      </c>
      <c r="H1767">
        <v>1920.272746000001</v>
      </c>
      <c r="I1767">
        <v>0</v>
      </c>
      <c r="J1767">
        <v>0</v>
      </c>
      <c r="K1767">
        <v>8.5154519999999998</v>
      </c>
      <c r="L1767">
        <v>0</v>
      </c>
      <c r="M1767">
        <v>0</v>
      </c>
      <c r="N1767">
        <v>0</v>
      </c>
      <c r="O1767">
        <v>14.299911000003339</v>
      </c>
      <c r="P1767">
        <v>123106.540993</v>
      </c>
    </row>
    <row r="1768" spans="1:16" x14ac:dyDescent="0.25">
      <c r="A1768" s="10">
        <v>40211</v>
      </c>
      <c r="B1768">
        <v>-2019.5594700000081</v>
      </c>
      <c r="C1768">
        <v>-1.9159999999999999</v>
      </c>
      <c r="D1768">
        <v>0</v>
      </c>
      <c r="E1768">
        <v>0</v>
      </c>
      <c r="F1768">
        <v>0</v>
      </c>
      <c r="G1768">
        <v>-35.049896999999987</v>
      </c>
      <c r="H1768">
        <v>-1971.4504949999989</v>
      </c>
      <c r="I1768">
        <v>0</v>
      </c>
      <c r="J1768">
        <v>0</v>
      </c>
      <c r="K1768">
        <v>3.6179999999999999</v>
      </c>
      <c r="L1768">
        <v>0</v>
      </c>
      <c r="M1768">
        <v>0</v>
      </c>
      <c r="N1768">
        <v>0</v>
      </c>
      <c r="O1768">
        <v>-14.76107800000864</v>
      </c>
      <c r="P1768">
        <v>121086.98152299999</v>
      </c>
    </row>
    <row r="1769" spans="1:16" x14ac:dyDescent="0.25">
      <c r="A1769" s="10">
        <v>40212</v>
      </c>
      <c r="B1769">
        <v>-322.6718720000066</v>
      </c>
      <c r="C1769">
        <v>272.92099999999999</v>
      </c>
      <c r="D1769">
        <v>0</v>
      </c>
      <c r="E1769">
        <v>0</v>
      </c>
      <c r="F1769">
        <v>0</v>
      </c>
      <c r="G1769">
        <v>81.90100000000001</v>
      </c>
      <c r="H1769">
        <v>-587.01232999999957</v>
      </c>
      <c r="I1769">
        <v>0</v>
      </c>
      <c r="J1769">
        <v>0</v>
      </c>
      <c r="K1769">
        <v>1.902000000000091</v>
      </c>
      <c r="L1769">
        <v>-57.799999999999983</v>
      </c>
      <c r="M1769">
        <v>0</v>
      </c>
      <c r="N1769">
        <v>0</v>
      </c>
      <c r="O1769">
        <v>-34.58354200000722</v>
      </c>
      <c r="P1769">
        <v>120764.309651</v>
      </c>
    </row>
    <row r="1770" spans="1:16" x14ac:dyDescent="0.25">
      <c r="A1770" s="10">
        <v>40213</v>
      </c>
      <c r="B1770">
        <v>-295.91581599997937</v>
      </c>
      <c r="C1770">
        <v>-3.073</v>
      </c>
      <c r="D1770">
        <v>0</v>
      </c>
      <c r="E1770">
        <v>0</v>
      </c>
      <c r="F1770">
        <v>0</v>
      </c>
      <c r="G1770">
        <v>-49.505000000000003</v>
      </c>
      <c r="H1770">
        <v>-251.05938000000239</v>
      </c>
      <c r="I1770">
        <v>0</v>
      </c>
      <c r="J1770">
        <v>0</v>
      </c>
      <c r="K1770">
        <v>4.4850000000000003</v>
      </c>
      <c r="L1770">
        <v>29.6</v>
      </c>
      <c r="M1770">
        <v>0</v>
      </c>
      <c r="N1770">
        <v>0</v>
      </c>
      <c r="O1770">
        <v>-26.363435999976989</v>
      </c>
      <c r="P1770">
        <v>120468.393835</v>
      </c>
    </row>
    <row r="1771" spans="1:16" x14ac:dyDescent="0.25">
      <c r="A1771" s="10">
        <v>40214</v>
      </c>
      <c r="B1771">
        <v>212.98573499999631</v>
      </c>
      <c r="C1771">
        <v>-5.3841999999999999</v>
      </c>
      <c r="D1771">
        <v>0</v>
      </c>
      <c r="E1771">
        <v>0</v>
      </c>
      <c r="F1771">
        <v>0</v>
      </c>
      <c r="G1771">
        <v>96.125227999999993</v>
      </c>
      <c r="H1771">
        <v>139.46703400000109</v>
      </c>
      <c r="I1771">
        <v>0</v>
      </c>
      <c r="J1771">
        <v>0</v>
      </c>
      <c r="K1771">
        <v>4.5640000000000009</v>
      </c>
      <c r="L1771">
        <v>0</v>
      </c>
      <c r="M1771">
        <v>0</v>
      </c>
      <c r="N1771">
        <v>0</v>
      </c>
      <c r="O1771">
        <v>-21.786327000004871</v>
      </c>
      <c r="P1771">
        <v>120681.37957</v>
      </c>
    </row>
    <row r="1772" spans="1:16" x14ac:dyDescent="0.25">
      <c r="A1772" s="10">
        <v>40217</v>
      </c>
      <c r="B1772">
        <v>-96.163413000002706</v>
      </c>
      <c r="C1772">
        <v>-3.45987</v>
      </c>
      <c r="D1772">
        <v>0</v>
      </c>
      <c r="E1772">
        <v>0</v>
      </c>
      <c r="F1772">
        <v>0</v>
      </c>
      <c r="G1772">
        <v>-59.338938000000013</v>
      </c>
      <c r="H1772">
        <v>-42.320705999998609</v>
      </c>
      <c r="I1772">
        <v>0</v>
      </c>
      <c r="J1772">
        <v>0</v>
      </c>
      <c r="K1772">
        <v>6.4985620000000006</v>
      </c>
      <c r="L1772">
        <v>0</v>
      </c>
      <c r="M1772">
        <v>0</v>
      </c>
      <c r="N1772">
        <v>0</v>
      </c>
      <c r="O1772">
        <v>2.4575389999959021</v>
      </c>
      <c r="P1772">
        <v>120585.216157</v>
      </c>
    </row>
    <row r="1773" spans="1:16" x14ac:dyDescent="0.25">
      <c r="A1773" s="10">
        <v>40218</v>
      </c>
      <c r="B1773">
        <v>206.08956599999669</v>
      </c>
      <c r="C1773">
        <v>-3.8420000000000001</v>
      </c>
      <c r="D1773">
        <v>0</v>
      </c>
      <c r="E1773">
        <v>0</v>
      </c>
      <c r="F1773">
        <v>0</v>
      </c>
      <c r="G1773">
        <v>17.64597300000003</v>
      </c>
      <c r="H1773">
        <v>184.7381910000004</v>
      </c>
      <c r="I1773">
        <v>0</v>
      </c>
      <c r="J1773">
        <v>0</v>
      </c>
      <c r="K1773">
        <v>5.6349999999999998</v>
      </c>
      <c r="L1773">
        <v>0</v>
      </c>
      <c r="M1773">
        <v>0</v>
      </c>
      <c r="N1773">
        <v>0</v>
      </c>
      <c r="O1773">
        <v>1.9124019999963029</v>
      </c>
      <c r="P1773">
        <v>120791.305723</v>
      </c>
    </row>
    <row r="1774" spans="1:16" x14ac:dyDescent="0.25">
      <c r="A1774" s="10">
        <v>40219</v>
      </c>
      <c r="B1774">
        <v>1145.5606200000029</v>
      </c>
      <c r="C1774">
        <v>42.691000000000003</v>
      </c>
      <c r="D1774">
        <v>0</v>
      </c>
      <c r="E1774">
        <v>0</v>
      </c>
      <c r="F1774">
        <v>0</v>
      </c>
      <c r="G1774">
        <v>2.319678000000009</v>
      </c>
      <c r="H1774">
        <v>1393.971373999997</v>
      </c>
      <c r="I1774">
        <v>0</v>
      </c>
      <c r="J1774">
        <v>0</v>
      </c>
      <c r="K1774">
        <v>5.85</v>
      </c>
      <c r="L1774">
        <v>-328.40000000000009</v>
      </c>
      <c r="M1774">
        <v>0</v>
      </c>
      <c r="N1774">
        <v>0</v>
      </c>
      <c r="O1774">
        <v>29.128568000006311</v>
      </c>
      <c r="P1774">
        <v>121936.866343</v>
      </c>
    </row>
    <row r="1775" spans="1:16" x14ac:dyDescent="0.25">
      <c r="A1775" s="10">
        <v>40220</v>
      </c>
      <c r="B1775">
        <v>740.8677650000036</v>
      </c>
      <c r="C1775">
        <v>-3.4639999999999991</v>
      </c>
      <c r="D1775">
        <v>0</v>
      </c>
      <c r="E1775">
        <v>0</v>
      </c>
      <c r="F1775">
        <v>0</v>
      </c>
      <c r="G1775">
        <v>-81.758590000000012</v>
      </c>
      <c r="H1775">
        <v>836.07744210000055</v>
      </c>
      <c r="I1775">
        <v>0</v>
      </c>
      <c r="J1775">
        <v>0</v>
      </c>
      <c r="K1775">
        <v>4.96</v>
      </c>
      <c r="L1775">
        <v>0</v>
      </c>
      <c r="M1775">
        <v>0</v>
      </c>
      <c r="N1775">
        <v>0</v>
      </c>
      <c r="O1775">
        <v>-14.94708709999704</v>
      </c>
      <c r="P1775">
        <v>122677.734108</v>
      </c>
    </row>
    <row r="1776" spans="1:16" x14ac:dyDescent="0.25">
      <c r="A1776" s="10">
        <v>40221</v>
      </c>
      <c r="B1776">
        <v>-467.377123000013</v>
      </c>
      <c r="C1776">
        <v>-4.2398000000000016</v>
      </c>
      <c r="D1776">
        <v>0</v>
      </c>
      <c r="E1776">
        <v>0</v>
      </c>
      <c r="F1776">
        <v>0</v>
      </c>
      <c r="G1776">
        <v>69.960143000000002</v>
      </c>
      <c r="H1776">
        <v>-545.85807100000238</v>
      </c>
      <c r="I1776">
        <v>0</v>
      </c>
      <c r="J1776">
        <v>0</v>
      </c>
      <c r="K1776">
        <v>5.0449999999999999</v>
      </c>
      <c r="L1776">
        <v>0.20000000000000109</v>
      </c>
      <c r="M1776">
        <v>0</v>
      </c>
      <c r="N1776">
        <v>0</v>
      </c>
      <c r="O1776">
        <v>7.515604999989387</v>
      </c>
      <c r="P1776">
        <v>122210.35698500001</v>
      </c>
    </row>
    <row r="1777" spans="1:16" x14ac:dyDescent="0.25">
      <c r="A1777" s="10">
        <v>40224</v>
      </c>
      <c r="B1777">
        <v>-379.88376299998981</v>
      </c>
      <c r="C1777">
        <v>-4.2389999999999999</v>
      </c>
      <c r="D1777">
        <v>0</v>
      </c>
      <c r="E1777">
        <v>0</v>
      </c>
      <c r="F1777">
        <v>0</v>
      </c>
      <c r="G1777">
        <v>-35.992846</v>
      </c>
      <c r="H1777">
        <v>-354.40199999999999</v>
      </c>
      <c r="I1777">
        <v>0</v>
      </c>
      <c r="J1777">
        <v>0</v>
      </c>
      <c r="K1777">
        <v>7.1245890000000003</v>
      </c>
      <c r="L1777">
        <v>0</v>
      </c>
      <c r="M1777">
        <v>0</v>
      </c>
      <c r="N1777">
        <v>0</v>
      </c>
      <c r="O1777">
        <v>7.6254940000102351</v>
      </c>
      <c r="P1777">
        <v>121830.473222</v>
      </c>
    </row>
    <row r="1778" spans="1:16" x14ac:dyDescent="0.25">
      <c r="A1778" s="10">
        <v>40225</v>
      </c>
      <c r="B1778">
        <v>-1181.994840000001</v>
      </c>
      <c r="C1778">
        <v>-87.168509999999998</v>
      </c>
      <c r="D1778">
        <v>0</v>
      </c>
      <c r="E1778">
        <v>0</v>
      </c>
      <c r="F1778">
        <v>0</v>
      </c>
      <c r="G1778">
        <v>-47.346648000000023</v>
      </c>
      <c r="H1778">
        <v>-1072.555286000003</v>
      </c>
      <c r="I1778">
        <v>0</v>
      </c>
      <c r="J1778">
        <v>0</v>
      </c>
      <c r="K1778">
        <v>4.5259999999999998</v>
      </c>
      <c r="L1778">
        <v>0</v>
      </c>
      <c r="M1778">
        <v>0</v>
      </c>
      <c r="N1778">
        <v>0</v>
      </c>
      <c r="O1778">
        <v>20.54960400000164</v>
      </c>
      <c r="P1778">
        <v>120648.478382</v>
      </c>
    </row>
    <row r="1779" spans="1:16" x14ac:dyDescent="0.25">
      <c r="A1779" s="10">
        <v>40226</v>
      </c>
      <c r="B1779">
        <v>-2029.629295999998</v>
      </c>
      <c r="C1779">
        <v>-62.841000000000001</v>
      </c>
      <c r="D1779">
        <v>0</v>
      </c>
      <c r="E1779">
        <v>0</v>
      </c>
      <c r="F1779">
        <v>0</v>
      </c>
      <c r="G1779">
        <v>43.832999999999998</v>
      </c>
      <c r="H1779">
        <v>-1289.75</v>
      </c>
      <c r="I1779">
        <v>0</v>
      </c>
      <c r="J1779">
        <v>0</v>
      </c>
      <c r="K1779">
        <v>4.0679999999999996</v>
      </c>
      <c r="L1779">
        <v>-765.9</v>
      </c>
      <c r="M1779">
        <v>0</v>
      </c>
      <c r="N1779">
        <v>0</v>
      </c>
      <c r="O1779">
        <v>40.960704000001627</v>
      </c>
      <c r="P1779">
        <v>118618.849086</v>
      </c>
    </row>
    <row r="1780" spans="1:16" x14ac:dyDescent="0.25">
      <c r="A1780" s="10">
        <v>40227</v>
      </c>
      <c r="B1780">
        <v>-771.83102800000006</v>
      </c>
      <c r="C1780">
        <v>-92.977999999999994</v>
      </c>
      <c r="D1780">
        <v>0</v>
      </c>
      <c r="E1780">
        <v>0</v>
      </c>
      <c r="F1780">
        <v>0</v>
      </c>
      <c r="G1780">
        <v>4.9389999999999947</v>
      </c>
      <c r="H1780">
        <v>-666.85621600000013</v>
      </c>
      <c r="I1780">
        <v>0</v>
      </c>
      <c r="J1780">
        <v>0</v>
      </c>
      <c r="K1780">
        <v>4.9567129999999997</v>
      </c>
      <c r="L1780">
        <v>0</v>
      </c>
      <c r="M1780">
        <v>0</v>
      </c>
      <c r="N1780">
        <v>0</v>
      </c>
      <c r="O1780">
        <v>-21.89252500000002</v>
      </c>
      <c r="P1780">
        <v>117847.018058</v>
      </c>
    </row>
    <row r="1781" spans="1:16" x14ac:dyDescent="0.25">
      <c r="A1781" s="10">
        <v>40228</v>
      </c>
      <c r="B1781">
        <v>-1394.8138190000191</v>
      </c>
      <c r="C1781">
        <v>-38.590000000000003</v>
      </c>
      <c r="D1781">
        <v>0</v>
      </c>
      <c r="E1781">
        <v>-1600</v>
      </c>
      <c r="F1781">
        <v>0</v>
      </c>
      <c r="G1781">
        <v>64.841210000000046</v>
      </c>
      <c r="H1781">
        <v>196.7627329999959</v>
      </c>
      <c r="I1781">
        <v>0</v>
      </c>
      <c r="J1781">
        <v>0</v>
      </c>
      <c r="K1781">
        <v>5.7029999999999994</v>
      </c>
      <c r="L1781">
        <v>0</v>
      </c>
      <c r="M1781">
        <v>0</v>
      </c>
      <c r="N1781">
        <v>0</v>
      </c>
      <c r="O1781">
        <v>-23.53076200001469</v>
      </c>
      <c r="P1781">
        <v>116452.204239</v>
      </c>
    </row>
    <row r="1782" spans="1:16" x14ac:dyDescent="0.25">
      <c r="A1782" s="10">
        <v>40231</v>
      </c>
      <c r="B1782">
        <v>-358.99319499998762</v>
      </c>
      <c r="C1782">
        <v>-83.435000000000002</v>
      </c>
      <c r="D1782">
        <v>0</v>
      </c>
      <c r="E1782">
        <v>0</v>
      </c>
      <c r="F1782">
        <v>0</v>
      </c>
      <c r="G1782">
        <v>-56.143388999999999</v>
      </c>
      <c r="H1782">
        <v>-222.25500699999981</v>
      </c>
      <c r="I1782">
        <v>0</v>
      </c>
      <c r="J1782">
        <v>0</v>
      </c>
      <c r="K1782">
        <v>9.1473289999999992</v>
      </c>
      <c r="L1782">
        <v>0</v>
      </c>
      <c r="M1782">
        <v>0</v>
      </c>
      <c r="N1782">
        <v>0</v>
      </c>
      <c r="O1782">
        <v>-6.3071279999878467</v>
      </c>
      <c r="P1782">
        <v>116093.211044</v>
      </c>
    </row>
    <row r="1783" spans="1:16" x14ac:dyDescent="0.25">
      <c r="A1783" s="10">
        <v>40232</v>
      </c>
      <c r="B1783">
        <v>-574.62592299998573</v>
      </c>
      <c r="C1783">
        <v>-390.47699999999998</v>
      </c>
      <c r="D1783">
        <v>0</v>
      </c>
      <c r="E1783">
        <v>0</v>
      </c>
      <c r="F1783">
        <v>0</v>
      </c>
      <c r="G1783">
        <v>-4.3266879999999901</v>
      </c>
      <c r="H1783">
        <v>-139.41129899999939</v>
      </c>
      <c r="I1783">
        <v>0</v>
      </c>
      <c r="J1783">
        <v>0</v>
      </c>
      <c r="K1783">
        <v>4.6459999999999999</v>
      </c>
      <c r="L1783">
        <v>25.8</v>
      </c>
      <c r="M1783">
        <v>0</v>
      </c>
      <c r="N1783">
        <v>0</v>
      </c>
      <c r="O1783">
        <v>-70.856935999986263</v>
      </c>
      <c r="P1783">
        <v>115518.585121</v>
      </c>
    </row>
    <row r="1784" spans="1:16" x14ac:dyDescent="0.25">
      <c r="A1784" s="10">
        <v>40233</v>
      </c>
      <c r="B1784">
        <v>-1020.873816620006</v>
      </c>
      <c r="C1784">
        <v>-35.513000000000012</v>
      </c>
      <c r="D1784">
        <v>0</v>
      </c>
      <c r="E1784">
        <v>0</v>
      </c>
      <c r="F1784">
        <v>0</v>
      </c>
      <c r="G1784">
        <v>-2.0751330000000081</v>
      </c>
      <c r="H1784">
        <v>-799.29837038999904</v>
      </c>
      <c r="I1784">
        <v>0</v>
      </c>
      <c r="J1784">
        <v>0</v>
      </c>
      <c r="K1784">
        <v>4.7</v>
      </c>
      <c r="L1784">
        <v>-199.8</v>
      </c>
      <c r="M1784">
        <v>0</v>
      </c>
      <c r="N1784">
        <v>0</v>
      </c>
      <c r="O1784">
        <v>11.112686769992621</v>
      </c>
      <c r="P1784">
        <v>114497.71130438001</v>
      </c>
    </row>
    <row r="1785" spans="1:16" x14ac:dyDescent="0.25">
      <c r="A1785" s="10">
        <v>40234</v>
      </c>
      <c r="B1785">
        <v>1116.5845487600011</v>
      </c>
      <c r="C1785">
        <v>-423.517</v>
      </c>
      <c r="D1785">
        <v>0</v>
      </c>
      <c r="E1785">
        <v>0</v>
      </c>
      <c r="F1785">
        <v>0</v>
      </c>
      <c r="G1785">
        <v>20.09500000000001</v>
      </c>
      <c r="H1785">
        <v>1485.6489999999981</v>
      </c>
      <c r="I1785">
        <v>0</v>
      </c>
      <c r="J1785">
        <v>0</v>
      </c>
      <c r="K1785">
        <v>5.0750000000000002</v>
      </c>
      <c r="L1785">
        <v>0</v>
      </c>
      <c r="M1785">
        <v>0</v>
      </c>
      <c r="N1785">
        <v>0</v>
      </c>
      <c r="O1785">
        <v>29.282548760003561</v>
      </c>
      <c r="P1785">
        <v>115614.29585314001</v>
      </c>
    </row>
    <row r="1786" spans="1:16" x14ac:dyDescent="0.25">
      <c r="A1786" s="10">
        <v>40235</v>
      </c>
      <c r="B1786">
        <v>845.42916464999007</v>
      </c>
      <c r="C1786">
        <v>35.896999999999998</v>
      </c>
      <c r="D1786">
        <v>0</v>
      </c>
      <c r="E1786">
        <v>1650</v>
      </c>
      <c r="F1786">
        <v>1550</v>
      </c>
      <c r="G1786">
        <v>-1604.5350330000001</v>
      </c>
      <c r="H1786">
        <v>-800.33262099999411</v>
      </c>
      <c r="I1786">
        <v>0</v>
      </c>
      <c r="J1786">
        <v>0</v>
      </c>
      <c r="K1786">
        <v>5.4529999999999994</v>
      </c>
      <c r="L1786">
        <v>0</v>
      </c>
      <c r="M1786">
        <v>0</v>
      </c>
      <c r="N1786">
        <v>0</v>
      </c>
      <c r="O1786">
        <v>8.9468186499844027</v>
      </c>
      <c r="P1786">
        <v>116459.72501779</v>
      </c>
    </row>
    <row r="1787" spans="1:16" x14ac:dyDescent="0.25">
      <c r="A1787" s="10">
        <v>40238</v>
      </c>
      <c r="B1787">
        <v>4186.369548210002</v>
      </c>
      <c r="C1787">
        <v>-3.0880000000000001</v>
      </c>
      <c r="D1787">
        <v>0</v>
      </c>
      <c r="E1787">
        <v>0</v>
      </c>
      <c r="F1787">
        <v>0</v>
      </c>
      <c r="G1787">
        <v>-79.874966999999742</v>
      </c>
      <c r="H1787">
        <v>4238.6673620000001</v>
      </c>
      <c r="I1787">
        <v>0</v>
      </c>
      <c r="J1787">
        <v>0</v>
      </c>
      <c r="K1787">
        <v>13.451000000000001</v>
      </c>
      <c r="L1787">
        <v>4.3000000000000043</v>
      </c>
      <c r="M1787">
        <v>0</v>
      </c>
      <c r="N1787">
        <v>0</v>
      </c>
      <c r="O1787">
        <v>12.9141532100015</v>
      </c>
      <c r="P1787">
        <v>120646.094566</v>
      </c>
    </row>
    <row r="1788" spans="1:16" x14ac:dyDescent="0.25">
      <c r="A1788" s="10">
        <v>40239</v>
      </c>
      <c r="B1788">
        <v>1559.7960969999981</v>
      </c>
      <c r="C1788">
        <v>-3.0859999999999999</v>
      </c>
      <c r="D1788">
        <v>0</v>
      </c>
      <c r="E1788">
        <v>0</v>
      </c>
      <c r="F1788">
        <v>0</v>
      </c>
      <c r="G1788">
        <v>-4.5368519999999961</v>
      </c>
      <c r="H1788">
        <v>1596.1596299999981</v>
      </c>
      <c r="I1788">
        <v>0</v>
      </c>
      <c r="J1788">
        <v>0</v>
      </c>
      <c r="K1788">
        <v>4.0819999999999999</v>
      </c>
      <c r="L1788">
        <v>0</v>
      </c>
      <c r="M1788">
        <v>0</v>
      </c>
      <c r="N1788">
        <v>0</v>
      </c>
      <c r="O1788">
        <v>-32.822681000000188</v>
      </c>
      <c r="P1788">
        <v>122205.890663</v>
      </c>
    </row>
    <row r="1789" spans="1:16" x14ac:dyDescent="0.25">
      <c r="A1789" s="10">
        <v>40240</v>
      </c>
      <c r="B1789">
        <v>1079.806316000002</v>
      </c>
      <c r="C1789">
        <v>-2.3130000000000002</v>
      </c>
      <c r="D1789">
        <v>0</v>
      </c>
      <c r="E1789">
        <v>0</v>
      </c>
      <c r="F1789">
        <v>0</v>
      </c>
      <c r="G1789">
        <v>-13.245290000000001</v>
      </c>
      <c r="H1789">
        <v>1930.7082499999999</v>
      </c>
      <c r="I1789">
        <v>0</v>
      </c>
      <c r="J1789">
        <v>0</v>
      </c>
      <c r="K1789">
        <v>3.4079999999999999</v>
      </c>
      <c r="L1789">
        <v>-823.5</v>
      </c>
      <c r="M1789">
        <v>0</v>
      </c>
      <c r="N1789">
        <v>0</v>
      </c>
      <c r="O1789">
        <v>-15.25164399999726</v>
      </c>
      <c r="P1789">
        <v>123285.696979</v>
      </c>
    </row>
    <row r="1790" spans="1:16" x14ac:dyDescent="0.25">
      <c r="A1790" s="10">
        <v>40241</v>
      </c>
      <c r="B1790">
        <v>-579.0577450000128</v>
      </c>
      <c r="C1790">
        <v>84.054999999999993</v>
      </c>
      <c r="D1790">
        <v>0</v>
      </c>
      <c r="E1790">
        <v>0</v>
      </c>
      <c r="F1790">
        <v>0</v>
      </c>
      <c r="G1790">
        <v>2.0915219999999981</v>
      </c>
      <c r="H1790">
        <v>-582.32521500000075</v>
      </c>
      <c r="I1790">
        <v>0</v>
      </c>
      <c r="J1790">
        <v>0</v>
      </c>
      <c r="K1790">
        <v>3.089</v>
      </c>
      <c r="L1790">
        <v>0</v>
      </c>
      <c r="M1790">
        <v>0</v>
      </c>
      <c r="N1790">
        <v>0</v>
      </c>
      <c r="O1790">
        <v>-85.968052000012023</v>
      </c>
      <c r="P1790">
        <v>122706.639234</v>
      </c>
    </row>
    <row r="1791" spans="1:16" x14ac:dyDescent="0.25">
      <c r="A1791" s="10">
        <v>40242</v>
      </c>
      <c r="B1791">
        <v>-1578.0960589999879</v>
      </c>
      <c r="C1791">
        <v>138.465</v>
      </c>
      <c r="D1791">
        <v>0</v>
      </c>
      <c r="E1791">
        <v>-1500</v>
      </c>
      <c r="F1791">
        <v>0</v>
      </c>
      <c r="G1791">
        <v>-4.5393800000000271</v>
      </c>
      <c r="H1791">
        <v>-200.07040400000369</v>
      </c>
      <c r="I1791">
        <v>0</v>
      </c>
      <c r="J1791">
        <v>0</v>
      </c>
      <c r="K1791">
        <v>3.8980000000000001</v>
      </c>
      <c r="L1791">
        <v>0</v>
      </c>
      <c r="M1791">
        <v>0</v>
      </c>
      <c r="N1791">
        <v>0</v>
      </c>
      <c r="O1791">
        <v>-15.84927499998412</v>
      </c>
      <c r="P1791">
        <v>121128.543175</v>
      </c>
    </row>
    <row r="1792" spans="1:16" x14ac:dyDescent="0.25">
      <c r="A1792" s="10">
        <v>40245</v>
      </c>
      <c r="B1792">
        <v>-578.57772000000159</v>
      </c>
      <c r="C1792">
        <v>57.112160000000003</v>
      </c>
      <c r="D1792">
        <v>0</v>
      </c>
      <c r="E1792">
        <v>0</v>
      </c>
      <c r="F1792">
        <v>0</v>
      </c>
      <c r="G1792">
        <v>33.971314999999997</v>
      </c>
      <c r="H1792">
        <v>-770.61129299999993</v>
      </c>
      <c r="I1792">
        <v>0</v>
      </c>
      <c r="J1792">
        <v>0</v>
      </c>
      <c r="K1792">
        <v>4.7610000000000001</v>
      </c>
      <c r="L1792">
        <v>0</v>
      </c>
      <c r="M1792">
        <v>0</v>
      </c>
      <c r="N1792">
        <v>0</v>
      </c>
      <c r="O1792">
        <v>96.189097999998381</v>
      </c>
      <c r="P1792">
        <v>120549.965455</v>
      </c>
    </row>
    <row r="1793" spans="1:16" x14ac:dyDescent="0.25">
      <c r="A1793" s="10">
        <v>40246</v>
      </c>
      <c r="B1793">
        <v>91.021009000003957</v>
      </c>
      <c r="C1793">
        <v>121.2255</v>
      </c>
      <c r="D1793">
        <v>-300</v>
      </c>
      <c r="E1793">
        <v>0</v>
      </c>
      <c r="F1793">
        <v>0</v>
      </c>
      <c r="G1793">
        <v>215.494077</v>
      </c>
      <c r="H1793">
        <v>61.217251000000033</v>
      </c>
      <c r="I1793">
        <v>0</v>
      </c>
      <c r="J1793">
        <v>0</v>
      </c>
      <c r="K1793">
        <v>3.722</v>
      </c>
      <c r="L1793">
        <v>0</v>
      </c>
      <c r="M1793">
        <v>0</v>
      </c>
      <c r="N1793">
        <v>0</v>
      </c>
      <c r="O1793">
        <v>-10.63781899999608</v>
      </c>
      <c r="P1793">
        <v>120640.986464</v>
      </c>
    </row>
    <row r="1794" spans="1:16" x14ac:dyDescent="0.25">
      <c r="A1794" s="10">
        <v>40247</v>
      </c>
      <c r="B1794">
        <v>-231.44348699999699</v>
      </c>
      <c r="C1794">
        <v>66.739199999999997</v>
      </c>
      <c r="D1794">
        <v>0</v>
      </c>
      <c r="E1794">
        <v>0</v>
      </c>
      <c r="F1794">
        <v>0</v>
      </c>
      <c r="G1794">
        <v>69.133617000000015</v>
      </c>
      <c r="H1794">
        <v>-68.9976480000023</v>
      </c>
      <c r="I1794">
        <v>0</v>
      </c>
      <c r="J1794">
        <v>0</v>
      </c>
      <c r="K1794">
        <v>3.028</v>
      </c>
      <c r="L1794">
        <v>-267.5</v>
      </c>
      <c r="M1794">
        <v>0</v>
      </c>
      <c r="N1794">
        <v>0</v>
      </c>
      <c r="O1794">
        <v>-33.846655999994773</v>
      </c>
      <c r="P1794">
        <v>120409.542977</v>
      </c>
    </row>
    <row r="1795" spans="1:16" x14ac:dyDescent="0.25">
      <c r="A1795" s="10">
        <v>40248</v>
      </c>
      <c r="B1795">
        <v>633.14130999999281</v>
      </c>
      <c r="C1795">
        <v>458.05200000000002</v>
      </c>
      <c r="D1795">
        <v>0</v>
      </c>
      <c r="E1795">
        <v>0</v>
      </c>
      <c r="F1795">
        <v>0</v>
      </c>
      <c r="G1795">
        <v>-55.259009000000013</v>
      </c>
      <c r="H1795">
        <v>266.09493099999958</v>
      </c>
      <c r="I1795">
        <v>0</v>
      </c>
      <c r="J1795">
        <v>0</v>
      </c>
      <c r="K1795">
        <v>3.9510000000000001</v>
      </c>
      <c r="L1795">
        <v>0</v>
      </c>
      <c r="M1795">
        <v>0</v>
      </c>
      <c r="N1795">
        <v>0</v>
      </c>
      <c r="O1795">
        <v>-39.697612000006892</v>
      </c>
      <c r="P1795">
        <v>121042.684287</v>
      </c>
    </row>
    <row r="1796" spans="1:16" x14ac:dyDescent="0.25">
      <c r="A1796" s="10">
        <v>40249</v>
      </c>
      <c r="B1796">
        <v>-319.11393261999149</v>
      </c>
      <c r="C1796">
        <v>402.01560000000001</v>
      </c>
      <c r="D1796">
        <v>0</v>
      </c>
      <c r="E1796">
        <v>-150</v>
      </c>
      <c r="F1796">
        <v>0</v>
      </c>
      <c r="G1796">
        <v>47.816822000000059</v>
      </c>
      <c r="H1796">
        <v>-620.31017899999824</v>
      </c>
      <c r="I1796">
        <v>0</v>
      </c>
      <c r="J1796">
        <v>0</v>
      </c>
      <c r="K1796">
        <v>4.2929999999999993</v>
      </c>
      <c r="L1796">
        <v>0</v>
      </c>
      <c r="M1796">
        <v>0</v>
      </c>
      <c r="N1796">
        <v>0</v>
      </c>
      <c r="O1796">
        <v>-2.9291756199933281</v>
      </c>
      <c r="P1796">
        <v>120723.57035438</v>
      </c>
    </row>
    <row r="1797" spans="1:16" x14ac:dyDescent="0.25">
      <c r="A1797" s="10">
        <v>40252</v>
      </c>
      <c r="B1797">
        <v>-765.60752762001266</v>
      </c>
      <c r="C1797">
        <v>83.419899999999998</v>
      </c>
      <c r="D1797">
        <v>0</v>
      </c>
      <c r="E1797">
        <v>0</v>
      </c>
      <c r="F1797">
        <v>0</v>
      </c>
      <c r="G1797">
        <v>-14.656730999999979</v>
      </c>
      <c r="H1797">
        <v>-835.14719400001013</v>
      </c>
      <c r="I1797">
        <v>0</v>
      </c>
      <c r="J1797">
        <v>0</v>
      </c>
      <c r="K1797">
        <v>6.3169999999999993</v>
      </c>
      <c r="L1797">
        <v>0</v>
      </c>
      <c r="M1797">
        <v>0</v>
      </c>
      <c r="N1797">
        <v>0</v>
      </c>
      <c r="O1797">
        <v>-5.5405026200025986</v>
      </c>
      <c r="P1797">
        <v>119957.96282676001</v>
      </c>
    </row>
    <row r="1798" spans="1:16" x14ac:dyDescent="0.25">
      <c r="A1798" s="10">
        <v>40253</v>
      </c>
      <c r="B1798">
        <v>-1141.5774167599891</v>
      </c>
      <c r="C1798">
        <v>173.40360000000001</v>
      </c>
      <c r="D1798">
        <v>0</v>
      </c>
      <c r="E1798">
        <v>0</v>
      </c>
      <c r="F1798">
        <v>0</v>
      </c>
      <c r="G1798">
        <v>-54.02507499999998</v>
      </c>
      <c r="H1798">
        <v>-1236.755277000002</v>
      </c>
      <c r="I1798">
        <v>0</v>
      </c>
      <c r="J1798">
        <v>0</v>
      </c>
      <c r="K1798">
        <v>3.6640000000000001</v>
      </c>
      <c r="L1798">
        <v>0</v>
      </c>
      <c r="M1798">
        <v>0</v>
      </c>
      <c r="N1798">
        <v>0</v>
      </c>
      <c r="O1798">
        <v>-27.864664759986951</v>
      </c>
      <c r="P1798">
        <v>118816.38541</v>
      </c>
    </row>
    <row r="1799" spans="1:16" x14ac:dyDescent="0.25">
      <c r="A1799" s="10">
        <v>40254</v>
      </c>
      <c r="B1799">
        <v>-1654.895302000004</v>
      </c>
      <c r="C1799">
        <v>70.655999999999992</v>
      </c>
      <c r="D1799">
        <v>0</v>
      </c>
      <c r="E1799">
        <v>0</v>
      </c>
      <c r="F1799">
        <v>0</v>
      </c>
      <c r="G1799">
        <v>-17.658545</v>
      </c>
      <c r="H1799">
        <v>-1033.397809999997</v>
      </c>
      <c r="I1799">
        <v>0</v>
      </c>
      <c r="J1799">
        <v>0</v>
      </c>
      <c r="K1799">
        <v>3.2650000000000001</v>
      </c>
      <c r="L1799">
        <v>-736.4</v>
      </c>
      <c r="M1799">
        <v>0</v>
      </c>
      <c r="N1799">
        <v>0</v>
      </c>
      <c r="O1799">
        <v>58.640052999992797</v>
      </c>
      <c r="P1799">
        <v>117161.490108</v>
      </c>
    </row>
    <row r="1800" spans="1:16" x14ac:dyDescent="0.25">
      <c r="A1800" s="10">
        <v>40255</v>
      </c>
      <c r="B1800">
        <v>2122.52756799999</v>
      </c>
      <c r="C1800">
        <v>155.63900000000001</v>
      </c>
      <c r="D1800">
        <v>0</v>
      </c>
      <c r="E1800">
        <v>1650</v>
      </c>
      <c r="F1800">
        <v>0</v>
      </c>
      <c r="G1800">
        <v>30.076734999999999</v>
      </c>
      <c r="H1800">
        <v>317.96963700000009</v>
      </c>
      <c r="I1800">
        <v>0</v>
      </c>
      <c r="J1800">
        <v>0</v>
      </c>
      <c r="K1800">
        <v>4.3609999999999998</v>
      </c>
      <c r="L1800">
        <v>0</v>
      </c>
      <c r="M1800">
        <v>0</v>
      </c>
      <c r="N1800">
        <v>0</v>
      </c>
      <c r="O1800">
        <v>-35.518804000010277</v>
      </c>
      <c r="P1800">
        <v>119284.017676</v>
      </c>
    </row>
    <row r="1801" spans="1:16" x14ac:dyDescent="0.25">
      <c r="A1801" s="10">
        <v>40256</v>
      </c>
      <c r="B1801">
        <v>-868.797566999987</v>
      </c>
      <c r="C1801">
        <v>-3.4779299999999989</v>
      </c>
      <c r="D1801">
        <v>0</v>
      </c>
      <c r="E1801">
        <v>-1500</v>
      </c>
      <c r="F1801">
        <v>0</v>
      </c>
      <c r="G1801">
        <v>78.79179400000001</v>
      </c>
      <c r="H1801">
        <v>565.01416100000279</v>
      </c>
      <c r="I1801">
        <v>0</v>
      </c>
      <c r="J1801">
        <v>0</v>
      </c>
      <c r="K1801">
        <v>4.9560000000000004</v>
      </c>
      <c r="L1801">
        <v>0</v>
      </c>
      <c r="M1801">
        <v>0</v>
      </c>
      <c r="N1801">
        <v>0</v>
      </c>
      <c r="O1801">
        <v>-14.081591999989771</v>
      </c>
      <c r="P1801">
        <v>118415.220109</v>
      </c>
    </row>
    <row r="1802" spans="1:16" x14ac:dyDescent="0.25">
      <c r="A1802" s="10">
        <v>40259</v>
      </c>
      <c r="B1802">
        <v>-1029.768052999993</v>
      </c>
      <c r="C1802">
        <v>-2.3164719999999979</v>
      </c>
      <c r="D1802">
        <v>0</v>
      </c>
      <c r="E1802">
        <v>0</v>
      </c>
      <c r="F1802">
        <v>0</v>
      </c>
      <c r="G1802">
        <v>-1.0250000000012189E-3</v>
      </c>
      <c r="H1802">
        <v>-1001.552000000001</v>
      </c>
      <c r="I1802">
        <v>0</v>
      </c>
      <c r="J1802">
        <v>0</v>
      </c>
      <c r="K1802">
        <v>7.1806300000000007</v>
      </c>
      <c r="L1802">
        <v>0</v>
      </c>
      <c r="M1802">
        <v>0</v>
      </c>
      <c r="N1802">
        <v>0</v>
      </c>
      <c r="O1802">
        <v>-33.079185999991793</v>
      </c>
      <c r="P1802">
        <v>117385.45205599999</v>
      </c>
    </row>
    <row r="1803" spans="1:16" x14ac:dyDescent="0.25">
      <c r="A1803" s="10">
        <v>40260</v>
      </c>
      <c r="B1803">
        <v>804.26664299999595</v>
      </c>
      <c r="C1803">
        <v>113.5795</v>
      </c>
      <c r="D1803">
        <v>0</v>
      </c>
      <c r="E1803">
        <v>0</v>
      </c>
      <c r="F1803">
        <v>0</v>
      </c>
      <c r="G1803">
        <v>-23.520974999999989</v>
      </c>
      <c r="H1803">
        <v>683.39420500000051</v>
      </c>
      <c r="I1803">
        <v>0</v>
      </c>
      <c r="J1803">
        <v>0</v>
      </c>
      <c r="K1803">
        <v>4.4969999999999999</v>
      </c>
      <c r="L1803">
        <v>0</v>
      </c>
      <c r="M1803">
        <v>0</v>
      </c>
      <c r="N1803">
        <v>0</v>
      </c>
      <c r="O1803">
        <v>26.316912999995431</v>
      </c>
      <c r="P1803">
        <v>118189.718699</v>
      </c>
    </row>
    <row r="1804" spans="1:16" x14ac:dyDescent="0.25">
      <c r="A1804" s="10">
        <v>40262</v>
      </c>
      <c r="B1804">
        <v>1386.7381170000001</v>
      </c>
      <c r="C1804">
        <v>144.2012</v>
      </c>
      <c r="D1804">
        <v>0</v>
      </c>
      <c r="E1804">
        <v>0</v>
      </c>
      <c r="F1804">
        <v>0</v>
      </c>
      <c r="G1804">
        <v>-3.6824860000000039</v>
      </c>
      <c r="H1804">
        <v>2019.2727960000011</v>
      </c>
      <c r="I1804">
        <v>0</v>
      </c>
      <c r="J1804">
        <v>0</v>
      </c>
      <c r="K1804">
        <v>8.5569999999999986</v>
      </c>
      <c r="L1804">
        <v>-716.60000000000025</v>
      </c>
      <c r="M1804">
        <v>0</v>
      </c>
      <c r="N1804">
        <v>0</v>
      </c>
      <c r="O1804">
        <v>-65.010393000000477</v>
      </c>
      <c r="P1804">
        <v>119576.45681600001</v>
      </c>
    </row>
    <row r="1805" spans="1:16" x14ac:dyDescent="0.25">
      <c r="A1805" s="10">
        <v>40263</v>
      </c>
      <c r="B1805">
        <v>1424.4886159999869</v>
      </c>
      <c r="C1805">
        <v>86.243840000000006</v>
      </c>
      <c r="D1805">
        <v>0</v>
      </c>
      <c r="E1805">
        <v>1450</v>
      </c>
      <c r="F1805">
        <v>0</v>
      </c>
      <c r="G1805">
        <v>11.264486000000099</v>
      </c>
      <c r="H1805">
        <v>-74.357244999999239</v>
      </c>
      <c r="I1805">
        <v>0</v>
      </c>
      <c r="J1805">
        <v>0</v>
      </c>
      <c r="K1805">
        <v>4.8680000000000003</v>
      </c>
      <c r="L1805">
        <v>0</v>
      </c>
      <c r="M1805">
        <v>0</v>
      </c>
      <c r="N1805">
        <v>0</v>
      </c>
      <c r="O1805">
        <v>-53.530465000013372</v>
      </c>
      <c r="P1805">
        <v>121000.94543199999</v>
      </c>
    </row>
    <row r="1806" spans="1:16" x14ac:dyDescent="0.25">
      <c r="A1806" s="10">
        <v>40266</v>
      </c>
      <c r="B1806">
        <v>-1143.543118999994</v>
      </c>
      <c r="C1806">
        <v>-2.9999999999930083E-4</v>
      </c>
      <c r="D1806">
        <v>-900</v>
      </c>
      <c r="E1806">
        <v>0</v>
      </c>
      <c r="F1806">
        <v>0</v>
      </c>
      <c r="G1806">
        <v>896.77524399999993</v>
      </c>
      <c r="H1806">
        <v>-1179.925946000001</v>
      </c>
      <c r="I1806">
        <v>0</v>
      </c>
      <c r="J1806">
        <v>0</v>
      </c>
      <c r="K1806">
        <v>7.4279999999999999</v>
      </c>
      <c r="L1806">
        <v>0</v>
      </c>
      <c r="M1806">
        <v>0</v>
      </c>
      <c r="N1806">
        <v>0</v>
      </c>
      <c r="O1806">
        <v>32.179883000006839</v>
      </c>
      <c r="P1806">
        <v>119857.402313</v>
      </c>
    </row>
    <row r="1807" spans="1:16" x14ac:dyDescent="0.25">
      <c r="A1807" s="10">
        <v>40267</v>
      </c>
      <c r="B1807">
        <v>754.30191600001376</v>
      </c>
      <c r="C1807">
        <v>-39.526000000000003</v>
      </c>
      <c r="D1807">
        <v>0</v>
      </c>
      <c r="E1807">
        <v>0</v>
      </c>
      <c r="F1807">
        <v>0</v>
      </c>
      <c r="G1807">
        <v>-113.1122560000003</v>
      </c>
      <c r="H1807">
        <v>907.19030999999814</v>
      </c>
      <c r="I1807">
        <v>0</v>
      </c>
      <c r="J1807">
        <v>0</v>
      </c>
      <c r="K1807">
        <v>6.1920000000000002</v>
      </c>
      <c r="L1807">
        <v>0</v>
      </c>
      <c r="M1807">
        <v>0</v>
      </c>
      <c r="N1807">
        <v>0</v>
      </c>
      <c r="O1807">
        <v>-6.4421379999839932</v>
      </c>
      <c r="P1807">
        <v>120611.704229</v>
      </c>
    </row>
    <row r="1808" spans="1:16" x14ac:dyDescent="0.25">
      <c r="A1808" s="10">
        <v>40268</v>
      </c>
      <c r="B1808">
        <v>2000.7876899999819</v>
      </c>
      <c r="C1808">
        <v>-0.3869200000000016</v>
      </c>
      <c r="D1808">
        <v>0</v>
      </c>
      <c r="E1808">
        <v>0</v>
      </c>
      <c r="F1808">
        <v>0</v>
      </c>
      <c r="G1808">
        <v>19.090026999999282</v>
      </c>
      <c r="H1808">
        <v>1873.0840559999999</v>
      </c>
      <c r="I1808">
        <v>0</v>
      </c>
      <c r="J1808">
        <v>0</v>
      </c>
      <c r="K1808">
        <v>2.093</v>
      </c>
      <c r="L1808">
        <v>101.8</v>
      </c>
      <c r="M1808">
        <v>0</v>
      </c>
      <c r="N1808">
        <v>0</v>
      </c>
      <c r="O1808">
        <v>5.1075269999830661</v>
      </c>
      <c r="P1808">
        <v>122612.49191899999</v>
      </c>
    </row>
    <row r="1809" spans="1:16" x14ac:dyDescent="0.25">
      <c r="A1809" s="10">
        <v>40273</v>
      </c>
      <c r="B1809">
        <v>2223.72510500002</v>
      </c>
      <c r="C1809">
        <v>23.64396</v>
      </c>
      <c r="D1809">
        <v>0</v>
      </c>
      <c r="E1809">
        <v>1800</v>
      </c>
      <c r="F1809">
        <v>0</v>
      </c>
      <c r="G1809">
        <v>-1832.8170150000001</v>
      </c>
      <c r="H1809">
        <v>2279.3719870000018</v>
      </c>
      <c r="I1809">
        <v>0</v>
      </c>
      <c r="J1809">
        <v>0</v>
      </c>
      <c r="K1809">
        <v>14.657999999999999</v>
      </c>
      <c r="L1809">
        <v>15.599999999999991</v>
      </c>
      <c r="M1809">
        <v>0</v>
      </c>
      <c r="N1809">
        <v>0</v>
      </c>
      <c r="O1809">
        <v>-76.731826999982147</v>
      </c>
      <c r="P1809">
        <v>124836.217024</v>
      </c>
    </row>
    <row r="1810" spans="1:16" x14ac:dyDescent="0.25">
      <c r="A1810" s="10">
        <v>40274</v>
      </c>
      <c r="B1810">
        <v>-746.91815300001974</v>
      </c>
      <c r="C1810">
        <v>98.904999999999987</v>
      </c>
      <c r="D1810">
        <v>0</v>
      </c>
      <c r="E1810">
        <v>0</v>
      </c>
      <c r="F1810">
        <v>0</v>
      </c>
      <c r="G1810">
        <v>18.552053000000001</v>
      </c>
      <c r="H1810">
        <v>-991.79655900000034</v>
      </c>
      <c r="I1810">
        <v>0</v>
      </c>
      <c r="J1810">
        <v>0</v>
      </c>
      <c r="K1810">
        <v>2.0049999999999999</v>
      </c>
      <c r="L1810">
        <v>3.1</v>
      </c>
      <c r="M1810">
        <v>0</v>
      </c>
      <c r="N1810">
        <v>0</v>
      </c>
      <c r="O1810">
        <v>122.31635299998059</v>
      </c>
      <c r="P1810">
        <v>124089.29887100001</v>
      </c>
    </row>
    <row r="1811" spans="1:16" x14ac:dyDescent="0.25">
      <c r="A1811" s="10">
        <v>40275</v>
      </c>
      <c r="B1811">
        <v>-1873.8283081499831</v>
      </c>
      <c r="C1811">
        <v>-164.767</v>
      </c>
      <c r="D1811">
        <v>0</v>
      </c>
      <c r="E1811">
        <v>0</v>
      </c>
      <c r="F1811">
        <v>0</v>
      </c>
      <c r="G1811">
        <v>-20.03205300000036</v>
      </c>
      <c r="H1811">
        <v>-817.20499999999811</v>
      </c>
      <c r="I1811">
        <v>0</v>
      </c>
      <c r="J1811">
        <v>0</v>
      </c>
      <c r="K1811">
        <v>4.7469999999999999</v>
      </c>
      <c r="L1811">
        <v>-870.1</v>
      </c>
      <c r="M1811">
        <v>0</v>
      </c>
      <c r="N1811">
        <v>0</v>
      </c>
      <c r="O1811">
        <v>-6.471255149984108</v>
      </c>
      <c r="P1811">
        <v>122215.47056284999</v>
      </c>
    </row>
    <row r="1812" spans="1:16" x14ac:dyDescent="0.25">
      <c r="A1812" s="10">
        <v>40276</v>
      </c>
      <c r="B1812">
        <v>-1264.4976057400049</v>
      </c>
      <c r="C1812">
        <v>-1.9378</v>
      </c>
      <c r="D1812">
        <v>0</v>
      </c>
      <c r="E1812">
        <v>0</v>
      </c>
      <c r="F1812">
        <v>0</v>
      </c>
      <c r="G1812">
        <v>-8.9450000000000074</v>
      </c>
      <c r="H1812">
        <v>-1252.827000000003</v>
      </c>
      <c r="I1812">
        <v>0</v>
      </c>
      <c r="J1812">
        <v>0</v>
      </c>
      <c r="K1812">
        <v>1.2729999999999999</v>
      </c>
      <c r="L1812">
        <v>0</v>
      </c>
      <c r="M1812">
        <v>0</v>
      </c>
      <c r="N1812">
        <v>0</v>
      </c>
      <c r="O1812">
        <v>-2.0608057400016149</v>
      </c>
      <c r="P1812">
        <v>120950.97295711</v>
      </c>
    </row>
    <row r="1813" spans="1:16" x14ac:dyDescent="0.25">
      <c r="A1813" s="10">
        <v>40277</v>
      </c>
      <c r="B1813">
        <v>-74.960447110002249</v>
      </c>
      <c r="C1813">
        <v>614.71320000000003</v>
      </c>
      <c r="D1813">
        <v>0</v>
      </c>
      <c r="E1813">
        <v>0</v>
      </c>
      <c r="F1813">
        <v>0</v>
      </c>
      <c r="G1813">
        <v>5.1784279999999967</v>
      </c>
      <c r="H1813">
        <v>-671.4069539999964</v>
      </c>
      <c r="I1813">
        <v>0</v>
      </c>
      <c r="J1813">
        <v>0</v>
      </c>
      <c r="K1813">
        <v>1.2470000000000001</v>
      </c>
      <c r="L1813">
        <v>0</v>
      </c>
      <c r="M1813">
        <v>0</v>
      </c>
      <c r="N1813">
        <v>0</v>
      </c>
      <c r="O1813">
        <v>-24.692121110005932</v>
      </c>
      <c r="P1813">
        <v>120876.01251</v>
      </c>
    </row>
    <row r="1814" spans="1:16" x14ac:dyDescent="0.25">
      <c r="A1814" s="10">
        <v>40280</v>
      </c>
      <c r="B1814">
        <v>715.28288600000064</v>
      </c>
      <c r="C1814">
        <v>711.47635100000002</v>
      </c>
      <c r="D1814">
        <v>0</v>
      </c>
      <c r="E1814">
        <v>0</v>
      </c>
      <c r="F1814">
        <v>0</v>
      </c>
      <c r="G1814">
        <v>-18.88642800000002</v>
      </c>
      <c r="H1814">
        <v>50.313071000000491</v>
      </c>
      <c r="I1814">
        <v>0</v>
      </c>
      <c r="J1814">
        <v>0</v>
      </c>
      <c r="K1814">
        <v>5.5189999999999992</v>
      </c>
      <c r="L1814">
        <v>0</v>
      </c>
      <c r="M1814">
        <v>0</v>
      </c>
      <c r="N1814">
        <v>0</v>
      </c>
      <c r="O1814">
        <v>-33.139107999999851</v>
      </c>
      <c r="P1814">
        <v>121591.295396</v>
      </c>
    </row>
    <row r="1815" spans="1:16" x14ac:dyDescent="0.25">
      <c r="A1815" s="10">
        <v>40281</v>
      </c>
      <c r="B1815">
        <v>471.57238055999869</v>
      </c>
      <c r="C1815">
        <v>421.85</v>
      </c>
      <c r="D1815">
        <v>0</v>
      </c>
      <c r="E1815">
        <v>0</v>
      </c>
      <c r="F1815">
        <v>0</v>
      </c>
      <c r="G1815">
        <v>7.2280000000000086</v>
      </c>
      <c r="H1815">
        <v>25.4669999999951</v>
      </c>
      <c r="I1815">
        <v>0</v>
      </c>
      <c r="J1815">
        <v>0</v>
      </c>
      <c r="K1815">
        <v>3.992999999999999</v>
      </c>
      <c r="L1815">
        <v>0</v>
      </c>
      <c r="M1815">
        <v>0</v>
      </c>
      <c r="N1815">
        <v>0</v>
      </c>
      <c r="O1815">
        <v>13.03438056000363</v>
      </c>
      <c r="P1815">
        <v>122062.86777656</v>
      </c>
    </row>
    <row r="1816" spans="1:16" x14ac:dyDescent="0.25">
      <c r="A1816" s="10">
        <v>40282</v>
      </c>
      <c r="B1816">
        <v>-571.87290755999845</v>
      </c>
      <c r="C1816">
        <v>50.744999999999997</v>
      </c>
      <c r="D1816">
        <v>0</v>
      </c>
      <c r="E1816">
        <v>0</v>
      </c>
      <c r="F1816">
        <v>0</v>
      </c>
      <c r="G1816">
        <v>-90.547000000000011</v>
      </c>
      <c r="H1816">
        <v>70.69917699999678</v>
      </c>
      <c r="I1816">
        <v>0</v>
      </c>
      <c r="J1816">
        <v>0</v>
      </c>
      <c r="K1816">
        <v>4.91</v>
      </c>
      <c r="L1816">
        <v>-639.79999999999995</v>
      </c>
      <c r="M1816">
        <v>0</v>
      </c>
      <c r="N1816">
        <v>0</v>
      </c>
      <c r="O1816">
        <v>32.119915440004732</v>
      </c>
      <c r="P1816">
        <v>121490.994869</v>
      </c>
    </row>
    <row r="1817" spans="1:16" x14ac:dyDescent="0.25">
      <c r="A1817" s="10">
        <v>40283</v>
      </c>
      <c r="B1817">
        <v>-932.13800299998491</v>
      </c>
      <c r="C1817">
        <v>-2.7149999999999999</v>
      </c>
      <c r="D1817">
        <v>0</v>
      </c>
      <c r="E1817">
        <v>0</v>
      </c>
      <c r="F1817">
        <v>0</v>
      </c>
      <c r="G1817">
        <v>80.796000000000049</v>
      </c>
      <c r="H1817">
        <v>-1003.250482999998</v>
      </c>
      <c r="I1817">
        <v>0</v>
      </c>
      <c r="J1817">
        <v>0</v>
      </c>
      <c r="K1817">
        <v>3.8450000000000002</v>
      </c>
      <c r="L1817">
        <v>0</v>
      </c>
      <c r="M1817">
        <v>0</v>
      </c>
      <c r="N1817">
        <v>0</v>
      </c>
      <c r="O1817">
        <v>-10.81351999998699</v>
      </c>
      <c r="P1817">
        <v>120558.856866</v>
      </c>
    </row>
    <row r="1818" spans="1:16" x14ac:dyDescent="0.25">
      <c r="A1818" s="10">
        <v>40284</v>
      </c>
      <c r="B1818">
        <v>-2157.380742000008</v>
      </c>
      <c r="C1818">
        <v>101.9222</v>
      </c>
      <c r="D1818">
        <v>0</v>
      </c>
      <c r="E1818">
        <v>0</v>
      </c>
      <c r="F1818">
        <v>0</v>
      </c>
      <c r="G1818">
        <v>-116.47499999999999</v>
      </c>
      <c r="H1818">
        <v>-2117.2060599999991</v>
      </c>
      <c r="I1818">
        <v>0</v>
      </c>
      <c r="J1818">
        <v>0</v>
      </c>
      <c r="K1818">
        <v>4.2389999999999999</v>
      </c>
      <c r="L1818">
        <v>0</v>
      </c>
      <c r="M1818">
        <v>0</v>
      </c>
      <c r="N1818">
        <v>0</v>
      </c>
      <c r="O1818">
        <v>-29.860882000009681</v>
      </c>
      <c r="P1818">
        <v>118401.47612399999</v>
      </c>
    </row>
    <row r="1819" spans="1:16" x14ac:dyDescent="0.25">
      <c r="A1819" s="10">
        <v>40287</v>
      </c>
      <c r="B1819">
        <v>54.13710099998724</v>
      </c>
      <c r="C1819">
        <v>572.154</v>
      </c>
      <c r="D1819">
        <v>0</v>
      </c>
      <c r="E1819">
        <v>0</v>
      </c>
      <c r="F1819">
        <v>0</v>
      </c>
      <c r="G1819">
        <v>138.24200000000019</v>
      </c>
      <c r="H1819">
        <v>-648.05461400000058</v>
      </c>
      <c r="I1819">
        <v>0</v>
      </c>
      <c r="J1819">
        <v>0</v>
      </c>
      <c r="K1819">
        <v>8.5459999999999994</v>
      </c>
      <c r="L1819">
        <v>0</v>
      </c>
      <c r="M1819">
        <v>0</v>
      </c>
      <c r="N1819">
        <v>0</v>
      </c>
      <c r="O1819">
        <v>-16.750285000012351</v>
      </c>
      <c r="P1819">
        <v>118455.61322499999</v>
      </c>
    </row>
    <row r="1820" spans="1:16" x14ac:dyDescent="0.25">
      <c r="A1820" s="10">
        <v>40288</v>
      </c>
      <c r="B1820">
        <v>712.31974400000888</v>
      </c>
      <c r="C1820">
        <v>471.678</v>
      </c>
      <c r="D1820">
        <v>0</v>
      </c>
      <c r="E1820">
        <v>0</v>
      </c>
      <c r="F1820">
        <v>0</v>
      </c>
      <c r="G1820">
        <v>-15.133652</v>
      </c>
      <c r="H1820">
        <v>239.63870700000189</v>
      </c>
      <c r="I1820">
        <v>0</v>
      </c>
      <c r="J1820">
        <v>0</v>
      </c>
      <c r="K1820">
        <v>4.601</v>
      </c>
      <c r="L1820">
        <v>0</v>
      </c>
      <c r="M1820">
        <v>0</v>
      </c>
      <c r="N1820">
        <v>0</v>
      </c>
      <c r="O1820">
        <v>11.53568900000703</v>
      </c>
      <c r="P1820">
        <v>119167.932969</v>
      </c>
    </row>
    <row r="1821" spans="1:16" x14ac:dyDescent="0.25">
      <c r="A1821" s="10">
        <v>40289</v>
      </c>
      <c r="B1821">
        <v>327.28771000000489</v>
      </c>
      <c r="C1821">
        <v>257.74700000000001</v>
      </c>
      <c r="D1821">
        <v>0</v>
      </c>
      <c r="E1821">
        <v>0</v>
      </c>
      <c r="F1821">
        <v>0</v>
      </c>
      <c r="G1821">
        <v>21.004027000000001</v>
      </c>
      <c r="H1821">
        <v>134.9849299999951</v>
      </c>
      <c r="I1821">
        <v>0</v>
      </c>
      <c r="J1821">
        <v>0</v>
      </c>
      <c r="K1821">
        <v>5.1210000000000004</v>
      </c>
      <c r="L1821">
        <v>-92.400000000000176</v>
      </c>
      <c r="M1821">
        <v>0</v>
      </c>
      <c r="N1821">
        <v>0</v>
      </c>
      <c r="O1821">
        <v>0.8307530000100769</v>
      </c>
      <c r="P1821">
        <v>119495.22067900001</v>
      </c>
    </row>
    <row r="1822" spans="1:16" x14ac:dyDescent="0.25">
      <c r="A1822" s="10">
        <v>40290</v>
      </c>
      <c r="B1822">
        <v>131.28207899998171</v>
      </c>
      <c r="C1822">
        <v>244.49662599999999</v>
      </c>
      <c r="D1822">
        <v>0</v>
      </c>
      <c r="E1822">
        <v>0</v>
      </c>
      <c r="F1822">
        <v>0</v>
      </c>
      <c r="G1822">
        <v>11.02169200000003</v>
      </c>
      <c r="H1822">
        <v>-119.7217380000002</v>
      </c>
      <c r="I1822">
        <v>0</v>
      </c>
      <c r="J1822">
        <v>0</v>
      </c>
      <c r="K1822">
        <v>4.3959999999999999</v>
      </c>
      <c r="L1822">
        <v>0</v>
      </c>
      <c r="M1822">
        <v>0</v>
      </c>
      <c r="N1822">
        <v>0</v>
      </c>
      <c r="O1822">
        <v>-8.9105010000181473</v>
      </c>
      <c r="P1822">
        <v>119626.502758</v>
      </c>
    </row>
    <row r="1823" spans="1:16" x14ac:dyDescent="0.25">
      <c r="A1823" s="10">
        <v>40291</v>
      </c>
      <c r="B1823">
        <v>553.63388600001042</v>
      </c>
      <c r="C1823">
        <v>110.261</v>
      </c>
      <c r="D1823">
        <v>0</v>
      </c>
      <c r="E1823">
        <v>-2500</v>
      </c>
      <c r="F1823">
        <v>0</v>
      </c>
      <c r="G1823">
        <v>2494.012933</v>
      </c>
      <c r="H1823">
        <v>456.72101200000537</v>
      </c>
      <c r="I1823">
        <v>0</v>
      </c>
      <c r="J1823">
        <v>0</v>
      </c>
      <c r="K1823">
        <v>3.9</v>
      </c>
      <c r="L1823">
        <v>0</v>
      </c>
      <c r="M1823">
        <v>0</v>
      </c>
      <c r="N1823">
        <v>0</v>
      </c>
      <c r="O1823">
        <v>-11.26105899999488</v>
      </c>
      <c r="P1823">
        <v>120180.136644</v>
      </c>
    </row>
    <row r="1824" spans="1:16" x14ac:dyDescent="0.25">
      <c r="A1824" s="10">
        <v>40294</v>
      </c>
      <c r="B1824">
        <v>-84.052853999994952</v>
      </c>
      <c r="C1824">
        <v>362.18959999999998</v>
      </c>
      <c r="D1824">
        <v>0</v>
      </c>
      <c r="E1824">
        <v>0</v>
      </c>
      <c r="F1824">
        <v>0</v>
      </c>
      <c r="G1824">
        <v>-12.029280999999999</v>
      </c>
      <c r="H1824">
        <v>-401.35573800000202</v>
      </c>
      <c r="I1824">
        <v>0</v>
      </c>
      <c r="J1824">
        <v>0</v>
      </c>
      <c r="K1824">
        <v>7.0220000000000002</v>
      </c>
      <c r="L1824">
        <v>0</v>
      </c>
      <c r="M1824">
        <v>0</v>
      </c>
      <c r="N1824">
        <v>0</v>
      </c>
      <c r="O1824">
        <v>-39.879434999992888</v>
      </c>
      <c r="P1824">
        <v>120096.08379</v>
      </c>
    </row>
    <row r="1825" spans="1:16" x14ac:dyDescent="0.25">
      <c r="A1825" s="10">
        <v>40295</v>
      </c>
      <c r="B1825">
        <v>-2999.1187150000051</v>
      </c>
      <c r="C1825">
        <v>251.75641999999999</v>
      </c>
      <c r="D1825">
        <v>0</v>
      </c>
      <c r="E1825">
        <v>0</v>
      </c>
      <c r="F1825">
        <v>0</v>
      </c>
      <c r="G1825">
        <v>0.52951099999998519</v>
      </c>
      <c r="H1825">
        <v>-3260.4921730000019</v>
      </c>
      <c r="I1825">
        <v>0</v>
      </c>
      <c r="J1825">
        <v>0</v>
      </c>
      <c r="K1825">
        <v>4.7019999999999991</v>
      </c>
      <c r="L1825">
        <v>0</v>
      </c>
      <c r="M1825">
        <v>0</v>
      </c>
      <c r="N1825">
        <v>0</v>
      </c>
      <c r="O1825">
        <v>4.385526999997456</v>
      </c>
      <c r="P1825">
        <v>117096.965075</v>
      </c>
    </row>
    <row r="1826" spans="1:16" x14ac:dyDescent="0.25">
      <c r="A1826" s="10">
        <v>40296</v>
      </c>
      <c r="B1826">
        <v>799.82792199999642</v>
      </c>
      <c r="C1826">
        <v>17.829000000000001</v>
      </c>
      <c r="D1826">
        <v>0</v>
      </c>
      <c r="E1826">
        <v>0</v>
      </c>
      <c r="F1826">
        <v>0</v>
      </c>
      <c r="G1826">
        <v>13.85374299999989</v>
      </c>
      <c r="H1826">
        <v>876.12466299999869</v>
      </c>
      <c r="I1826">
        <v>0</v>
      </c>
      <c r="J1826">
        <v>0</v>
      </c>
      <c r="K1826">
        <v>6.5910000000000002</v>
      </c>
      <c r="L1826">
        <v>-120.3</v>
      </c>
      <c r="M1826">
        <v>0</v>
      </c>
      <c r="N1826">
        <v>0</v>
      </c>
      <c r="O1826">
        <v>5.7295159999978296</v>
      </c>
      <c r="P1826">
        <v>117896.792997</v>
      </c>
    </row>
    <row r="1827" spans="1:16" x14ac:dyDescent="0.25">
      <c r="A1827" s="10">
        <v>40297</v>
      </c>
      <c r="B1827">
        <v>-950.2415889999977</v>
      </c>
      <c r="C1827">
        <v>222.7807</v>
      </c>
      <c r="D1827">
        <v>0</v>
      </c>
      <c r="E1827">
        <v>0</v>
      </c>
      <c r="F1827">
        <v>0</v>
      </c>
      <c r="G1827">
        <v>-12.72597300000001</v>
      </c>
      <c r="H1827">
        <v>-1172.853244000002</v>
      </c>
      <c r="I1827">
        <v>0</v>
      </c>
      <c r="J1827">
        <v>0</v>
      </c>
      <c r="K1827">
        <v>5.7330000000000014</v>
      </c>
      <c r="L1827">
        <v>0</v>
      </c>
      <c r="M1827">
        <v>0</v>
      </c>
      <c r="N1827">
        <v>0</v>
      </c>
      <c r="O1827">
        <v>6.823928000004071</v>
      </c>
      <c r="P1827">
        <v>116946.551408</v>
      </c>
    </row>
    <row r="1828" spans="1:16" x14ac:dyDescent="0.25">
      <c r="A1828" s="10">
        <v>40298</v>
      </c>
      <c r="B1828">
        <v>2531.2700779999859</v>
      </c>
      <c r="C1828">
        <v>146.07499999999999</v>
      </c>
      <c r="D1828">
        <v>0</v>
      </c>
      <c r="E1828">
        <v>2500</v>
      </c>
      <c r="F1828">
        <v>0</v>
      </c>
      <c r="G1828">
        <v>-2695.444266</v>
      </c>
      <c r="H1828">
        <v>2561.8834820000011</v>
      </c>
      <c r="I1828">
        <v>0</v>
      </c>
      <c r="J1828">
        <v>0</v>
      </c>
      <c r="K1828">
        <v>6.1070000000000002</v>
      </c>
      <c r="L1828">
        <v>0</v>
      </c>
      <c r="M1828">
        <v>0</v>
      </c>
      <c r="N1828">
        <v>0</v>
      </c>
      <c r="O1828">
        <v>12.64886199998555</v>
      </c>
      <c r="P1828">
        <v>119477.821486</v>
      </c>
    </row>
    <row r="1829" spans="1:16" x14ac:dyDescent="0.25">
      <c r="A1829" s="10">
        <v>40301</v>
      </c>
      <c r="B1829">
        <v>2510.8805440000151</v>
      </c>
      <c r="C1829">
        <v>409.48622999999998</v>
      </c>
      <c r="D1829">
        <v>0</v>
      </c>
      <c r="E1829">
        <v>0</v>
      </c>
      <c r="F1829">
        <v>0</v>
      </c>
      <c r="G1829">
        <v>20.07062099999996</v>
      </c>
      <c r="H1829">
        <v>2076.548021999999</v>
      </c>
      <c r="I1829">
        <v>0</v>
      </c>
      <c r="J1829">
        <v>0</v>
      </c>
      <c r="K1829">
        <v>8.8279999999999994</v>
      </c>
      <c r="L1829">
        <v>0</v>
      </c>
      <c r="M1829">
        <v>0</v>
      </c>
      <c r="N1829">
        <v>0</v>
      </c>
      <c r="O1829">
        <v>-4.0523289999841836</v>
      </c>
      <c r="P1829">
        <v>121988.70203</v>
      </c>
    </row>
    <row r="1830" spans="1:16" x14ac:dyDescent="0.25">
      <c r="A1830" s="10">
        <v>40302</v>
      </c>
      <c r="B1830">
        <v>2071.590370999998</v>
      </c>
      <c r="C1830">
        <v>242.03399999999999</v>
      </c>
      <c r="D1830">
        <v>0</v>
      </c>
      <c r="E1830">
        <v>0</v>
      </c>
      <c r="F1830">
        <v>0</v>
      </c>
      <c r="G1830">
        <v>-22.298623000000021</v>
      </c>
      <c r="H1830">
        <v>1903.453363000001</v>
      </c>
      <c r="I1830">
        <v>0</v>
      </c>
      <c r="J1830">
        <v>0</v>
      </c>
      <c r="K1830">
        <v>4.5810000000000004</v>
      </c>
      <c r="L1830">
        <v>0</v>
      </c>
      <c r="M1830">
        <v>0</v>
      </c>
      <c r="N1830">
        <v>0</v>
      </c>
      <c r="O1830">
        <v>-56.179369000002318</v>
      </c>
      <c r="P1830">
        <v>124060.292401</v>
      </c>
    </row>
    <row r="1831" spans="1:16" x14ac:dyDescent="0.25">
      <c r="A1831" s="10">
        <v>40303</v>
      </c>
      <c r="B1831">
        <v>92.935642000011939</v>
      </c>
      <c r="C1831">
        <v>-122.4515</v>
      </c>
      <c r="D1831">
        <v>0</v>
      </c>
      <c r="E1831">
        <v>0</v>
      </c>
      <c r="F1831">
        <v>0</v>
      </c>
      <c r="G1831">
        <v>0.67826799999998855</v>
      </c>
      <c r="H1831">
        <v>1108.0661779999989</v>
      </c>
      <c r="I1831">
        <v>0</v>
      </c>
      <c r="J1831">
        <v>0</v>
      </c>
      <c r="K1831">
        <v>4.5510000000000002</v>
      </c>
      <c r="L1831">
        <v>-996.5</v>
      </c>
      <c r="M1831">
        <v>0</v>
      </c>
      <c r="N1831">
        <v>0</v>
      </c>
      <c r="O1831">
        <v>98.591696000012774</v>
      </c>
      <c r="P1831">
        <v>124153.228043</v>
      </c>
    </row>
    <row r="1832" spans="1:16" x14ac:dyDescent="0.25">
      <c r="A1832" s="10">
        <v>40304</v>
      </c>
      <c r="B1832">
        <v>-1134.783758999997</v>
      </c>
      <c r="C1832">
        <v>77.240499999999997</v>
      </c>
      <c r="D1832">
        <v>0</v>
      </c>
      <c r="E1832">
        <v>0</v>
      </c>
      <c r="F1832">
        <v>0</v>
      </c>
      <c r="G1832">
        <v>-8.9404559999999975</v>
      </c>
      <c r="H1832">
        <v>-1214.5333279999979</v>
      </c>
      <c r="I1832">
        <v>0</v>
      </c>
      <c r="J1832">
        <v>0</v>
      </c>
      <c r="K1832">
        <v>3.988</v>
      </c>
      <c r="L1832">
        <v>0</v>
      </c>
      <c r="M1832">
        <v>0</v>
      </c>
      <c r="N1832">
        <v>0</v>
      </c>
      <c r="O1832">
        <v>7.4615250000001199</v>
      </c>
      <c r="P1832">
        <v>123018.444284</v>
      </c>
    </row>
    <row r="1833" spans="1:16" x14ac:dyDescent="0.25">
      <c r="A1833" s="10">
        <v>40305</v>
      </c>
      <c r="B1833">
        <v>1687.8226059099841</v>
      </c>
      <c r="C1833">
        <v>813.178</v>
      </c>
      <c r="D1833">
        <v>0</v>
      </c>
      <c r="E1833">
        <v>-50</v>
      </c>
      <c r="F1833">
        <v>0</v>
      </c>
      <c r="G1833">
        <v>50.765456000000007</v>
      </c>
      <c r="H1833">
        <v>887.45696900000075</v>
      </c>
      <c r="I1833">
        <v>0</v>
      </c>
      <c r="J1833">
        <v>0</v>
      </c>
      <c r="K1833">
        <v>4.2850000000000001</v>
      </c>
      <c r="L1833">
        <v>0</v>
      </c>
      <c r="M1833">
        <v>0</v>
      </c>
      <c r="N1833">
        <v>0</v>
      </c>
      <c r="O1833">
        <v>-17.86281909001714</v>
      </c>
      <c r="P1833">
        <v>124706.26688991</v>
      </c>
    </row>
    <row r="1834" spans="1:16" x14ac:dyDescent="0.25">
      <c r="A1834" s="10">
        <v>40308</v>
      </c>
      <c r="B1834">
        <v>-1109.8562619099971</v>
      </c>
      <c r="C1834">
        <v>833.48204999999996</v>
      </c>
      <c r="D1834">
        <v>0</v>
      </c>
      <c r="E1834">
        <v>0</v>
      </c>
      <c r="F1834">
        <v>0</v>
      </c>
      <c r="G1834">
        <v>9.6596839999999702</v>
      </c>
      <c r="H1834">
        <v>-1979.559342</v>
      </c>
      <c r="I1834">
        <v>0</v>
      </c>
      <c r="J1834">
        <v>0</v>
      </c>
      <c r="K1834">
        <v>5.5230000000000006</v>
      </c>
      <c r="L1834">
        <v>0</v>
      </c>
      <c r="M1834">
        <v>0</v>
      </c>
      <c r="N1834">
        <v>0</v>
      </c>
      <c r="O1834">
        <v>21.038346090003959</v>
      </c>
      <c r="P1834">
        <v>123596.410628</v>
      </c>
    </row>
    <row r="1835" spans="1:16" x14ac:dyDescent="0.25">
      <c r="A1835" s="10">
        <v>40309</v>
      </c>
      <c r="B1835">
        <v>-215.9742839999962</v>
      </c>
      <c r="C1835">
        <v>359.89692000000002</v>
      </c>
      <c r="D1835">
        <v>0</v>
      </c>
      <c r="E1835">
        <v>0</v>
      </c>
      <c r="F1835">
        <v>0</v>
      </c>
      <c r="G1835">
        <v>-11.92320599999999</v>
      </c>
      <c r="H1835">
        <v>-548.03829500000029</v>
      </c>
      <c r="I1835">
        <v>0</v>
      </c>
      <c r="J1835">
        <v>0</v>
      </c>
      <c r="K1835">
        <v>3.589</v>
      </c>
      <c r="L1835">
        <v>0</v>
      </c>
      <c r="M1835">
        <v>0</v>
      </c>
      <c r="N1835">
        <v>0</v>
      </c>
      <c r="O1835">
        <v>-19.498702999995931</v>
      </c>
      <c r="P1835">
        <v>123380.436344</v>
      </c>
    </row>
    <row r="1836" spans="1:16" x14ac:dyDescent="0.25">
      <c r="A1836" s="10">
        <v>40310</v>
      </c>
      <c r="B1836">
        <v>1070.0636230000091</v>
      </c>
      <c r="C1836">
        <v>608.88350000000003</v>
      </c>
      <c r="D1836">
        <v>0</v>
      </c>
      <c r="E1836">
        <v>0</v>
      </c>
      <c r="F1836">
        <v>0</v>
      </c>
      <c r="G1836">
        <v>6.7407349999999999</v>
      </c>
      <c r="H1836">
        <v>551.84119699999974</v>
      </c>
      <c r="I1836">
        <v>0</v>
      </c>
      <c r="J1836">
        <v>0</v>
      </c>
      <c r="K1836">
        <v>3.74899</v>
      </c>
      <c r="L1836">
        <v>-54.999999999999993</v>
      </c>
      <c r="M1836">
        <v>0</v>
      </c>
      <c r="N1836">
        <v>0</v>
      </c>
      <c r="O1836">
        <v>-46.150798999990869</v>
      </c>
      <c r="P1836">
        <v>124450.499967</v>
      </c>
    </row>
    <row r="1837" spans="1:16" x14ac:dyDescent="0.25">
      <c r="A1837" s="10">
        <v>40311</v>
      </c>
      <c r="B1837">
        <v>543.64094499999226</v>
      </c>
      <c r="C1837">
        <v>692.16200000000003</v>
      </c>
      <c r="D1837">
        <v>0</v>
      </c>
      <c r="E1837">
        <v>0</v>
      </c>
      <c r="F1837">
        <v>0</v>
      </c>
      <c r="G1837">
        <v>-26.94264299999999</v>
      </c>
      <c r="H1837">
        <v>-125.2940000000017</v>
      </c>
      <c r="I1837">
        <v>0</v>
      </c>
      <c r="J1837">
        <v>0</v>
      </c>
      <c r="K1837">
        <v>4.141</v>
      </c>
      <c r="L1837">
        <v>0</v>
      </c>
      <c r="M1837">
        <v>0</v>
      </c>
      <c r="N1837">
        <v>0</v>
      </c>
      <c r="O1837">
        <v>-0.42541200000605389</v>
      </c>
      <c r="P1837">
        <v>124994.140912</v>
      </c>
    </row>
    <row r="1838" spans="1:16" x14ac:dyDescent="0.25">
      <c r="A1838" s="10">
        <v>40312</v>
      </c>
      <c r="B1838">
        <v>283.24957800000288</v>
      </c>
      <c r="C1838">
        <v>296.87599999999998</v>
      </c>
      <c r="D1838">
        <v>0</v>
      </c>
      <c r="E1838">
        <v>0</v>
      </c>
      <c r="F1838">
        <v>0</v>
      </c>
      <c r="G1838">
        <v>-6.8290350000000046</v>
      </c>
      <c r="H1838">
        <v>-15.350521000000301</v>
      </c>
      <c r="I1838">
        <v>0</v>
      </c>
      <c r="J1838">
        <v>0</v>
      </c>
      <c r="K1838">
        <v>3.1419999999999999</v>
      </c>
      <c r="L1838">
        <v>0</v>
      </c>
      <c r="M1838">
        <v>0</v>
      </c>
      <c r="N1838">
        <v>0</v>
      </c>
      <c r="O1838">
        <v>5.4111340000031758</v>
      </c>
      <c r="P1838">
        <v>125277.39049000001</v>
      </c>
    </row>
    <row r="1839" spans="1:16" x14ac:dyDescent="0.25">
      <c r="A1839" s="10">
        <v>40315</v>
      </c>
      <c r="B1839">
        <v>-1204.14757500001</v>
      </c>
      <c r="C1839">
        <v>279.12900000000002</v>
      </c>
      <c r="D1839">
        <v>0</v>
      </c>
      <c r="E1839">
        <v>0</v>
      </c>
      <c r="F1839">
        <v>0</v>
      </c>
      <c r="G1839">
        <v>-10.693184</v>
      </c>
      <c r="H1839">
        <v>-1499.435723999999</v>
      </c>
      <c r="I1839">
        <v>0</v>
      </c>
      <c r="J1839">
        <v>0</v>
      </c>
      <c r="K1839">
        <v>7.3230000000000004</v>
      </c>
      <c r="L1839">
        <v>0</v>
      </c>
      <c r="M1839">
        <v>0</v>
      </c>
      <c r="N1839">
        <v>0</v>
      </c>
      <c r="O1839">
        <v>19.529332999988899</v>
      </c>
      <c r="P1839">
        <v>124073.242915</v>
      </c>
    </row>
    <row r="1840" spans="1:16" x14ac:dyDescent="0.25">
      <c r="A1840" s="10">
        <v>40316</v>
      </c>
      <c r="B1840">
        <v>-2260.6737527100058</v>
      </c>
      <c r="C1840">
        <v>137.41533999999999</v>
      </c>
      <c r="D1840">
        <v>0</v>
      </c>
      <c r="E1840">
        <v>0</v>
      </c>
      <c r="F1840">
        <v>0</v>
      </c>
      <c r="G1840">
        <v>-13.155351</v>
      </c>
      <c r="H1840">
        <v>-2422.8090000000011</v>
      </c>
      <c r="I1840">
        <v>0</v>
      </c>
      <c r="J1840">
        <v>0</v>
      </c>
      <c r="K1840">
        <v>4.7369999999999992</v>
      </c>
      <c r="L1840">
        <v>0</v>
      </c>
      <c r="M1840">
        <v>0</v>
      </c>
      <c r="N1840">
        <v>0</v>
      </c>
      <c r="O1840">
        <v>33.138258289994972</v>
      </c>
      <c r="P1840">
        <v>121812.56916229</v>
      </c>
    </row>
    <row r="1841" spans="1:16" x14ac:dyDescent="0.25">
      <c r="A1841" s="10">
        <v>40317</v>
      </c>
      <c r="B1841">
        <v>387.08722471001943</v>
      </c>
      <c r="C1841">
        <v>-116.5635</v>
      </c>
      <c r="D1841">
        <v>0</v>
      </c>
      <c r="E1841">
        <v>0</v>
      </c>
      <c r="F1841">
        <v>0</v>
      </c>
      <c r="G1841">
        <v>52.618491000000013</v>
      </c>
      <c r="H1841">
        <v>1125.035641000002</v>
      </c>
      <c r="I1841">
        <v>0</v>
      </c>
      <c r="J1841">
        <v>0</v>
      </c>
      <c r="K1841">
        <v>5.5720000000000001</v>
      </c>
      <c r="L1841">
        <v>-697.89999999999986</v>
      </c>
      <c r="M1841">
        <v>0</v>
      </c>
      <c r="N1841">
        <v>0</v>
      </c>
      <c r="O1841">
        <v>18.324592710017171</v>
      </c>
      <c r="P1841">
        <v>122199.656387</v>
      </c>
    </row>
    <row r="1842" spans="1:16" x14ac:dyDescent="0.25">
      <c r="A1842" s="10">
        <v>40318</v>
      </c>
      <c r="B1842">
        <v>2199.331663000004</v>
      </c>
      <c r="C1842">
        <v>351.053</v>
      </c>
      <c r="D1842">
        <v>0</v>
      </c>
      <c r="E1842">
        <v>0</v>
      </c>
      <c r="F1842">
        <v>0</v>
      </c>
      <c r="G1842">
        <v>2.0015089999999991</v>
      </c>
      <c r="H1842">
        <v>1848.123349999998</v>
      </c>
      <c r="I1842">
        <v>0</v>
      </c>
      <c r="J1842">
        <v>0</v>
      </c>
      <c r="K1842">
        <v>4.6520000000000001</v>
      </c>
      <c r="L1842">
        <v>0</v>
      </c>
      <c r="M1842">
        <v>0</v>
      </c>
      <c r="N1842">
        <v>0</v>
      </c>
      <c r="O1842">
        <v>-6.4981959999934604</v>
      </c>
      <c r="P1842">
        <v>124398.98805</v>
      </c>
    </row>
    <row r="1843" spans="1:16" x14ac:dyDescent="0.25">
      <c r="A1843" s="10">
        <v>40319</v>
      </c>
      <c r="B1843">
        <v>11.314479999999021</v>
      </c>
      <c r="C1843">
        <v>659.28099999999995</v>
      </c>
      <c r="D1843">
        <v>0</v>
      </c>
      <c r="E1843">
        <v>0</v>
      </c>
      <c r="F1843">
        <v>0</v>
      </c>
      <c r="G1843">
        <v>26.385999999999999</v>
      </c>
      <c r="H1843">
        <v>-651.70007899999837</v>
      </c>
      <c r="I1843">
        <v>0</v>
      </c>
      <c r="J1843">
        <v>0</v>
      </c>
      <c r="K1843">
        <v>4.2229999999999999</v>
      </c>
      <c r="L1843">
        <v>0</v>
      </c>
      <c r="M1843">
        <v>0</v>
      </c>
      <c r="N1843">
        <v>0</v>
      </c>
      <c r="O1843">
        <v>-26.875441000002521</v>
      </c>
      <c r="P1843">
        <v>124410.30253</v>
      </c>
    </row>
    <row r="1844" spans="1:16" x14ac:dyDescent="0.25">
      <c r="A1844" s="10">
        <v>40324</v>
      </c>
      <c r="B1844">
        <v>895.36373299997695</v>
      </c>
      <c r="C1844">
        <v>416.77</v>
      </c>
      <c r="D1844">
        <v>0</v>
      </c>
      <c r="E1844">
        <v>0</v>
      </c>
      <c r="F1844">
        <v>0</v>
      </c>
      <c r="G1844">
        <v>-32.574000000000012</v>
      </c>
      <c r="H1844">
        <v>331.77735399999801</v>
      </c>
      <c r="I1844">
        <v>0</v>
      </c>
      <c r="J1844">
        <v>0</v>
      </c>
      <c r="K1844">
        <v>15.971</v>
      </c>
      <c r="L1844">
        <v>156.1</v>
      </c>
      <c r="M1844">
        <v>0</v>
      </c>
      <c r="N1844">
        <v>0</v>
      </c>
      <c r="O1844">
        <v>7.3193789999789054</v>
      </c>
      <c r="P1844">
        <v>125305.66626300001</v>
      </c>
    </row>
    <row r="1845" spans="1:16" x14ac:dyDescent="0.25">
      <c r="A1845" s="10">
        <v>40325</v>
      </c>
      <c r="B1845">
        <v>-1317.794672999996</v>
      </c>
      <c r="C1845">
        <v>46.936</v>
      </c>
      <c r="D1845">
        <v>0</v>
      </c>
      <c r="E1845">
        <v>0</v>
      </c>
      <c r="F1845">
        <v>0</v>
      </c>
      <c r="G1845">
        <v>-2.7270000000000039</v>
      </c>
      <c r="H1845">
        <v>-1405.9352030000009</v>
      </c>
      <c r="I1845">
        <v>0</v>
      </c>
      <c r="J1845">
        <v>0</v>
      </c>
      <c r="K1845">
        <v>5.9950000000000001</v>
      </c>
      <c r="L1845">
        <v>0</v>
      </c>
      <c r="M1845">
        <v>0</v>
      </c>
      <c r="N1845">
        <v>0</v>
      </c>
      <c r="O1845">
        <v>37.93653000000527</v>
      </c>
      <c r="P1845">
        <v>123987.87159</v>
      </c>
    </row>
    <row r="1846" spans="1:16" x14ac:dyDescent="0.25">
      <c r="A1846" s="10">
        <v>40326</v>
      </c>
      <c r="B1846">
        <v>-1924.0849109999831</v>
      </c>
      <c r="C1846">
        <v>-5.8759999999999986</v>
      </c>
      <c r="D1846">
        <v>0</v>
      </c>
      <c r="E1846">
        <v>0</v>
      </c>
      <c r="F1846">
        <v>0</v>
      </c>
      <c r="G1846">
        <v>16.457000000000011</v>
      </c>
      <c r="H1846">
        <v>-1957.888999999999</v>
      </c>
      <c r="I1846">
        <v>0</v>
      </c>
      <c r="J1846">
        <v>0</v>
      </c>
      <c r="K1846">
        <v>6.7450000000000001</v>
      </c>
      <c r="L1846">
        <v>0</v>
      </c>
      <c r="M1846">
        <v>0</v>
      </c>
      <c r="N1846">
        <v>0</v>
      </c>
      <c r="O1846">
        <v>16.47808900001678</v>
      </c>
      <c r="P1846">
        <v>122063.786679</v>
      </c>
    </row>
    <row r="1847" spans="1:16" x14ac:dyDescent="0.25">
      <c r="A1847" s="10">
        <v>40329</v>
      </c>
      <c r="B1847">
        <v>-462.75088200002062</v>
      </c>
      <c r="C1847">
        <v>-1.57</v>
      </c>
      <c r="D1847">
        <v>0</v>
      </c>
      <c r="E1847">
        <v>0</v>
      </c>
      <c r="F1847">
        <v>0</v>
      </c>
      <c r="G1847">
        <v>-121.983709</v>
      </c>
      <c r="H1847">
        <v>-369.43687599999981</v>
      </c>
      <c r="I1847">
        <v>0</v>
      </c>
      <c r="J1847">
        <v>0</v>
      </c>
      <c r="K1847">
        <v>9.1890000000000001</v>
      </c>
      <c r="L1847">
        <v>0</v>
      </c>
      <c r="M1847">
        <v>0</v>
      </c>
      <c r="N1847">
        <v>0</v>
      </c>
      <c r="O1847">
        <v>21.050702999979169</v>
      </c>
      <c r="P1847">
        <v>121601.035797</v>
      </c>
    </row>
    <row r="1848" spans="1:16" x14ac:dyDescent="0.25">
      <c r="A1848" s="10">
        <v>40330</v>
      </c>
      <c r="B1848">
        <v>5807.9102880000137</v>
      </c>
      <c r="C1848">
        <v>-153.25456</v>
      </c>
      <c r="D1848">
        <v>0</v>
      </c>
      <c r="E1848">
        <v>0</v>
      </c>
      <c r="F1848">
        <v>0</v>
      </c>
      <c r="G1848">
        <v>-34.935291000000007</v>
      </c>
      <c r="H1848">
        <v>6003.0480420000022</v>
      </c>
      <c r="I1848">
        <v>0</v>
      </c>
      <c r="J1848">
        <v>0</v>
      </c>
      <c r="K1848">
        <v>2.847</v>
      </c>
      <c r="L1848">
        <v>0</v>
      </c>
      <c r="M1848">
        <v>0</v>
      </c>
      <c r="N1848">
        <v>0</v>
      </c>
      <c r="O1848">
        <v>-9.794902999987972</v>
      </c>
      <c r="P1848">
        <v>127408.946085</v>
      </c>
    </row>
    <row r="1849" spans="1:16" x14ac:dyDescent="0.25">
      <c r="A1849" s="10">
        <v>40331</v>
      </c>
      <c r="B1849">
        <v>-1012.979950000008</v>
      </c>
      <c r="C1849">
        <v>-248.73099999999999</v>
      </c>
      <c r="D1849">
        <v>0</v>
      </c>
      <c r="E1849">
        <v>0</v>
      </c>
      <c r="F1849">
        <v>0</v>
      </c>
      <c r="G1849">
        <v>15.105999999999989</v>
      </c>
      <c r="H1849">
        <v>-722.5522770000025</v>
      </c>
      <c r="I1849">
        <v>0</v>
      </c>
      <c r="J1849">
        <v>0</v>
      </c>
      <c r="K1849">
        <v>3.597</v>
      </c>
      <c r="L1849">
        <v>-45.7</v>
      </c>
      <c r="M1849">
        <v>0</v>
      </c>
      <c r="N1849">
        <v>0</v>
      </c>
      <c r="O1849">
        <v>-14.6996730000053</v>
      </c>
      <c r="P1849">
        <v>126395.966135</v>
      </c>
    </row>
    <row r="1850" spans="1:16" x14ac:dyDescent="0.25">
      <c r="A1850" s="10">
        <v>40332</v>
      </c>
      <c r="B1850">
        <v>1155.756404000015</v>
      </c>
      <c r="C1850">
        <v>-1.962</v>
      </c>
      <c r="D1850">
        <v>0</v>
      </c>
      <c r="E1850">
        <v>0</v>
      </c>
      <c r="F1850">
        <v>0</v>
      </c>
      <c r="G1850">
        <v>24.15844700000001</v>
      </c>
      <c r="H1850">
        <v>1182.0046800000021</v>
      </c>
      <c r="I1850">
        <v>0</v>
      </c>
      <c r="J1850">
        <v>0</v>
      </c>
      <c r="K1850">
        <v>4.8470000000000004</v>
      </c>
      <c r="L1850">
        <v>-50.900000000000013</v>
      </c>
      <c r="M1850">
        <v>0</v>
      </c>
      <c r="N1850">
        <v>0</v>
      </c>
      <c r="O1850">
        <v>-2.3917229999872229</v>
      </c>
      <c r="P1850">
        <v>127551.72253899999</v>
      </c>
    </row>
    <row r="1851" spans="1:16" x14ac:dyDescent="0.25">
      <c r="A1851" s="10">
        <v>40333</v>
      </c>
      <c r="B1851">
        <v>-92.846996100007914</v>
      </c>
      <c r="C1851">
        <v>307.56299999999999</v>
      </c>
      <c r="D1851">
        <v>0</v>
      </c>
      <c r="E1851">
        <v>-2400</v>
      </c>
      <c r="F1851">
        <v>0</v>
      </c>
      <c r="G1851">
        <v>2403.3854679999999</v>
      </c>
      <c r="H1851">
        <v>-378.16600000000108</v>
      </c>
      <c r="I1851">
        <v>0</v>
      </c>
      <c r="J1851">
        <v>0</v>
      </c>
      <c r="K1851">
        <v>4.6589999999999998</v>
      </c>
      <c r="L1851">
        <v>0</v>
      </c>
      <c r="M1851">
        <v>0</v>
      </c>
      <c r="N1851">
        <v>0</v>
      </c>
      <c r="O1851">
        <v>-30.28846410000688</v>
      </c>
      <c r="P1851">
        <v>127458.8755429</v>
      </c>
    </row>
    <row r="1852" spans="1:16" x14ac:dyDescent="0.25">
      <c r="A1852" s="10">
        <v>40336</v>
      </c>
      <c r="B1852">
        <v>-2212.731168740007</v>
      </c>
      <c r="C1852">
        <v>-319.87099999999998</v>
      </c>
      <c r="D1852">
        <v>0</v>
      </c>
      <c r="E1852">
        <v>0</v>
      </c>
      <c r="F1852">
        <v>0</v>
      </c>
      <c r="G1852">
        <v>-54.795915000000008</v>
      </c>
      <c r="H1852">
        <v>-1843.204868999997</v>
      </c>
      <c r="I1852">
        <v>0</v>
      </c>
      <c r="J1852">
        <v>0</v>
      </c>
      <c r="K1852">
        <v>6.5910000000000002</v>
      </c>
      <c r="L1852">
        <v>0</v>
      </c>
      <c r="M1852">
        <v>0</v>
      </c>
      <c r="N1852">
        <v>0</v>
      </c>
      <c r="O1852">
        <v>-1.4503847400100309</v>
      </c>
      <c r="P1852">
        <v>125246.14437415999</v>
      </c>
    </row>
    <row r="1853" spans="1:16" x14ac:dyDescent="0.25">
      <c r="A1853" s="10">
        <v>40337</v>
      </c>
      <c r="B1853">
        <v>-665.81726316000186</v>
      </c>
      <c r="C1853">
        <v>115.49250000000001</v>
      </c>
      <c r="D1853">
        <v>0</v>
      </c>
      <c r="E1853">
        <v>0</v>
      </c>
      <c r="F1853">
        <v>0</v>
      </c>
      <c r="G1853">
        <v>-16.661999999999988</v>
      </c>
      <c r="H1853">
        <v>-759.22392400000172</v>
      </c>
      <c r="I1853">
        <v>0</v>
      </c>
      <c r="J1853">
        <v>0</v>
      </c>
      <c r="K1853">
        <v>3.673999999999999</v>
      </c>
      <c r="L1853">
        <v>0</v>
      </c>
      <c r="M1853">
        <v>0</v>
      </c>
      <c r="N1853">
        <v>0</v>
      </c>
      <c r="O1853">
        <v>-9.0978391600001949</v>
      </c>
      <c r="P1853">
        <v>124580.32711100001</v>
      </c>
    </row>
    <row r="1854" spans="1:16" x14ac:dyDescent="0.25">
      <c r="A1854" s="10">
        <v>40338</v>
      </c>
      <c r="B1854">
        <v>-58.473180999994483</v>
      </c>
      <c r="C1854">
        <v>534.15639999999996</v>
      </c>
      <c r="D1854">
        <v>0</v>
      </c>
      <c r="E1854">
        <v>0</v>
      </c>
      <c r="F1854">
        <v>0</v>
      </c>
      <c r="G1854">
        <v>56.529999999999987</v>
      </c>
      <c r="H1854">
        <v>-19.339519999997719</v>
      </c>
      <c r="I1854">
        <v>0</v>
      </c>
      <c r="J1854">
        <v>0</v>
      </c>
      <c r="K1854">
        <v>4.2530000000000001</v>
      </c>
      <c r="L1854">
        <v>-628.69999999999993</v>
      </c>
      <c r="M1854">
        <v>0</v>
      </c>
      <c r="N1854">
        <v>0</v>
      </c>
      <c r="O1854">
        <v>-5.3730609999968024</v>
      </c>
      <c r="P1854">
        <v>124521.85393</v>
      </c>
    </row>
    <row r="1855" spans="1:16" x14ac:dyDescent="0.25">
      <c r="A1855" s="10">
        <v>40339</v>
      </c>
      <c r="B1855">
        <v>1269.561579800006</v>
      </c>
      <c r="C1855">
        <v>360.43400000000003</v>
      </c>
      <c r="D1855">
        <v>0</v>
      </c>
      <c r="E1855">
        <v>0</v>
      </c>
      <c r="F1855">
        <v>0</v>
      </c>
      <c r="G1855">
        <v>-32.020000000000003</v>
      </c>
      <c r="H1855">
        <v>1048.595514000001</v>
      </c>
      <c r="I1855">
        <v>0</v>
      </c>
      <c r="J1855">
        <v>0</v>
      </c>
      <c r="K1855">
        <v>3.9849999999999999</v>
      </c>
      <c r="L1855">
        <v>6.8999999999999986</v>
      </c>
      <c r="M1855">
        <v>0</v>
      </c>
      <c r="N1855">
        <v>0</v>
      </c>
      <c r="O1855">
        <v>-118.332934199994</v>
      </c>
      <c r="P1855">
        <v>125791.4155098</v>
      </c>
    </row>
    <row r="1856" spans="1:16" x14ac:dyDescent="0.25">
      <c r="A1856" s="10">
        <v>40340</v>
      </c>
      <c r="B1856">
        <v>-260.63897479999252</v>
      </c>
      <c r="C1856">
        <v>292.233</v>
      </c>
      <c r="D1856">
        <v>0</v>
      </c>
      <c r="E1856">
        <v>2450</v>
      </c>
      <c r="F1856">
        <v>0</v>
      </c>
      <c r="G1856">
        <v>-2427.7280000000001</v>
      </c>
      <c r="H1856">
        <v>-542.03657499999827</v>
      </c>
      <c r="I1856">
        <v>0</v>
      </c>
      <c r="J1856">
        <v>0</v>
      </c>
      <c r="K1856">
        <v>4.0810000000000004</v>
      </c>
      <c r="L1856">
        <v>0</v>
      </c>
      <c r="M1856">
        <v>0</v>
      </c>
      <c r="N1856">
        <v>0</v>
      </c>
      <c r="O1856">
        <v>-37.188399799994393</v>
      </c>
      <c r="P1856">
        <v>125530.776535</v>
      </c>
    </row>
    <row r="1857" spans="1:16" x14ac:dyDescent="0.25">
      <c r="A1857" s="10">
        <v>40343</v>
      </c>
      <c r="B1857">
        <v>401.03523099998779</v>
      </c>
      <c r="C1857">
        <v>-102.06399999999999</v>
      </c>
      <c r="D1857">
        <v>0</v>
      </c>
      <c r="E1857">
        <v>0</v>
      </c>
      <c r="F1857">
        <v>0</v>
      </c>
      <c r="G1857">
        <v>-80.490999999999985</v>
      </c>
      <c r="H1857">
        <v>560.49028899999757</v>
      </c>
      <c r="I1857">
        <v>0</v>
      </c>
      <c r="J1857">
        <v>0</v>
      </c>
      <c r="K1857">
        <v>6.6130000000000004</v>
      </c>
      <c r="L1857">
        <v>0</v>
      </c>
      <c r="M1857">
        <v>0</v>
      </c>
      <c r="N1857">
        <v>0</v>
      </c>
      <c r="O1857">
        <v>16.48694199999014</v>
      </c>
      <c r="P1857">
        <v>125931.811766</v>
      </c>
    </row>
    <row r="1858" spans="1:16" x14ac:dyDescent="0.25">
      <c r="A1858" s="10">
        <v>40344</v>
      </c>
      <c r="B1858">
        <v>532.3166550000019</v>
      </c>
      <c r="C1858">
        <v>476.60849999999999</v>
      </c>
      <c r="D1858">
        <v>0</v>
      </c>
      <c r="E1858">
        <v>0</v>
      </c>
      <c r="F1858">
        <v>0</v>
      </c>
      <c r="G1858">
        <v>-131.70777799999999</v>
      </c>
      <c r="H1858">
        <v>168.10301699999761</v>
      </c>
      <c r="I1858">
        <v>0</v>
      </c>
      <c r="J1858">
        <v>0</v>
      </c>
      <c r="K1858">
        <v>4.5019999999999998</v>
      </c>
      <c r="L1858">
        <v>0</v>
      </c>
      <c r="M1858">
        <v>0</v>
      </c>
      <c r="N1858">
        <v>0</v>
      </c>
      <c r="O1858">
        <v>14.810916000004291</v>
      </c>
      <c r="P1858">
        <v>126464.128421</v>
      </c>
    </row>
    <row r="1859" spans="1:16" x14ac:dyDescent="0.25">
      <c r="A1859" s="10">
        <v>40345</v>
      </c>
      <c r="B1859">
        <v>-103.1618040000026</v>
      </c>
      <c r="C1859">
        <v>945.73</v>
      </c>
      <c r="D1859">
        <v>0</v>
      </c>
      <c r="E1859">
        <v>0</v>
      </c>
      <c r="F1859">
        <v>0</v>
      </c>
      <c r="G1859">
        <v>130.00439499999999</v>
      </c>
      <c r="H1859">
        <v>-312.69115699999747</v>
      </c>
      <c r="I1859">
        <v>0</v>
      </c>
      <c r="J1859">
        <v>0</v>
      </c>
      <c r="K1859">
        <v>4.3099999999999996</v>
      </c>
      <c r="L1859">
        <v>-880.30000000000007</v>
      </c>
      <c r="M1859">
        <v>0</v>
      </c>
      <c r="N1859">
        <v>0</v>
      </c>
      <c r="O1859">
        <v>9.7849579999950507</v>
      </c>
      <c r="P1859">
        <v>126360.966617</v>
      </c>
    </row>
    <row r="1860" spans="1:16" x14ac:dyDescent="0.25">
      <c r="A1860" s="10">
        <v>40346</v>
      </c>
      <c r="B1860">
        <v>469.1570209999926</v>
      </c>
      <c r="C1860">
        <v>954.64616000000001</v>
      </c>
      <c r="D1860">
        <v>0</v>
      </c>
      <c r="E1860">
        <v>0</v>
      </c>
      <c r="F1860">
        <v>0</v>
      </c>
      <c r="G1860">
        <v>25.321383000000001</v>
      </c>
      <c r="H1860">
        <v>-492.63526199999978</v>
      </c>
      <c r="I1860">
        <v>0</v>
      </c>
      <c r="J1860">
        <v>0</v>
      </c>
      <c r="K1860">
        <v>4.7640000000000002</v>
      </c>
      <c r="L1860">
        <v>0</v>
      </c>
      <c r="M1860">
        <v>0</v>
      </c>
      <c r="N1860">
        <v>0</v>
      </c>
      <c r="O1860">
        <v>-22.939260000007589</v>
      </c>
      <c r="P1860">
        <v>126830.123638</v>
      </c>
    </row>
    <row r="1861" spans="1:16" x14ac:dyDescent="0.25">
      <c r="A1861" s="10">
        <v>40347</v>
      </c>
      <c r="B1861">
        <v>-1983.438666</v>
      </c>
      <c r="C1861">
        <v>418.51080000000002</v>
      </c>
      <c r="D1861">
        <v>0</v>
      </c>
      <c r="E1861">
        <v>0</v>
      </c>
      <c r="F1861">
        <v>0</v>
      </c>
      <c r="G1861">
        <v>174.30896300000001</v>
      </c>
      <c r="H1861">
        <v>-2572.2630000000031</v>
      </c>
      <c r="I1861">
        <v>0</v>
      </c>
      <c r="J1861">
        <v>0</v>
      </c>
      <c r="K1861">
        <v>5.6890000000000001</v>
      </c>
      <c r="L1861">
        <v>0</v>
      </c>
      <c r="M1861">
        <v>0</v>
      </c>
      <c r="N1861">
        <v>0</v>
      </c>
      <c r="O1861">
        <v>-9.6844289999975448</v>
      </c>
      <c r="P1861">
        <v>124846.684972</v>
      </c>
    </row>
    <row r="1862" spans="1:16" x14ac:dyDescent="0.25">
      <c r="A1862" s="10">
        <v>40351</v>
      </c>
      <c r="B1862">
        <v>2763.6191770000141</v>
      </c>
      <c r="C1862">
        <v>482.48039999999997</v>
      </c>
      <c r="D1862">
        <v>0</v>
      </c>
      <c r="E1862">
        <v>0</v>
      </c>
      <c r="F1862">
        <v>0</v>
      </c>
      <c r="G1862">
        <v>547.05656699999997</v>
      </c>
      <c r="H1862">
        <v>1753.836971000004</v>
      </c>
      <c r="I1862">
        <v>0</v>
      </c>
      <c r="J1862">
        <v>0</v>
      </c>
      <c r="K1862">
        <v>13.986000000000001</v>
      </c>
      <c r="L1862">
        <v>0</v>
      </c>
      <c r="M1862">
        <v>0</v>
      </c>
      <c r="N1862">
        <v>0</v>
      </c>
      <c r="O1862">
        <v>-33.740760999989831</v>
      </c>
      <c r="P1862">
        <v>127610.304149</v>
      </c>
    </row>
    <row r="1863" spans="1:16" x14ac:dyDescent="0.25">
      <c r="A1863" s="10">
        <v>40352</v>
      </c>
      <c r="B1863">
        <v>1065.538929000001</v>
      </c>
      <c r="C1863">
        <v>-131.22730000000001</v>
      </c>
      <c r="D1863">
        <v>0</v>
      </c>
      <c r="E1863">
        <v>0</v>
      </c>
      <c r="F1863">
        <v>0</v>
      </c>
      <c r="G1863">
        <v>-2.5380069999999928</v>
      </c>
      <c r="H1863">
        <v>1502.353443</v>
      </c>
      <c r="I1863">
        <v>0</v>
      </c>
      <c r="J1863">
        <v>0</v>
      </c>
      <c r="K1863">
        <v>4.0660000000000007</v>
      </c>
      <c r="L1863">
        <v>-289.50000000000011</v>
      </c>
      <c r="M1863">
        <v>0</v>
      </c>
      <c r="N1863">
        <v>0</v>
      </c>
      <c r="O1863">
        <v>-17.615206999998371</v>
      </c>
      <c r="P1863">
        <v>128675.84307800001</v>
      </c>
    </row>
    <row r="1864" spans="1:16" x14ac:dyDescent="0.25">
      <c r="A1864" s="10">
        <v>40353</v>
      </c>
      <c r="B1864">
        <v>1018.471133999993</v>
      </c>
      <c r="C1864">
        <v>181.86070000000001</v>
      </c>
      <c r="D1864">
        <v>0</v>
      </c>
      <c r="E1864">
        <v>0</v>
      </c>
      <c r="F1864">
        <v>0</v>
      </c>
      <c r="G1864">
        <v>-17.082955000000009</v>
      </c>
      <c r="H1864">
        <v>835.54012699999839</v>
      </c>
      <c r="I1864">
        <v>0</v>
      </c>
      <c r="J1864">
        <v>0</v>
      </c>
      <c r="K1864">
        <v>4.38</v>
      </c>
      <c r="L1864">
        <v>0</v>
      </c>
      <c r="M1864">
        <v>0</v>
      </c>
      <c r="N1864">
        <v>0</v>
      </c>
      <c r="O1864">
        <v>13.77326199999454</v>
      </c>
      <c r="P1864">
        <v>129694.314212</v>
      </c>
    </row>
    <row r="1865" spans="1:16" x14ac:dyDescent="0.25">
      <c r="A1865" s="10">
        <v>40354</v>
      </c>
      <c r="B1865">
        <v>-1156.674898999991</v>
      </c>
      <c r="C1865">
        <v>39.325000000000003</v>
      </c>
      <c r="D1865">
        <v>0</v>
      </c>
      <c r="E1865">
        <v>0</v>
      </c>
      <c r="F1865">
        <v>0</v>
      </c>
      <c r="G1865">
        <v>-13.807567999999989</v>
      </c>
      <c r="H1865">
        <v>-1188.973965000001</v>
      </c>
      <c r="I1865">
        <v>0</v>
      </c>
      <c r="J1865">
        <v>0</v>
      </c>
      <c r="K1865">
        <v>5.1449999999999996</v>
      </c>
      <c r="L1865">
        <v>0</v>
      </c>
      <c r="M1865">
        <v>0</v>
      </c>
      <c r="N1865">
        <v>0</v>
      </c>
      <c r="O1865">
        <v>1.6366340000099171</v>
      </c>
      <c r="P1865">
        <v>128537.63931300001</v>
      </c>
    </row>
    <row r="1866" spans="1:16" x14ac:dyDescent="0.25">
      <c r="A1866" s="10">
        <v>40357</v>
      </c>
      <c r="B1866">
        <v>1020.900039000001</v>
      </c>
      <c r="C1866">
        <v>17.688800000000001</v>
      </c>
      <c r="D1866">
        <v>0</v>
      </c>
      <c r="E1866">
        <v>0</v>
      </c>
      <c r="F1866">
        <v>0</v>
      </c>
      <c r="G1866">
        <v>9.3675939999999684</v>
      </c>
      <c r="H1866">
        <v>1009.695785</v>
      </c>
      <c r="I1866">
        <v>0</v>
      </c>
      <c r="J1866">
        <v>0</v>
      </c>
      <c r="K1866">
        <v>6.157</v>
      </c>
      <c r="L1866">
        <v>0</v>
      </c>
      <c r="M1866">
        <v>0</v>
      </c>
      <c r="N1866">
        <v>0</v>
      </c>
      <c r="O1866">
        <v>-22.00913999999894</v>
      </c>
      <c r="P1866">
        <v>129558.53935200001</v>
      </c>
    </row>
    <row r="1867" spans="1:16" x14ac:dyDescent="0.25">
      <c r="A1867" s="10">
        <v>40358</v>
      </c>
      <c r="B1867">
        <v>-875.27240800000425</v>
      </c>
      <c r="C1867">
        <v>-43.667000000000002</v>
      </c>
      <c r="D1867">
        <v>0</v>
      </c>
      <c r="E1867">
        <v>0</v>
      </c>
      <c r="F1867">
        <v>0</v>
      </c>
      <c r="G1867">
        <v>-21.885718000000001</v>
      </c>
      <c r="H1867">
        <v>-785.6077639999985</v>
      </c>
      <c r="I1867">
        <v>0</v>
      </c>
      <c r="J1867">
        <v>0</v>
      </c>
      <c r="K1867">
        <v>4.8289999999999997</v>
      </c>
      <c r="L1867">
        <v>0</v>
      </c>
      <c r="M1867">
        <v>0</v>
      </c>
      <c r="N1867">
        <v>0</v>
      </c>
      <c r="O1867">
        <v>-28.9409260000057</v>
      </c>
      <c r="P1867">
        <v>128683.266944</v>
      </c>
    </row>
    <row r="1868" spans="1:16" x14ac:dyDescent="0.25">
      <c r="A1868" s="10">
        <v>40359</v>
      </c>
      <c r="B1868">
        <v>-1520.6759290000041</v>
      </c>
      <c r="C1868">
        <v>-1.1789999999999989</v>
      </c>
      <c r="D1868">
        <v>0</v>
      </c>
      <c r="E1868">
        <v>0</v>
      </c>
      <c r="F1868">
        <v>0</v>
      </c>
      <c r="G1868">
        <v>-496.27835399999998</v>
      </c>
      <c r="H1868">
        <v>-1104.5419999999981</v>
      </c>
      <c r="I1868">
        <v>0</v>
      </c>
      <c r="J1868">
        <v>0</v>
      </c>
      <c r="K1868">
        <v>4.6188180000071881</v>
      </c>
      <c r="L1868">
        <v>-78.3</v>
      </c>
      <c r="M1868">
        <v>0</v>
      </c>
      <c r="N1868">
        <v>0</v>
      </c>
      <c r="O1868">
        <v>155.00460699998689</v>
      </c>
      <c r="P1868">
        <v>127162.591015</v>
      </c>
    </row>
    <row r="1869" spans="1:16" x14ac:dyDescent="0.25">
      <c r="A1869" s="10">
        <v>40360</v>
      </c>
      <c r="B1869">
        <v>4915.138122999997</v>
      </c>
      <c r="C1869">
        <v>283.71534000000003</v>
      </c>
      <c r="D1869">
        <v>0</v>
      </c>
      <c r="E1869">
        <v>0</v>
      </c>
      <c r="F1869">
        <v>0</v>
      </c>
      <c r="G1869">
        <v>969.11099400000001</v>
      </c>
      <c r="H1869">
        <v>3657.907999999999</v>
      </c>
      <c r="I1869">
        <v>0</v>
      </c>
      <c r="J1869">
        <v>0</v>
      </c>
      <c r="K1869">
        <v>4.4520000000000008</v>
      </c>
      <c r="L1869">
        <v>0</v>
      </c>
      <c r="M1869">
        <v>0</v>
      </c>
      <c r="N1869">
        <v>0</v>
      </c>
      <c r="O1869">
        <v>-4.8211000002083892E-2</v>
      </c>
      <c r="P1869">
        <v>132077.729138</v>
      </c>
    </row>
    <row r="1870" spans="1:16" x14ac:dyDescent="0.25">
      <c r="A1870" s="10">
        <v>40361</v>
      </c>
      <c r="B1870">
        <v>-667.19036275998303</v>
      </c>
      <c r="C1870">
        <v>313.54000000000002</v>
      </c>
      <c r="D1870">
        <v>0</v>
      </c>
      <c r="E1870">
        <v>0</v>
      </c>
      <c r="F1870">
        <v>0</v>
      </c>
      <c r="G1870">
        <v>41.773281999999988</v>
      </c>
      <c r="H1870">
        <v>-1015.190956999999</v>
      </c>
      <c r="I1870">
        <v>0</v>
      </c>
      <c r="J1870">
        <v>0</v>
      </c>
      <c r="K1870">
        <v>3.6110000000000002</v>
      </c>
      <c r="L1870">
        <v>0</v>
      </c>
      <c r="M1870">
        <v>0</v>
      </c>
      <c r="N1870">
        <v>0</v>
      </c>
      <c r="O1870">
        <v>-10.92368775998418</v>
      </c>
      <c r="P1870">
        <v>131410.53877524001</v>
      </c>
    </row>
    <row r="1871" spans="1:16" x14ac:dyDescent="0.25">
      <c r="A1871" s="10">
        <v>40364</v>
      </c>
      <c r="B1871">
        <v>2205.765833759971</v>
      </c>
      <c r="C1871">
        <v>-1.575</v>
      </c>
      <c r="D1871">
        <v>0</v>
      </c>
      <c r="E1871">
        <v>0</v>
      </c>
      <c r="F1871">
        <v>0</v>
      </c>
      <c r="G1871">
        <v>1850.9082020000001</v>
      </c>
      <c r="H1871">
        <v>398.41019500000039</v>
      </c>
      <c r="I1871">
        <v>0</v>
      </c>
      <c r="J1871">
        <v>0</v>
      </c>
      <c r="K1871">
        <v>5.35</v>
      </c>
      <c r="L1871">
        <v>45.9</v>
      </c>
      <c r="M1871">
        <v>0</v>
      </c>
      <c r="N1871">
        <v>0</v>
      </c>
      <c r="O1871">
        <v>-93.227563240029028</v>
      </c>
      <c r="P1871">
        <v>133616.30460900001</v>
      </c>
    </row>
    <row r="1872" spans="1:16" x14ac:dyDescent="0.25">
      <c r="A1872" s="10">
        <v>40365</v>
      </c>
      <c r="B1872">
        <v>657.3463020000197</v>
      </c>
      <c r="C1872">
        <v>497.30250000000001</v>
      </c>
      <c r="D1872">
        <v>0</v>
      </c>
      <c r="E1872">
        <v>0</v>
      </c>
      <c r="F1872">
        <v>0</v>
      </c>
      <c r="G1872">
        <v>57.586999999999989</v>
      </c>
      <c r="H1872">
        <v>30.41220500000054</v>
      </c>
      <c r="I1872">
        <v>0</v>
      </c>
      <c r="J1872">
        <v>0</v>
      </c>
      <c r="K1872">
        <v>2.9929999999999999</v>
      </c>
      <c r="L1872">
        <v>0</v>
      </c>
      <c r="M1872">
        <v>0</v>
      </c>
      <c r="N1872">
        <v>0</v>
      </c>
      <c r="O1872">
        <v>69.051597000019086</v>
      </c>
      <c r="P1872">
        <v>134273.650911</v>
      </c>
    </row>
    <row r="1873" spans="1:16" x14ac:dyDescent="0.25">
      <c r="A1873" s="10">
        <v>40366</v>
      </c>
      <c r="B1873">
        <v>93.221652000008319</v>
      </c>
      <c r="C1873">
        <v>819.82360000000006</v>
      </c>
      <c r="D1873">
        <v>0</v>
      </c>
      <c r="E1873">
        <v>0</v>
      </c>
      <c r="F1873">
        <v>0</v>
      </c>
      <c r="G1873">
        <v>-24.863</v>
      </c>
      <c r="H1873">
        <v>-104.35684400000351</v>
      </c>
      <c r="I1873">
        <v>0</v>
      </c>
      <c r="J1873">
        <v>0</v>
      </c>
      <c r="K1873">
        <v>4.6120000000000001</v>
      </c>
      <c r="L1873">
        <v>-606.19999999999993</v>
      </c>
      <c r="M1873">
        <v>0</v>
      </c>
      <c r="N1873">
        <v>0</v>
      </c>
      <c r="O1873">
        <v>4.2058960000117169</v>
      </c>
      <c r="P1873">
        <v>134366.87256300001</v>
      </c>
    </row>
    <row r="1874" spans="1:16" x14ac:dyDescent="0.25">
      <c r="A1874" s="10">
        <v>40367</v>
      </c>
      <c r="B1874">
        <v>-26.75728100002711</v>
      </c>
      <c r="C1874">
        <v>1001.09317</v>
      </c>
      <c r="D1874">
        <v>0</v>
      </c>
      <c r="E1874">
        <v>0</v>
      </c>
      <c r="F1874">
        <v>0</v>
      </c>
      <c r="G1874">
        <v>25.029</v>
      </c>
      <c r="H1874">
        <v>-1053.7765719999991</v>
      </c>
      <c r="I1874">
        <v>0</v>
      </c>
      <c r="J1874">
        <v>0</v>
      </c>
      <c r="K1874">
        <v>4.1769999999999996</v>
      </c>
      <c r="L1874">
        <v>0</v>
      </c>
      <c r="M1874">
        <v>0</v>
      </c>
      <c r="N1874">
        <v>0</v>
      </c>
      <c r="O1874">
        <v>-3.2798790000283602</v>
      </c>
      <c r="P1874">
        <v>134340.11528200001</v>
      </c>
    </row>
    <row r="1875" spans="1:16" x14ac:dyDescent="0.25">
      <c r="A1875" s="10">
        <v>40371</v>
      </c>
      <c r="B1875">
        <v>461.07379200001009</v>
      </c>
      <c r="C1875">
        <v>294.41899999999998</v>
      </c>
      <c r="D1875">
        <v>0</v>
      </c>
      <c r="E1875">
        <v>0</v>
      </c>
      <c r="F1875">
        <v>0</v>
      </c>
      <c r="G1875">
        <v>-54.231999999999999</v>
      </c>
      <c r="H1875">
        <v>308.37700000000041</v>
      </c>
      <c r="I1875">
        <v>0</v>
      </c>
      <c r="J1875">
        <v>0</v>
      </c>
      <c r="K1875">
        <v>9.4380000000000006</v>
      </c>
      <c r="L1875">
        <v>0</v>
      </c>
      <c r="M1875">
        <v>0</v>
      </c>
      <c r="N1875">
        <v>0</v>
      </c>
      <c r="O1875">
        <v>-96.928207999990335</v>
      </c>
      <c r="P1875">
        <v>134801.18907399999</v>
      </c>
    </row>
    <row r="1876" spans="1:16" x14ac:dyDescent="0.25">
      <c r="A1876" s="10">
        <v>40372</v>
      </c>
      <c r="B1876">
        <v>-753.71321399998908</v>
      </c>
      <c r="C1876">
        <v>426.66180000000003</v>
      </c>
      <c r="D1876">
        <v>0</v>
      </c>
      <c r="E1876">
        <v>0</v>
      </c>
      <c r="F1876">
        <v>0</v>
      </c>
      <c r="G1876">
        <v>6.9900570000000073</v>
      </c>
      <c r="H1876">
        <v>-1188.7443990000031</v>
      </c>
      <c r="I1876">
        <v>0</v>
      </c>
      <c r="J1876">
        <v>0</v>
      </c>
      <c r="K1876">
        <v>4.2530000000000001</v>
      </c>
      <c r="L1876">
        <v>0</v>
      </c>
      <c r="M1876">
        <v>0</v>
      </c>
      <c r="N1876">
        <v>0</v>
      </c>
      <c r="O1876">
        <v>-2.873671999986255</v>
      </c>
      <c r="P1876">
        <v>134047.47586000001</v>
      </c>
    </row>
    <row r="1877" spans="1:16" x14ac:dyDescent="0.25">
      <c r="A1877" s="10">
        <v>40373</v>
      </c>
      <c r="B1877">
        <v>953.78317599999718</v>
      </c>
      <c r="C1877">
        <v>593.39149999999995</v>
      </c>
      <c r="D1877">
        <v>0</v>
      </c>
      <c r="E1877">
        <v>0</v>
      </c>
      <c r="F1877">
        <v>0</v>
      </c>
      <c r="G1877">
        <v>-21.130723</v>
      </c>
      <c r="H1877">
        <v>1059.5480979999991</v>
      </c>
      <c r="I1877">
        <v>0</v>
      </c>
      <c r="J1877">
        <v>0</v>
      </c>
      <c r="K1877">
        <v>4.3120000000000003</v>
      </c>
      <c r="L1877">
        <v>-706.4</v>
      </c>
      <c r="M1877">
        <v>0</v>
      </c>
      <c r="N1877">
        <v>0</v>
      </c>
      <c r="O1877">
        <v>24.062300999997959</v>
      </c>
      <c r="P1877">
        <v>135001.259036</v>
      </c>
    </row>
    <row r="1878" spans="1:16" x14ac:dyDescent="0.25">
      <c r="A1878" s="10">
        <v>40374</v>
      </c>
      <c r="B1878">
        <v>637.48194500000761</v>
      </c>
      <c r="C1878">
        <v>447.80349999999999</v>
      </c>
      <c r="D1878">
        <v>0</v>
      </c>
      <c r="E1878">
        <v>0</v>
      </c>
      <c r="F1878">
        <v>0</v>
      </c>
      <c r="G1878">
        <v>12.478344999999999</v>
      </c>
      <c r="H1878">
        <v>151.7171144000022</v>
      </c>
      <c r="I1878">
        <v>0</v>
      </c>
      <c r="J1878">
        <v>0</v>
      </c>
      <c r="K1878">
        <v>6.38</v>
      </c>
      <c r="L1878">
        <v>0</v>
      </c>
      <c r="M1878">
        <v>0</v>
      </c>
      <c r="N1878">
        <v>0</v>
      </c>
      <c r="O1878">
        <v>19.10298560000545</v>
      </c>
      <c r="P1878">
        <v>135638.74098100001</v>
      </c>
    </row>
    <row r="1879" spans="1:16" x14ac:dyDescent="0.25">
      <c r="A1879" s="10">
        <v>40375</v>
      </c>
      <c r="B1879">
        <v>-486.22476359002718</v>
      </c>
      <c r="C1879">
        <v>533.95299999999997</v>
      </c>
      <c r="D1879">
        <v>0</v>
      </c>
      <c r="E1879">
        <v>0</v>
      </c>
      <c r="F1879">
        <v>0</v>
      </c>
      <c r="G1879">
        <v>-59.843876969999997</v>
      </c>
      <c r="H1879">
        <v>-971.62193748999925</v>
      </c>
      <c r="I1879">
        <v>0</v>
      </c>
      <c r="J1879">
        <v>0</v>
      </c>
      <c r="K1879">
        <v>1.391</v>
      </c>
      <c r="L1879">
        <v>0</v>
      </c>
      <c r="M1879">
        <v>0</v>
      </c>
      <c r="N1879">
        <v>0</v>
      </c>
      <c r="O1879">
        <v>9.8970508699720323</v>
      </c>
      <c r="P1879">
        <v>135152.51621741001</v>
      </c>
    </row>
    <row r="1880" spans="1:16" x14ac:dyDescent="0.25">
      <c r="A1880" s="10">
        <v>40378</v>
      </c>
      <c r="B1880">
        <v>-185.84715840997521</v>
      </c>
      <c r="C1880">
        <v>213.655</v>
      </c>
      <c r="D1880">
        <v>0</v>
      </c>
      <c r="E1880">
        <v>0</v>
      </c>
      <c r="F1880">
        <v>0</v>
      </c>
      <c r="G1880">
        <v>36.198255970000012</v>
      </c>
      <c r="H1880">
        <v>-432.52652200000011</v>
      </c>
      <c r="I1880">
        <v>0</v>
      </c>
      <c r="J1880">
        <v>0</v>
      </c>
      <c r="K1880">
        <v>7.5979999999999999</v>
      </c>
      <c r="L1880">
        <v>0</v>
      </c>
      <c r="M1880">
        <v>0</v>
      </c>
      <c r="N1880">
        <v>0</v>
      </c>
      <c r="O1880">
        <v>-10.77189237997511</v>
      </c>
      <c r="P1880">
        <v>134966.66905900001</v>
      </c>
    </row>
    <row r="1881" spans="1:16" x14ac:dyDescent="0.25">
      <c r="A1881" s="10">
        <v>40379</v>
      </c>
      <c r="B1881">
        <v>-1666.606732000015</v>
      </c>
      <c r="C1881">
        <v>363.5</v>
      </c>
      <c r="D1881">
        <v>0</v>
      </c>
      <c r="E1881">
        <v>0</v>
      </c>
      <c r="F1881">
        <v>0</v>
      </c>
      <c r="G1881">
        <v>42.876942</v>
      </c>
      <c r="H1881">
        <v>-2065.344489000001</v>
      </c>
      <c r="I1881">
        <v>0</v>
      </c>
      <c r="J1881">
        <v>0</v>
      </c>
      <c r="K1881">
        <v>4.9450000000000003</v>
      </c>
      <c r="L1881">
        <v>0</v>
      </c>
      <c r="M1881">
        <v>0</v>
      </c>
      <c r="N1881">
        <v>0</v>
      </c>
      <c r="O1881">
        <v>-12.584185000013351</v>
      </c>
      <c r="P1881">
        <v>133300.06232699999</v>
      </c>
    </row>
    <row r="1882" spans="1:16" x14ac:dyDescent="0.25">
      <c r="A1882" s="10">
        <v>40380</v>
      </c>
      <c r="B1882">
        <v>1055.0169720000119</v>
      </c>
      <c r="C1882">
        <v>242.727</v>
      </c>
      <c r="D1882">
        <v>0</v>
      </c>
      <c r="E1882">
        <v>0</v>
      </c>
      <c r="F1882">
        <v>0</v>
      </c>
      <c r="G1882">
        <v>14.40534699999999</v>
      </c>
      <c r="H1882">
        <v>2160.553315000001</v>
      </c>
      <c r="I1882">
        <v>0</v>
      </c>
      <c r="J1882">
        <v>0</v>
      </c>
      <c r="K1882">
        <v>5.2679999999999998</v>
      </c>
      <c r="L1882">
        <v>-1335.5</v>
      </c>
      <c r="M1882">
        <v>0</v>
      </c>
      <c r="N1882">
        <v>0</v>
      </c>
      <c r="O1882">
        <v>-32.436689999988452</v>
      </c>
      <c r="P1882">
        <v>134355.079299</v>
      </c>
    </row>
    <row r="1883" spans="1:16" x14ac:dyDescent="0.25">
      <c r="A1883" s="10">
        <v>40381</v>
      </c>
      <c r="B1883">
        <v>606.49826599997959</v>
      </c>
      <c r="C1883">
        <v>308.27188000000001</v>
      </c>
      <c r="D1883">
        <v>0</v>
      </c>
      <c r="E1883">
        <v>0</v>
      </c>
      <c r="F1883">
        <v>0</v>
      </c>
      <c r="G1883">
        <v>13.974026</v>
      </c>
      <c r="H1883">
        <v>301.34208500000392</v>
      </c>
      <c r="I1883">
        <v>0</v>
      </c>
      <c r="J1883">
        <v>0</v>
      </c>
      <c r="K1883">
        <v>4.5489999999999986</v>
      </c>
      <c r="L1883">
        <v>0</v>
      </c>
      <c r="M1883">
        <v>0</v>
      </c>
      <c r="N1883">
        <v>0</v>
      </c>
      <c r="O1883">
        <v>-21.63872500002422</v>
      </c>
      <c r="P1883">
        <v>134961.57756500001</v>
      </c>
    </row>
    <row r="1884" spans="1:16" x14ac:dyDescent="0.25">
      <c r="A1884" s="10">
        <v>40382</v>
      </c>
      <c r="B1884">
        <v>-1979.227639929974</v>
      </c>
      <c r="C1884">
        <v>236.19087999999999</v>
      </c>
      <c r="D1884">
        <v>0</v>
      </c>
      <c r="E1884">
        <v>-2000</v>
      </c>
      <c r="F1884">
        <v>0</v>
      </c>
      <c r="G1884">
        <v>-17.163372999999812</v>
      </c>
      <c r="H1884">
        <v>-198.89632600000189</v>
      </c>
      <c r="I1884">
        <v>0</v>
      </c>
      <c r="J1884">
        <v>0</v>
      </c>
      <c r="K1884">
        <v>4.0119999999999996</v>
      </c>
      <c r="L1884">
        <v>0</v>
      </c>
      <c r="M1884">
        <v>0</v>
      </c>
      <c r="N1884">
        <v>0</v>
      </c>
      <c r="O1884">
        <v>-3.3708209299726151</v>
      </c>
      <c r="P1884">
        <v>132982.34992507001</v>
      </c>
    </row>
    <row r="1885" spans="1:16" x14ac:dyDescent="0.25">
      <c r="A1885" s="10">
        <v>40385</v>
      </c>
      <c r="B1885">
        <v>-554.17518104001647</v>
      </c>
      <c r="C1885">
        <v>114.02889999999999</v>
      </c>
      <c r="D1885">
        <v>0</v>
      </c>
      <c r="E1885">
        <v>0</v>
      </c>
      <c r="F1885">
        <v>0</v>
      </c>
      <c r="G1885">
        <v>-6.9029999999999916</v>
      </c>
      <c r="H1885">
        <v>-645.31725299999925</v>
      </c>
      <c r="I1885">
        <v>0</v>
      </c>
      <c r="J1885">
        <v>0</v>
      </c>
      <c r="K1885">
        <v>7.3930000000000007</v>
      </c>
      <c r="L1885">
        <v>0</v>
      </c>
      <c r="M1885">
        <v>0</v>
      </c>
      <c r="N1885">
        <v>0</v>
      </c>
      <c r="O1885">
        <v>-23.376828040017202</v>
      </c>
      <c r="P1885">
        <v>132428.17474403</v>
      </c>
    </row>
    <row r="1886" spans="1:16" x14ac:dyDescent="0.25">
      <c r="A1886" s="10">
        <v>40386</v>
      </c>
      <c r="B1886">
        <v>502.3065990698808</v>
      </c>
      <c r="C1886">
        <v>95.546499999999995</v>
      </c>
      <c r="D1886">
        <v>0</v>
      </c>
      <c r="E1886">
        <v>0</v>
      </c>
      <c r="F1886">
        <v>0</v>
      </c>
      <c r="G1886">
        <v>-23.81623990999999</v>
      </c>
      <c r="H1886">
        <v>391.23200000000003</v>
      </c>
      <c r="I1886">
        <v>0</v>
      </c>
      <c r="J1886">
        <v>0</v>
      </c>
      <c r="K1886">
        <v>4.3870269999999998</v>
      </c>
      <c r="L1886">
        <v>0</v>
      </c>
      <c r="M1886">
        <v>0</v>
      </c>
      <c r="N1886">
        <v>0</v>
      </c>
      <c r="O1886">
        <v>34.957311979880863</v>
      </c>
      <c r="P1886">
        <v>132930.48134309991</v>
      </c>
    </row>
    <row r="1887" spans="1:16" x14ac:dyDescent="0.25">
      <c r="A1887" s="10">
        <v>40387</v>
      </c>
      <c r="B1887">
        <v>-199.20246327988619</v>
      </c>
      <c r="C1887">
        <v>-2.3610000000000011</v>
      </c>
      <c r="D1887">
        <v>0</v>
      </c>
      <c r="E1887">
        <v>0</v>
      </c>
      <c r="F1887">
        <v>0</v>
      </c>
      <c r="G1887">
        <v>10.317239909999991</v>
      </c>
      <c r="H1887">
        <v>451.55800000000272</v>
      </c>
      <c r="I1887">
        <v>0</v>
      </c>
      <c r="J1887">
        <v>0</v>
      </c>
      <c r="K1887">
        <v>4.8150000000000004</v>
      </c>
      <c r="L1887">
        <v>-674.7</v>
      </c>
      <c r="M1887">
        <v>0</v>
      </c>
      <c r="N1887">
        <v>0</v>
      </c>
      <c r="O1887">
        <v>11.168296810111171</v>
      </c>
      <c r="P1887">
        <v>132731.27887981999</v>
      </c>
    </row>
    <row r="1888" spans="1:16" x14ac:dyDescent="0.25">
      <c r="A1888" s="10">
        <v>40388</v>
      </c>
      <c r="B1888">
        <v>1704.787682370051</v>
      </c>
      <c r="C1888">
        <v>-64.547300000000007</v>
      </c>
      <c r="D1888">
        <v>0</v>
      </c>
      <c r="E1888">
        <v>1950</v>
      </c>
      <c r="F1888">
        <v>0</v>
      </c>
      <c r="G1888">
        <v>-2.9694961499999408</v>
      </c>
      <c r="H1888">
        <v>-155.01499999999939</v>
      </c>
      <c r="I1888">
        <v>0</v>
      </c>
      <c r="J1888">
        <v>0</v>
      </c>
      <c r="K1888">
        <v>4.657</v>
      </c>
      <c r="L1888">
        <v>0</v>
      </c>
      <c r="M1888">
        <v>0</v>
      </c>
      <c r="N1888">
        <v>0</v>
      </c>
      <c r="O1888">
        <v>-27.337521479949832</v>
      </c>
      <c r="P1888">
        <v>134436.06656219001</v>
      </c>
    </row>
    <row r="1889" spans="1:16" x14ac:dyDescent="0.25">
      <c r="A1889" s="10">
        <v>40389</v>
      </c>
      <c r="B1889">
        <v>-369.88619678994269</v>
      </c>
      <c r="C1889">
        <v>-45.31</v>
      </c>
      <c r="D1889">
        <v>0</v>
      </c>
      <c r="E1889">
        <v>0</v>
      </c>
      <c r="F1889">
        <v>3000</v>
      </c>
      <c r="G1889">
        <v>-3162.7134438899998</v>
      </c>
      <c r="H1889">
        <v>-187.003999999999</v>
      </c>
      <c r="I1889">
        <v>0</v>
      </c>
      <c r="J1889">
        <v>0</v>
      </c>
      <c r="K1889">
        <v>4.01</v>
      </c>
      <c r="L1889">
        <v>0</v>
      </c>
      <c r="M1889">
        <v>0</v>
      </c>
      <c r="N1889">
        <v>0</v>
      </c>
      <c r="O1889">
        <v>21.131247100056029</v>
      </c>
      <c r="P1889">
        <v>134066.1803654001</v>
      </c>
    </row>
    <row r="1890" spans="1:16" x14ac:dyDescent="0.25">
      <c r="A1890" s="10">
        <v>40392</v>
      </c>
      <c r="B1890">
        <v>1937.69592114992</v>
      </c>
      <c r="C1890">
        <v>50.786000000000001</v>
      </c>
      <c r="D1890">
        <v>0</v>
      </c>
      <c r="E1890">
        <v>0</v>
      </c>
      <c r="F1890">
        <v>0</v>
      </c>
      <c r="G1890">
        <v>-12.85397177999999</v>
      </c>
      <c r="H1890">
        <v>1902.325000000001</v>
      </c>
      <c r="I1890">
        <v>0</v>
      </c>
      <c r="J1890">
        <v>0</v>
      </c>
      <c r="K1890">
        <v>7.8369999999999997</v>
      </c>
      <c r="L1890">
        <v>0</v>
      </c>
      <c r="M1890">
        <v>0</v>
      </c>
      <c r="N1890">
        <v>0</v>
      </c>
      <c r="O1890">
        <v>-10.398107070080689</v>
      </c>
      <c r="P1890">
        <v>136003.87628654999</v>
      </c>
    </row>
    <row r="1891" spans="1:16" x14ac:dyDescent="0.25">
      <c r="A1891" s="10">
        <v>40393</v>
      </c>
      <c r="B1891">
        <v>258.96984287007888</v>
      </c>
      <c r="C1891">
        <v>160.92490000000001</v>
      </c>
      <c r="D1891">
        <v>0</v>
      </c>
      <c r="E1891">
        <v>0</v>
      </c>
      <c r="F1891">
        <v>0</v>
      </c>
      <c r="G1891">
        <v>32.59449049000068</v>
      </c>
      <c r="H1891">
        <v>147.8980419999971</v>
      </c>
      <c r="I1891">
        <v>0</v>
      </c>
      <c r="J1891">
        <v>0</v>
      </c>
      <c r="K1891">
        <v>3.4940000000000002</v>
      </c>
      <c r="L1891">
        <v>0</v>
      </c>
      <c r="M1891">
        <v>0</v>
      </c>
      <c r="N1891">
        <v>0</v>
      </c>
      <c r="O1891">
        <v>-85.941589619918915</v>
      </c>
      <c r="P1891">
        <v>136262.8461294201</v>
      </c>
    </row>
    <row r="1892" spans="1:16" x14ac:dyDescent="0.25">
      <c r="A1892" s="10">
        <v>40394</v>
      </c>
      <c r="B1892">
        <v>-480.8530022201295</v>
      </c>
      <c r="C1892">
        <v>471.10849999999999</v>
      </c>
      <c r="D1892">
        <v>0</v>
      </c>
      <c r="E1892">
        <v>0</v>
      </c>
      <c r="F1892">
        <v>0</v>
      </c>
      <c r="G1892">
        <v>-117.32939770999999</v>
      </c>
      <c r="H1892">
        <v>439.30600000002778</v>
      </c>
      <c r="I1892">
        <v>0</v>
      </c>
      <c r="J1892">
        <v>0</v>
      </c>
      <c r="K1892">
        <v>3.5670000000000002</v>
      </c>
      <c r="L1892">
        <v>-1359.8</v>
      </c>
      <c r="M1892">
        <v>0</v>
      </c>
      <c r="N1892">
        <v>0</v>
      </c>
      <c r="O1892">
        <v>82.29489548984273</v>
      </c>
      <c r="P1892">
        <v>135781.9931272</v>
      </c>
    </row>
    <row r="1893" spans="1:16" x14ac:dyDescent="0.25">
      <c r="A1893" s="10">
        <v>40395</v>
      </c>
      <c r="B1893">
        <v>-815.48378187988487</v>
      </c>
      <c r="C1893">
        <v>1.1793</v>
      </c>
      <c r="D1893">
        <v>0</v>
      </c>
      <c r="E1893">
        <v>0</v>
      </c>
      <c r="F1893">
        <v>0</v>
      </c>
      <c r="G1893">
        <v>-48.367346400000002</v>
      </c>
      <c r="H1893">
        <v>-748.74400000002606</v>
      </c>
      <c r="I1893">
        <v>0</v>
      </c>
      <c r="J1893">
        <v>0</v>
      </c>
      <c r="K1893">
        <v>3.762</v>
      </c>
      <c r="L1893">
        <v>0</v>
      </c>
      <c r="M1893">
        <v>0</v>
      </c>
      <c r="N1893">
        <v>0</v>
      </c>
      <c r="O1893">
        <v>-23.313735479858771</v>
      </c>
      <c r="P1893">
        <v>134966.50934532011</v>
      </c>
    </row>
    <row r="1894" spans="1:16" x14ac:dyDescent="0.25">
      <c r="A1894" s="10">
        <v>40396</v>
      </c>
      <c r="B1894">
        <v>-348.66267501001113</v>
      </c>
      <c r="C1894">
        <v>135.6335</v>
      </c>
      <c r="D1894">
        <v>0</v>
      </c>
      <c r="E1894">
        <v>0</v>
      </c>
      <c r="F1894">
        <v>0</v>
      </c>
      <c r="G1894">
        <v>8.6578943300000049</v>
      </c>
      <c r="H1894">
        <v>-487.59199999999868</v>
      </c>
      <c r="I1894">
        <v>0</v>
      </c>
      <c r="J1894">
        <v>0</v>
      </c>
      <c r="K1894">
        <v>4.133</v>
      </c>
      <c r="L1894">
        <v>0</v>
      </c>
      <c r="M1894">
        <v>0</v>
      </c>
      <c r="N1894">
        <v>0</v>
      </c>
      <c r="O1894">
        <v>-9.495069340012332</v>
      </c>
      <c r="P1894">
        <v>134617.8466703101</v>
      </c>
    </row>
    <row r="1895" spans="1:16" x14ac:dyDescent="0.25">
      <c r="A1895" s="10">
        <v>40399</v>
      </c>
      <c r="B1895">
        <v>346.90944052973731</v>
      </c>
      <c r="C1895">
        <v>144.66149999999999</v>
      </c>
      <c r="D1895">
        <v>0</v>
      </c>
      <c r="E1895">
        <v>0</v>
      </c>
      <c r="F1895">
        <v>0</v>
      </c>
      <c r="G1895">
        <v>39.504944539999997</v>
      </c>
      <c r="H1895">
        <v>149.11099999999709</v>
      </c>
      <c r="I1895">
        <v>0</v>
      </c>
      <c r="J1895">
        <v>0</v>
      </c>
      <c r="K1895">
        <v>5.3619999999999992</v>
      </c>
      <c r="L1895">
        <v>0</v>
      </c>
      <c r="M1895">
        <v>0</v>
      </c>
      <c r="N1895">
        <v>0</v>
      </c>
      <c r="O1895">
        <v>8.2699959897401065</v>
      </c>
      <c r="P1895">
        <v>134964.75611083981</v>
      </c>
    </row>
    <row r="1896" spans="1:16" x14ac:dyDescent="0.25">
      <c r="A1896" s="10">
        <v>40400</v>
      </c>
      <c r="B1896">
        <v>-158.45278895000209</v>
      </c>
      <c r="C1896">
        <v>115.651</v>
      </c>
      <c r="D1896">
        <v>0</v>
      </c>
      <c r="E1896">
        <v>0</v>
      </c>
      <c r="F1896">
        <v>0</v>
      </c>
      <c r="G1896">
        <v>-0.95103032000000143</v>
      </c>
      <c r="H1896">
        <v>-291.29600000000028</v>
      </c>
      <c r="I1896">
        <v>0</v>
      </c>
      <c r="J1896">
        <v>0</v>
      </c>
      <c r="K1896">
        <v>3.2759999999999998</v>
      </c>
      <c r="L1896">
        <v>0</v>
      </c>
      <c r="M1896">
        <v>0</v>
      </c>
      <c r="N1896">
        <v>0</v>
      </c>
      <c r="O1896">
        <v>14.86724136999816</v>
      </c>
      <c r="P1896">
        <v>134806.30332188981</v>
      </c>
    </row>
    <row r="1897" spans="1:16" x14ac:dyDescent="0.25">
      <c r="A1897" s="10">
        <v>40401</v>
      </c>
      <c r="B1897">
        <v>-217.26263590002819</v>
      </c>
      <c r="C1897">
        <v>64.522999999999996</v>
      </c>
      <c r="D1897">
        <v>0</v>
      </c>
      <c r="E1897">
        <v>0</v>
      </c>
      <c r="F1897">
        <v>0</v>
      </c>
      <c r="G1897">
        <v>-40.112529520000002</v>
      </c>
      <c r="H1897">
        <v>1273.6610000000021</v>
      </c>
      <c r="I1897">
        <v>0</v>
      </c>
      <c r="J1897">
        <v>0</v>
      </c>
      <c r="K1897">
        <v>4.3240000000000007</v>
      </c>
      <c r="L1897">
        <v>-1472.2</v>
      </c>
      <c r="M1897">
        <v>0</v>
      </c>
      <c r="N1897">
        <v>0</v>
      </c>
      <c r="O1897">
        <v>-47.458106380030308</v>
      </c>
      <c r="P1897">
        <v>134589.04068598981</v>
      </c>
    </row>
    <row r="1898" spans="1:16" x14ac:dyDescent="0.25">
      <c r="A1898" s="10">
        <v>40402</v>
      </c>
      <c r="B1898">
        <v>1348.0075860502261</v>
      </c>
      <c r="C1898">
        <v>572.49744999999996</v>
      </c>
      <c r="D1898">
        <v>0</v>
      </c>
      <c r="E1898">
        <v>0</v>
      </c>
      <c r="F1898">
        <v>0</v>
      </c>
      <c r="G1898">
        <v>5.5260569799999919</v>
      </c>
      <c r="H1898">
        <v>769.77599999999984</v>
      </c>
      <c r="I1898">
        <v>0</v>
      </c>
      <c r="J1898">
        <v>0</v>
      </c>
      <c r="K1898">
        <v>4.2560000000000002</v>
      </c>
      <c r="L1898">
        <v>3.5</v>
      </c>
      <c r="M1898">
        <v>0</v>
      </c>
      <c r="N1898">
        <v>0</v>
      </c>
      <c r="O1898">
        <v>-7.5479209297736816</v>
      </c>
      <c r="P1898">
        <v>135937.04827204</v>
      </c>
    </row>
    <row r="1899" spans="1:16" x14ac:dyDescent="0.25">
      <c r="A1899" s="10">
        <v>40403</v>
      </c>
      <c r="B1899">
        <v>-591.56668579982852</v>
      </c>
      <c r="C1899">
        <v>100.837</v>
      </c>
      <c r="D1899">
        <v>0</v>
      </c>
      <c r="E1899">
        <v>0</v>
      </c>
      <c r="F1899">
        <v>0</v>
      </c>
      <c r="G1899">
        <v>-34.989226210000027</v>
      </c>
      <c r="H1899">
        <v>-667.31999999999971</v>
      </c>
      <c r="I1899">
        <v>0</v>
      </c>
      <c r="J1899">
        <v>0</v>
      </c>
      <c r="K1899">
        <v>4.6919999999999993</v>
      </c>
      <c r="L1899">
        <v>0</v>
      </c>
      <c r="M1899">
        <v>0</v>
      </c>
      <c r="N1899">
        <v>0</v>
      </c>
      <c r="O1899">
        <v>5.2135404101712082</v>
      </c>
      <c r="P1899">
        <v>135345.4815862402</v>
      </c>
    </row>
    <row r="1900" spans="1:16" x14ac:dyDescent="0.25">
      <c r="A1900" s="10">
        <v>40407</v>
      </c>
      <c r="B1900">
        <v>981.79308613989292</v>
      </c>
      <c r="C1900">
        <v>468.87700000000001</v>
      </c>
      <c r="D1900">
        <v>0</v>
      </c>
      <c r="E1900">
        <v>0</v>
      </c>
      <c r="F1900">
        <v>0</v>
      </c>
      <c r="G1900">
        <v>20.23344822000001</v>
      </c>
      <c r="H1900">
        <v>494.98200000000003</v>
      </c>
      <c r="I1900">
        <v>0</v>
      </c>
      <c r="J1900">
        <v>0</v>
      </c>
      <c r="K1900">
        <v>9.6240000000000006</v>
      </c>
      <c r="L1900">
        <v>0</v>
      </c>
      <c r="M1900">
        <v>0</v>
      </c>
      <c r="N1900">
        <v>0</v>
      </c>
      <c r="O1900">
        <v>-11.9233620801072</v>
      </c>
      <c r="P1900">
        <v>136327.2746723801</v>
      </c>
    </row>
    <row r="1901" spans="1:16" x14ac:dyDescent="0.25">
      <c r="A1901" s="10">
        <v>40408</v>
      </c>
      <c r="B1901">
        <v>-1720.160654139909</v>
      </c>
      <c r="C1901">
        <v>131.429</v>
      </c>
      <c r="D1901">
        <v>0</v>
      </c>
      <c r="E1901">
        <v>0</v>
      </c>
      <c r="F1901">
        <v>0</v>
      </c>
      <c r="G1901">
        <v>-20.12306265999996</v>
      </c>
      <c r="H1901">
        <v>-905.80299999999988</v>
      </c>
      <c r="I1901">
        <v>0</v>
      </c>
      <c r="J1901">
        <v>0</v>
      </c>
      <c r="K1901">
        <v>4.0999999999999996</v>
      </c>
      <c r="L1901">
        <v>-959.7</v>
      </c>
      <c r="M1901">
        <v>0</v>
      </c>
      <c r="N1901">
        <v>0</v>
      </c>
      <c r="O1901">
        <v>29.936408520090751</v>
      </c>
      <c r="P1901">
        <v>134607.11401824019</v>
      </c>
    </row>
    <row r="1902" spans="1:16" x14ac:dyDescent="0.25">
      <c r="A1902" s="10">
        <v>40409</v>
      </c>
      <c r="B1902">
        <v>-176.24265737028381</v>
      </c>
      <c r="C1902">
        <v>96.013000000000005</v>
      </c>
      <c r="D1902">
        <v>0</v>
      </c>
      <c r="E1902">
        <v>0</v>
      </c>
      <c r="F1902">
        <v>0</v>
      </c>
      <c r="G1902">
        <v>37.520441560000002</v>
      </c>
      <c r="H1902">
        <v>-350.43499999999949</v>
      </c>
      <c r="I1902">
        <v>0</v>
      </c>
      <c r="J1902">
        <v>0</v>
      </c>
      <c r="K1902">
        <v>4.4850000000000003</v>
      </c>
      <c r="L1902">
        <v>46.7</v>
      </c>
      <c r="M1902">
        <v>0</v>
      </c>
      <c r="N1902">
        <v>0</v>
      </c>
      <c r="O1902">
        <v>-10.52609893028435</v>
      </c>
      <c r="P1902">
        <v>134430.8713608699</v>
      </c>
    </row>
    <row r="1903" spans="1:16" x14ac:dyDescent="0.25">
      <c r="A1903" s="10">
        <v>40410</v>
      </c>
      <c r="B1903">
        <v>653.23702495024156</v>
      </c>
      <c r="C1903">
        <v>157.91300000000001</v>
      </c>
      <c r="D1903">
        <v>0</v>
      </c>
      <c r="E1903">
        <v>0</v>
      </c>
      <c r="F1903">
        <v>0</v>
      </c>
      <c r="G1903">
        <v>-90.031452639999998</v>
      </c>
      <c r="H1903">
        <v>585.18067100000007</v>
      </c>
      <c r="I1903">
        <v>0</v>
      </c>
      <c r="J1903">
        <v>0</v>
      </c>
      <c r="K1903">
        <v>4.7430000000000003</v>
      </c>
      <c r="L1903">
        <v>0</v>
      </c>
      <c r="M1903">
        <v>0</v>
      </c>
      <c r="N1903">
        <v>0</v>
      </c>
      <c r="O1903">
        <v>-4.5681934097585781</v>
      </c>
      <c r="P1903">
        <v>135084.10838582009</v>
      </c>
    </row>
    <row r="1904" spans="1:16" x14ac:dyDescent="0.25">
      <c r="A1904" s="10">
        <v>40413</v>
      </c>
      <c r="B1904">
        <v>1475.5557673996659</v>
      </c>
      <c r="C1904">
        <v>163.07400000000001</v>
      </c>
      <c r="D1904">
        <v>0</v>
      </c>
      <c r="E1904">
        <v>0</v>
      </c>
      <c r="F1904">
        <v>0</v>
      </c>
      <c r="G1904">
        <v>121.52616509000001</v>
      </c>
      <c r="H1904">
        <v>1167.643999999998</v>
      </c>
      <c r="I1904">
        <v>0</v>
      </c>
      <c r="J1904">
        <v>0</v>
      </c>
      <c r="K1904">
        <v>5.9589999999999996</v>
      </c>
      <c r="L1904">
        <v>26.8</v>
      </c>
      <c r="M1904">
        <v>0</v>
      </c>
      <c r="N1904">
        <v>0</v>
      </c>
      <c r="O1904">
        <v>-9.4473976903328545</v>
      </c>
      <c r="P1904">
        <v>136559.66415321981</v>
      </c>
    </row>
    <row r="1905" spans="1:16" x14ac:dyDescent="0.25">
      <c r="A1905" s="10">
        <v>40414</v>
      </c>
      <c r="B1905">
        <v>439.98711461992872</v>
      </c>
      <c r="C1905">
        <v>116.29</v>
      </c>
      <c r="D1905">
        <v>0</v>
      </c>
      <c r="E1905">
        <v>0</v>
      </c>
      <c r="F1905">
        <v>0</v>
      </c>
      <c r="G1905">
        <v>-21.882848150000019</v>
      </c>
      <c r="H1905">
        <v>379.99799999999959</v>
      </c>
      <c r="I1905">
        <v>0</v>
      </c>
      <c r="J1905">
        <v>0</v>
      </c>
      <c r="K1905">
        <v>3.6819999999999999</v>
      </c>
      <c r="L1905">
        <v>0</v>
      </c>
      <c r="M1905">
        <v>0</v>
      </c>
      <c r="N1905">
        <v>0</v>
      </c>
      <c r="O1905">
        <v>-38.10003723007096</v>
      </c>
      <c r="P1905">
        <v>136999.65126783971</v>
      </c>
    </row>
    <row r="1906" spans="1:16" x14ac:dyDescent="0.25">
      <c r="A1906" s="10">
        <v>40415</v>
      </c>
      <c r="B1906">
        <v>489.26050384022449</v>
      </c>
      <c r="C1906">
        <v>121.901</v>
      </c>
      <c r="D1906">
        <v>0</v>
      </c>
      <c r="E1906">
        <v>0</v>
      </c>
      <c r="F1906">
        <v>0</v>
      </c>
      <c r="G1906">
        <v>-0.21411040999999401</v>
      </c>
      <c r="H1906">
        <v>1511.9229999999991</v>
      </c>
      <c r="I1906">
        <v>0</v>
      </c>
      <c r="J1906">
        <v>0</v>
      </c>
      <c r="K1906">
        <v>3.0310000000000001</v>
      </c>
      <c r="L1906">
        <v>-1113.0999999999999</v>
      </c>
      <c r="M1906">
        <v>0</v>
      </c>
      <c r="N1906">
        <v>0</v>
      </c>
      <c r="O1906">
        <v>-34.280385749774403</v>
      </c>
      <c r="P1906">
        <v>137488.91177167991</v>
      </c>
    </row>
    <row r="1907" spans="1:16" x14ac:dyDescent="0.25">
      <c r="A1907" s="10">
        <v>40416</v>
      </c>
      <c r="B1907">
        <v>379.51112029011767</v>
      </c>
      <c r="C1907">
        <v>115.9819</v>
      </c>
      <c r="D1907">
        <v>0</v>
      </c>
      <c r="E1907">
        <v>0</v>
      </c>
      <c r="F1907">
        <v>0</v>
      </c>
      <c r="G1907">
        <v>11.7275636</v>
      </c>
      <c r="H1907">
        <v>267.58400000000069</v>
      </c>
      <c r="I1907">
        <v>0</v>
      </c>
      <c r="J1907">
        <v>0</v>
      </c>
      <c r="K1907">
        <v>2.774</v>
      </c>
      <c r="L1907">
        <v>-0.1</v>
      </c>
      <c r="M1907">
        <v>0</v>
      </c>
      <c r="N1907">
        <v>0</v>
      </c>
      <c r="O1907">
        <v>-18.456343309883021</v>
      </c>
      <c r="P1907">
        <v>137868.42289197011</v>
      </c>
    </row>
    <row r="1908" spans="1:16" x14ac:dyDescent="0.25">
      <c r="A1908" s="10">
        <v>40417</v>
      </c>
      <c r="B1908">
        <v>-1366.524271780072</v>
      </c>
      <c r="C1908">
        <v>167.21899999999999</v>
      </c>
      <c r="D1908">
        <v>0</v>
      </c>
      <c r="E1908">
        <v>0</v>
      </c>
      <c r="F1908">
        <v>0</v>
      </c>
      <c r="G1908">
        <v>-25.604843120000019</v>
      </c>
      <c r="H1908">
        <v>-1550.616</v>
      </c>
      <c r="I1908">
        <v>0</v>
      </c>
      <c r="J1908">
        <v>0</v>
      </c>
      <c r="K1908">
        <v>2.8860000000000001</v>
      </c>
      <c r="L1908">
        <v>0</v>
      </c>
      <c r="M1908">
        <v>0</v>
      </c>
      <c r="N1908">
        <v>0</v>
      </c>
      <c r="O1908">
        <v>39.591571339927583</v>
      </c>
      <c r="P1908">
        <v>136501.89862019001</v>
      </c>
    </row>
    <row r="1909" spans="1:16" x14ac:dyDescent="0.25">
      <c r="A1909" s="10">
        <v>40420</v>
      </c>
      <c r="B1909">
        <v>-2788.8585993602469</v>
      </c>
      <c r="C1909">
        <v>-2.3660000000000001</v>
      </c>
      <c r="D1909">
        <v>0</v>
      </c>
      <c r="E1909">
        <v>0</v>
      </c>
      <c r="F1909">
        <v>0</v>
      </c>
      <c r="G1909">
        <v>-214.23389427999999</v>
      </c>
      <c r="H1909">
        <v>-2579.384722000003</v>
      </c>
      <c r="I1909">
        <v>0</v>
      </c>
      <c r="J1909">
        <v>0</v>
      </c>
      <c r="K1909">
        <v>5.7710000000000008</v>
      </c>
      <c r="L1909">
        <v>0</v>
      </c>
      <c r="M1909">
        <v>0</v>
      </c>
      <c r="N1909">
        <v>0</v>
      </c>
      <c r="O1909">
        <v>1.3550169197556889</v>
      </c>
      <c r="P1909">
        <v>133713.04002082971</v>
      </c>
    </row>
    <row r="1910" spans="1:16" x14ac:dyDescent="0.25">
      <c r="A1910" s="10">
        <v>40421</v>
      </c>
      <c r="B1910">
        <v>2519.2525180902171</v>
      </c>
      <c r="C1910">
        <v>64.771999999999991</v>
      </c>
      <c r="D1910">
        <v>0</v>
      </c>
      <c r="E1910">
        <v>0</v>
      </c>
      <c r="F1910">
        <v>0</v>
      </c>
      <c r="G1910">
        <v>3119.7753729299998</v>
      </c>
      <c r="H1910">
        <v>-683.41781800000172</v>
      </c>
      <c r="I1910">
        <v>0</v>
      </c>
      <c r="J1910">
        <v>0</v>
      </c>
      <c r="K1910">
        <v>3.577</v>
      </c>
      <c r="L1910">
        <v>0</v>
      </c>
      <c r="M1910">
        <v>0</v>
      </c>
      <c r="N1910">
        <v>0</v>
      </c>
      <c r="O1910">
        <v>14.545963160218429</v>
      </c>
      <c r="P1910">
        <v>136232.29253892001</v>
      </c>
    </row>
    <row r="1911" spans="1:16" x14ac:dyDescent="0.25">
      <c r="A1911" s="10">
        <v>40422</v>
      </c>
      <c r="B1911">
        <v>2598.5593736201108</v>
      </c>
      <c r="C1911">
        <v>216.8005</v>
      </c>
      <c r="D1911">
        <v>0</v>
      </c>
      <c r="E1911">
        <v>0</v>
      </c>
      <c r="F1911">
        <v>0</v>
      </c>
      <c r="G1911">
        <v>10.301140630000001</v>
      </c>
      <c r="H1911">
        <v>2887.942719000001</v>
      </c>
      <c r="I1911">
        <v>0</v>
      </c>
      <c r="J1911">
        <v>0</v>
      </c>
      <c r="K1911">
        <v>3.1459999999999999</v>
      </c>
      <c r="L1911">
        <v>-509.8</v>
      </c>
      <c r="M1911">
        <v>0</v>
      </c>
      <c r="N1911">
        <v>0</v>
      </c>
      <c r="O1911">
        <v>-9.8309860098896031</v>
      </c>
      <c r="P1911">
        <v>138830.85191254009</v>
      </c>
    </row>
    <row r="1912" spans="1:16" x14ac:dyDescent="0.25">
      <c r="A1912" s="10">
        <v>40423</v>
      </c>
      <c r="B1912">
        <v>265.42572217970229</v>
      </c>
      <c r="C1912">
        <v>388.971</v>
      </c>
      <c r="D1912">
        <v>0</v>
      </c>
      <c r="E1912">
        <v>0</v>
      </c>
      <c r="F1912">
        <v>0</v>
      </c>
      <c r="G1912">
        <v>-51.080242869999893</v>
      </c>
      <c r="H1912">
        <v>-86.7549999999992</v>
      </c>
      <c r="I1912">
        <v>0</v>
      </c>
      <c r="J1912">
        <v>0</v>
      </c>
      <c r="K1912">
        <v>2.0139999999999998</v>
      </c>
      <c r="L1912">
        <v>20.6</v>
      </c>
      <c r="M1912">
        <v>0</v>
      </c>
      <c r="N1912">
        <v>0</v>
      </c>
      <c r="O1912">
        <v>-8.3240349502985733</v>
      </c>
      <c r="P1912">
        <v>139096.27763471979</v>
      </c>
    </row>
    <row r="1913" spans="1:16" x14ac:dyDescent="0.25">
      <c r="A1913" s="10">
        <v>40424</v>
      </c>
      <c r="B1913">
        <v>-387.9008597498763</v>
      </c>
      <c r="C1913">
        <v>326.87421999999998</v>
      </c>
      <c r="D1913">
        <v>0</v>
      </c>
      <c r="E1913">
        <v>0</v>
      </c>
      <c r="F1913">
        <v>0</v>
      </c>
      <c r="G1913">
        <v>-87.516935140000001</v>
      </c>
      <c r="H1913">
        <v>-614.06999999999789</v>
      </c>
      <c r="I1913">
        <v>0</v>
      </c>
      <c r="J1913">
        <v>0</v>
      </c>
      <c r="K1913">
        <v>2.35</v>
      </c>
      <c r="L1913">
        <v>0</v>
      </c>
      <c r="M1913">
        <v>0</v>
      </c>
      <c r="N1913">
        <v>0</v>
      </c>
      <c r="O1913">
        <v>-15.53814460987844</v>
      </c>
      <c r="P1913">
        <v>138708.37677496989</v>
      </c>
    </row>
    <row r="1914" spans="1:16" x14ac:dyDescent="0.25">
      <c r="A1914" s="10">
        <v>40427</v>
      </c>
      <c r="B1914">
        <v>-205.45657023973681</v>
      </c>
      <c r="C1914">
        <v>-0.39400000000000007</v>
      </c>
      <c r="D1914">
        <v>0</v>
      </c>
      <c r="E1914">
        <v>0</v>
      </c>
      <c r="F1914">
        <v>0</v>
      </c>
      <c r="G1914">
        <v>108.53805848</v>
      </c>
      <c r="H1914">
        <v>-239.27100000000249</v>
      </c>
      <c r="I1914">
        <v>0</v>
      </c>
      <c r="J1914">
        <v>0</v>
      </c>
      <c r="K1914">
        <v>5.335</v>
      </c>
      <c r="L1914">
        <v>0</v>
      </c>
      <c r="M1914">
        <v>0</v>
      </c>
      <c r="N1914">
        <v>0</v>
      </c>
      <c r="O1914">
        <v>-79.664628719734296</v>
      </c>
      <c r="P1914">
        <v>138502.92020473021</v>
      </c>
    </row>
    <row r="1915" spans="1:16" x14ac:dyDescent="0.25">
      <c r="A1915" s="10">
        <v>40428</v>
      </c>
      <c r="B1915">
        <v>-440.77232997017529</v>
      </c>
      <c r="C1915">
        <v>279.70049999999998</v>
      </c>
      <c r="D1915">
        <v>0</v>
      </c>
      <c r="E1915">
        <v>0</v>
      </c>
      <c r="F1915">
        <v>0</v>
      </c>
      <c r="G1915">
        <v>-17.22560386000001</v>
      </c>
      <c r="H1915">
        <v>-784.13452399999733</v>
      </c>
      <c r="I1915">
        <v>0</v>
      </c>
      <c r="J1915">
        <v>0</v>
      </c>
      <c r="K1915">
        <v>3.5870000000000002</v>
      </c>
      <c r="L1915">
        <v>0</v>
      </c>
      <c r="M1915">
        <v>0</v>
      </c>
      <c r="N1915">
        <v>0</v>
      </c>
      <c r="O1915">
        <v>77.300297889822104</v>
      </c>
      <c r="P1915">
        <v>138062.14787476</v>
      </c>
    </row>
    <row r="1916" spans="1:16" x14ac:dyDescent="0.25">
      <c r="A1916" s="10">
        <v>40429</v>
      </c>
      <c r="B1916">
        <v>-810.51646335027181</v>
      </c>
      <c r="C1916">
        <v>236.36420000000001</v>
      </c>
      <c r="D1916">
        <v>0</v>
      </c>
      <c r="E1916">
        <v>0</v>
      </c>
      <c r="F1916">
        <v>0</v>
      </c>
      <c r="G1916">
        <v>-336.87383149999999</v>
      </c>
      <c r="H1916">
        <v>1086.4579099999989</v>
      </c>
      <c r="I1916">
        <v>0</v>
      </c>
      <c r="J1916">
        <v>0</v>
      </c>
      <c r="K1916">
        <v>3.6070000000000002</v>
      </c>
      <c r="L1916">
        <v>-1784.4</v>
      </c>
      <c r="M1916">
        <v>0</v>
      </c>
      <c r="N1916">
        <v>0</v>
      </c>
      <c r="O1916">
        <v>-15.67174185027118</v>
      </c>
      <c r="P1916">
        <v>137251.6314114097</v>
      </c>
    </row>
    <row r="1917" spans="1:16" x14ac:dyDescent="0.25">
      <c r="A1917" s="10">
        <v>40430</v>
      </c>
      <c r="B1917">
        <v>757.16859583015275</v>
      </c>
      <c r="C1917">
        <v>327.02800000000002</v>
      </c>
      <c r="D1917">
        <v>0</v>
      </c>
      <c r="E1917">
        <v>0</v>
      </c>
      <c r="F1917">
        <v>0</v>
      </c>
      <c r="G1917">
        <v>324.02828913000002</v>
      </c>
      <c r="H1917">
        <v>113.08639900000161</v>
      </c>
      <c r="I1917">
        <v>0</v>
      </c>
      <c r="J1917">
        <v>0</v>
      </c>
      <c r="K1917">
        <v>4.0199999999999996</v>
      </c>
      <c r="L1917">
        <v>0</v>
      </c>
      <c r="M1917">
        <v>0</v>
      </c>
      <c r="N1917">
        <v>0</v>
      </c>
      <c r="O1917">
        <v>-10.994092299848781</v>
      </c>
      <c r="P1917">
        <v>138008.80000723989</v>
      </c>
    </row>
    <row r="1918" spans="1:16" x14ac:dyDescent="0.25">
      <c r="A1918" s="10">
        <v>40431</v>
      </c>
      <c r="B1918">
        <v>567.29603173999999</v>
      </c>
      <c r="C1918">
        <v>242.285</v>
      </c>
      <c r="D1918">
        <v>0</v>
      </c>
      <c r="E1918">
        <v>0</v>
      </c>
      <c r="F1918">
        <v>0</v>
      </c>
      <c r="G1918">
        <v>-14.24929635000001</v>
      </c>
      <c r="H1918">
        <v>335.65899999999777</v>
      </c>
      <c r="I1918">
        <v>0</v>
      </c>
      <c r="J1918">
        <v>0</v>
      </c>
      <c r="K1918">
        <v>3.5590000000000002</v>
      </c>
      <c r="L1918">
        <v>38.5</v>
      </c>
      <c r="M1918">
        <v>0</v>
      </c>
      <c r="N1918">
        <v>0</v>
      </c>
      <c r="O1918">
        <v>-38.45767190999775</v>
      </c>
      <c r="P1918">
        <v>138576.09603897989</v>
      </c>
    </row>
    <row r="1919" spans="1:16" x14ac:dyDescent="0.25">
      <c r="A1919" s="10">
        <v>40434</v>
      </c>
      <c r="B1919">
        <v>-167.55347755970359</v>
      </c>
      <c r="C1919">
        <v>204.85</v>
      </c>
      <c r="D1919">
        <v>0</v>
      </c>
      <c r="E1919">
        <v>0</v>
      </c>
      <c r="F1919">
        <v>0</v>
      </c>
      <c r="G1919">
        <v>-10.23920727000001</v>
      </c>
      <c r="H1919">
        <v>-363.47118600000073</v>
      </c>
      <c r="I1919">
        <v>0</v>
      </c>
      <c r="J1919">
        <v>0</v>
      </c>
      <c r="K1919">
        <v>5.1840000000000002</v>
      </c>
      <c r="L1919">
        <v>0</v>
      </c>
      <c r="M1919">
        <v>0</v>
      </c>
      <c r="N1919">
        <v>0</v>
      </c>
      <c r="O1919">
        <v>-3.8770842897029461</v>
      </c>
      <c r="P1919">
        <v>138408.54256142021</v>
      </c>
    </row>
    <row r="1920" spans="1:16" x14ac:dyDescent="0.25">
      <c r="A1920" s="10">
        <v>40435</v>
      </c>
      <c r="B1920">
        <v>255.9783523096705</v>
      </c>
      <c r="C1920">
        <v>327.767</v>
      </c>
      <c r="D1920">
        <v>0</v>
      </c>
      <c r="E1920">
        <v>0</v>
      </c>
      <c r="F1920">
        <v>0</v>
      </c>
      <c r="G1920">
        <v>4.435310329999993</v>
      </c>
      <c r="H1920">
        <v>-78.145162999999229</v>
      </c>
      <c r="I1920">
        <v>0</v>
      </c>
      <c r="J1920">
        <v>0</v>
      </c>
      <c r="K1920">
        <v>3.472</v>
      </c>
      <c r="L1920">
        <v>0</v>
      </c>
      <c r="M1920">
        <v>0</v>
      </c>
      <c r="N1920">
        <v>0</v>
      </c>
      <c r="O1920">
        <v>-1.550795020330213</v>
      </c>
      <c r="P1920">
        <v>138664.52091372979</v>
      </c>
    </row>
    <row r="1921" spans="1:16" x14ac:dyDescent="0.25">
      <c r="A1921" s="10">
        <v>40436</v>
      </c>
      <c r="B1921">
        <v>-1405.8770391700971</v>
      </c>
      <c r="C1921">
        <v>278.03829999999999</v>
      </c>
      <c r="D1921">
        <v>0</v>
      </c>
      <c r="E1921">
        <v>0</v>
      </c>
      <c r="F1921">
        <v>0</v>
      </c>
      <c r="G1921">
        <v>-83.473503689999973</v>
      </c>
      <c r="H1921">
        <v>-625.04659999999785</v>
      </c>
      <c r="I1921">
        <v>0</v>
      </c>
      <c r="J1921">
        <v>0</v>
      </c>
      <c r="K1921">
        <v>3.3069999999999999</v>
      </c>
      <c r="L1921">
        <v>-986.1</v>
      </c>
      <c r="M1921">
        <v>0</v>
      </c>
      <c r="N1921">
        <v>0</v>
      </c>
      <c r="O1921">
        <v>7.3977645199006901</v>
      </c>
      <c r="P1921">
        <v>137258.6438745597</v>
      </c>
    </row>
    <row r="1922" spans="1:16" x14ac:dyDescent="0.25">
      <c r="A1922" s="10">
        <v>40437</v>
      </c>
      <c r="B1922">
        <v>-1381.738701289956</v>
      </c>
      <c r="C1922">
        <v>406.74700000000001</v>
      </c>
      <c r="D1922">
        <v>0</v>
      </c>
      <c r="E1922">
        <v>0</v>
      </c>
      <c r="F1922">
        <v>0</v>
      </c>
      <c r="G1922">
        <v>18.62063061000001</v>
      </c>
      <c r="H1922">
        <v>-1810.5771720000009</v>
      </c>
      <c r="I1922">
        <v>0</v>
      </c>
      <c r="J1922">
        <v>0</v>
      </c>
      <c r="K1922">
        <v>3.7290000000000001</v>
      </c>
      <c r="L1922">
        <v>0</v>
      </c>
      <c r="M1922">
        <v>0</v>
      </c>
      <c r="N1922">
        <v>0</v>
      </c>
      <c r="O1922">
        <v>-0.25815989995462729</v>
      </c>
      <c r="P1922">
        <v>135876.9051732698</v>
      </c>
    </row>
    <row r="1923" spans="1:16" x14ac:dyDescent="0.25">
      <c r="A1923" s="10">
        <v>40438</v>
      </c>
      <c r="B1923">
        <v>-343.80448385956612</v>
      </c>
      <c r="C1923">
        <v>-1.9750000000000001</v>
      </c>
      <c r="D1923">
        <v>0</v>
      </c>
      <c r="E1923">
        <v>0</v>
      </c>
      <c r="F1923">
        <v>0</v>
      </c>
      <c r="G1923">
        <v>-57.441322259999993</v>
      </c>
      <c r="H1923">
        <v>-282.14519699999983</v>
      </c>
      <c r="I1923">
        <v>0</v>
      </c>
      <c r="J1923">
        <v>0</v>
      </c>
      <c r="K1923">
        <v>4.0759999999999996</v>
      </c>
      <c r="L1923">
        <v>0</v>
      </c>
      <c r="M1923">
        <v>0</v>
      </c>
      <c r="N1923">
        <v>0</v>
      </c>
      <c r="O1923">
        <v>-6.3189645995662316</v>
      </c>
      <c r="P1923">
        <v>135533.1006894102</v>
      </c>
    </row>
    <row r="1924" spans="1:16" x14ac:dyDescent="0.25">
      <c r="A1924" s="10">
        <v>40441</v>
      </c>
      <c r="B1924">
        <v>830.52751766971778</v>
      </c>
      <c r="C1924">
        <v>110.2017</v>
      </c>
      <c r="D1924">
        <v>0</v>
      </c>
      <c r="E1924">
        <v>0</v>
      </c>
      <c r="F1924">
        <v>0</v>
      </c>
      <c r="G1924">
        <v>109.89050822</v>
      </c>
      <c r="H1924">
        <v>601.8720830000002</v>
      </c>
      <c r="I1924">
        <v>0</v>
      </c>
      <c r="J1924">
        <v>0</v>
      </c>
      <c r="K1924">
        <v>7.3839999999999986</v>
      </c>
      <c r="L1924">
        <v>0</v>
      </c>
      <c r="M1924">
        <v>0</v>
      </c>
      <c r="N1924">
        <v>0</v>
      </c>
      <c r="O1924">
        <v>1.1792264497175671</v>
      </c>
      <c r="P1924">
        <v>136363.62820707989</v>
      </c>
    </row>
    <row r="1925" spans="1:16" x14ac:dyDescent="0.25">
      <c r="A1925" s="10">
        <v>40442</v>
      </c>
      <c r="B1925">
        <v>486.99497012014012</v>
      </c>
      <c r="C1925">
        <v>133.93899999999999</v>
      </c>
      <c r="D1925">
        <v>0</v>
      </c>
      <c r="E1925">
        <v>0</v>
      </c>
      <c r="F1925">
        <v>0</v>
      </c>
      <c r="G1925">
        <v>36.208442259999998</v>
      </c>
      <c r="H1925">
        <v>328.49799999999959</v>
      </c>
      <c r="I1925">
        <v>0</v>
      </c>
      <c r="J1925">
        <v>0</v>
      </c>
      <c r="K1925">
        <v>3.5190000000000001</v>
      </c>
      <c r="L1925">
        <v>0</v>
      </c>
      <c r="M1925">
        <v>0</v>
      </c>
      <c r="N1925">
        <v>0</v>
      </c>
      <c r="O1925">
        <v>-15.16947213985951</v>
      </c>
      <c r="P1925">
        <v>136850.62317720009</v>
      </c>
    </row>
    <row r="1926" spans="1:16" x14ac:dyDescent="0.25">
      <c r="A1926" s="10">
        <v>40443</v>
      </c>
      <c r="B1926">
        <v>-232.65786819017401</v>
      </c>
      <c r="C1926">
        <v>187.3005</v>
      </c>
      <c r="D1926">
        <v>0</v>
      </c>
      <c r="E1926">
        <v>0</v>
      </c>
      <c r="F1926">
        <v>0</v>
      </c>
      <c r="G1926">
        <v>1.423146350000025</v>
      </c>
      <c r="H1926">
        <v>370.69600000000167</v>
      </c>
      <c r="I1926">
        <v>0</v>
      </c>
      <c r="J1926">
        <v>0</v>
      </c>
      <c r="K1926">
        <v>4.0010000000000003</v>
      </c>
      <c r="L1926">
        <v>-772.8</v>
      </c>
      <c r="M1926">
        <v>0</v>
      </c>
      <c r="N1926">
        <v>0</v>
      </c>
      <c r="O1926">
        <v>-23.27851454017582</v>
      </c>
      <c r="P1926">
        <v>136617.96530900989</v>
      </c>
    </row>
    <row r="1927" spans="1:16" x14ac:dyDescent="0.25">
      <c r="A1927" s="10">
        <v>40444</v>
      </c>
      <c r="B1927">
        <v>1145.037998260291</v>
      </c>
      <c r="C1927">
        <v>156.1035</v>
      </c>
      <c r="D1927">
        <v>0</v>
      </c>
      <c r="E1927">
        <v>0</v>
      </c>
      <c r="F1927">
        <v>0</v>
      </c>
      <c r="G1927">
        <v>8.8088839499999949</v>
      </c>
      <c r="H1927">
        <v>997.98099999999977</v>
      </c>
      <c r="I1927">
        <v>0</v>
      </c>
      <c r="J1927">
        <v>0</v>
      </c>
      <c r="K1927">
        <v>3.8439999999999999</v>
      </c>
      <c r="L1927">
        <v>15</v>
      </c>
      <c r="M1927">
        <v>0</v>
      </c>
      <c r="N1927">
        <v>0</v>
      </c>
      <c r="O1927">
        <v>-36.699385689709104</v>
      </c>
      <c r="P1927">
        <v>137763.00330727021</v>
      </c>
    </row>
    <row r="1928" spans="1:16" x14ac:dyDescent="0.25">
      <c r="A1928" s="10">
        <v>40445</v>
      </c>
      <c r="B1928">
        <v>-245.94628347019881</v>
      </c>
      <c r="C1928">
        <v>-1.9770000000000001</v>
      </c>
      <c r="D1928">
        <v>0</v>
      </c>
      <c r="E1928">
        <v>0</v>
      </c>
      <c r="F1928">
        <v>0</v>
      </c>
      <c r="G1928">
        <v>-2.610555509999926</v>
      </c>
      <c r="H1928">
        <v>-242.34469999999959</v>
      </c>
      <c r="I1928">
        <v>0</v>
      </c>
      <c r="J1928">
        <v>0</v>
      </c>
      <c r="K1928">
        <v>3.972</v>
      </c>
      <c r="L1928">
        <v>0</v>
      </c>
      <c r="M1928">
        <v>0</v>
      </c>
      <c r="N1928">
        <v>0</v>
      </c>
      <c r="O1928">
        <v>-2.986027960199181</v>
      </c>
      <c r="P1928">
        <v>137517.05702380001</v>
      </c>
    </row>
    <row r="1929" spans="1:16" x14ac:dyDescent="0.25">
      <c r="A1929" s="10">
        <v>40448</v>
      </c>
      <c r="B1929">
        <v>819.46289619989739</v>
      </c>
      <c r="C1929">
        <v>84.764900000000011</v>
      </c>
      <c r="D1929">
        <v>0</v>
      </c>
      <c r="E1929">
        <v>0</v>
      </c>
      <c r="F1929">
        <v>0</v>
      </c>
      <c r="G1929">
        <v>-39.573508870000012</v>
      </c>
      <c r="H1929">
        <v>761.6919999999991</v>
      </c>
      <c r="I1929">
        <v>0</v>
      </c>
      <c r="J1929">
        <v>0</v>
      </c>
      <c r="K1929">
        <v>6.3460000000000001</v>
      </c>
      <c r="L1929">
        <v>0</v>
      </c>
      <c r="M1929">
        <v>0</v>
      </c>
      <c r="N1929">
        <v>0</v>
      </c>
      <c r="O1929">
        <v>6.2335050698982064</v>
      </c>
      <c r="P1929">
        <v>138336.5199199999</v>
      </c>
    </row>
    <row r="1930" spans="1:16" x14ac:dyDescent="0.25">
      <c r="A1930" s="10">
        <v>40449</v>
      </c>
      <c r="B1930">
        <v>675.32283084007236</v>
      </c>
      <c r="C1930">
        <v>-1.984</v>
      </c>
      <c r="D1930">
        <v>0</v>
      </c>
      <c r="E1930">
        <v>0</v>
      </c>
      <c r="F1930">
        <v>3000</v>
      </c>
      <c r="G1930">
        <v>-2937.9177585100001</v>
      </c>
      <c r="H1930">
        <v>611.53800000000047</v>
      </c>
      <c r="I1930">
        <v>0</v>
      </c>
      <c r="J1930">
        <v>0</v>
      </c>
      <c r="K1930">
        <v>3.6240000000000001</v>
      </c>
      <c r="L1930">
        <v>0</v>
      </c>
      <c r="M1930">
        <v>0</v>
      </c>
      <c r="N1930">
        <v>0</v>
      </c>
      <c r="O1930">
        <v>6.2589350071494465E-2</v>
      </c>
      <c r="P1930">
        <v>139011.84275083989</v>
      </c>
    </row>
    <row r="1931" spans="1:16" x14ac:dyDescent="0.25">
      <c r="A1931" s="10">
        <v>40450</v>
      </c>
      <c r="B1931">
        <v>1637.4091978297799</v>
      </c>
      <c r="C1931">
        <v>-2.3849999999999998</v>
      </c>
      <c r="D1931">
        <v>0</v>
      </c>
      <c r="E1931">
        <v>0</v>
      </c>
      <c r="F1931">
        <v>0</v>
      </c>
      <c r="G1931">
        <v>-32.590324229999958</v>
      </c>
      <c r="H1931">
        <v>1779.0820000000001</v>
      </c>
      <c r="I1931">
        <v>0</v>
      </c>
      <c r="J1931">
        <v>0</v>
      </c>
      <c r="K1931">
        <v>4.9009999999999998</v>
      </c>
      <c r="L1931">
        <v>-114.6</v>
      </c>
      <c r="M1931">
        <v>0</v>
      </c>
      <c r="N1931">
        <v>0</v>
      </c>
      <c r="O1931">
        <v>3.001522059779838</v>
      </c>
      <c r="P1931">
        <v>140649.2519486697</v>
      </c>
    </row>
    <row r="1932" spans="1:16" x14ac:dyDescent="0.25">
      <c r="A1932" s="10">
        <v>40451</v>
      </c>
      <c r="B1932">
        <v>-844.98014327988506</v>
      </c>
      <c r="C1932">
        <v>104.929</v>
      </c>
      <c r="D1932">
        <v>0</v>
      </c>
      <c r="E1932">
        <v>0</v>
      </c>
      <c r="F1932">
        <v>0</v>
      </c>
      <c r="G1932">
        <v>-61.823012830000039</v>
      </c>
      <c r="H1932">
        <v>-864.75799999999981</v>
      </c>
      <c r="I1932">
        <v>0</v>
      </c>
      <c r="J1932">
        <v>0</v>
      </c>
      <c r="K1932">
        <v>3.706</v>
      </c>
      <c r="L1932">
        <v>0</v>
      </c>
      <c r="M1932">
        <v>0</v>
      </c>
      <c r="N1932">
        <v>0</v>
      </c>
      <c r="O1932">
        <v>-27.034130449885179</v>
      </c>
      <c r="P1932">
        <v>139804.27180538981</v>
      </c>
    </row>
    <row r="1933" spans="1:16" x14ac:dyDescent="0.25">
      <c r="A1933" s="10">
        <v>40452</v>
      </c>
      <c r="B1933">
        <v>1536.962957790091</v>
      </c>
      <c r="C1933">
        <v>350.15300000000002</v>
      </c>
      <c r="D1933">
        <v>0</v>
      </c>
      <c r="E1933">
        <v>-600</v>
      </c>
      <c r="F1933">
        <v>0</v>
      </c>
      <c r="G1933">
        <v>604.36722731999998</v>
      </c>
      <c r="H1933">
        <v>1183.2774999999999</v>
      </c>
      <c r="I1933">
        <v>0</v>
      </c>
      <c r="J1933">
        <v>0</v>
      </c>
      <c r="K1933">
        <v>2.7440000000000002</v>
      </c>
      <c r="L1933">
        <v>0</v>
      </c>
      <c r="M1933">
        <v>0</v>
      </c>
      <c r="N1933">
        <v>0</v>
      </c>
      <c r="O1933">
        <v>-3.5787695299085489</v>
      </c>
      <c r="P1933">
        <v>141341.23476317991</v>
      </c>
    </row>
    <row r="1934" spans="1:16" x14ac:dyDescent="0.25">
      <c r="A1934" s="10">
        <v>40455</v>
      </c>
      <c r="B1934">
        <v>438.64779681982998</v>
      </c>
      <c r="C1934">
        <v>297.39499999999998</v>
      </c>
      <c r="D1934">
        <v>0</v>
      </c>
      <c r="E1934">
        <v>0</v>
      </c>
      <c r="F1934">
        <v>0</v>
      </c>
      <c r="G1934">
        <v>-24.236589249999948</v>
      </c>
      <c r="H1934">
        <v>196.73733699999869</v>
      </c>
      <c r="I1934">
        <v>0</v>
      </c>
      <c r="J1934">
        <v>0</v>
      </c>
      <c r="K1934">
        <v>4.4489999999999998</v>
      </c>
      <c r="L1934">
        <v>46.7</v>
      </c>
      <c r="M1934">
        <v>0</v>
      </c>
      <c r="N1934">
        <v>0</v>
      </c>
      <c r="O1934">
        <v>-82.396950930168671</v>
      </c>
      <c r="P1934">
        <v>141779.88255999979</v>
      </c>
    </row>
    <row r="1935" spans="1:16" x14ac:dyDescent="0.25">
      <c r="A1935" s="10">
        <v>40456</v>
      </c>
      <c r="B1935">
        <v>1520.851266740297</v>
      </c>
      <c r="C1935">
        <v>326.17849999999999</v>
      </c>
      <c r="D1935">
        <v>0</v>
      </c>
      <c r="E1935">
        <v>0</v>
      </c>
      <c r="F1935">
        <v>0</v>
      </c>
      <c r="G1935">
        <v>2005.3273702199999</v>
      </c>
      <c r="H1935">
        <v>-868.19094799999948</v>
      </c>
      <c r="I1935">
        <v>0</v>
      </c>
      <c r="J1935">
        <v>0</v>
      </c>
      <c r="K1935">
        <v>1.3580000000000001</v>
      </c>
      <c r="L1935">
        <v>0</v>
      </c>
      <c r="M1935">
        <v>0</v>
      </c>
      <c r="N1935">
        <v>0</v>
      </c>
      <c r="O1935">
        <v>56.178344520296832</v>
      </c>
      <c r="P1935">
        <v>143300.73382674009</v>
      </c>
    </row>
    <row r="1936" spans="1:16" x14ac:dyDescent="0.25">
      <c r="A1936" s="10">
        <v>40457</v>
      </c>
      <c r="B1936">
        <v>119.6560174398182</v>
      </c>
      <c r="C1936">
        <v>131.73099999999999</v>
      </c>
      <c r="D1936">
        <v>0</v>
      </c>
      <c r="E1936">
        <v>0</v>
      </c>
      <c r="F1936">
        <v>0</v>
      </c>
      <c r="G1936">
        <v>3.987916389999981</v>
      </c>
      <c r="H1936">
        <v>272.13082100000071</v>
      </c>
      <c r="I1936">
        <v>0</v>
      </c>
      <c r="J1936">
        <v>0</v>
      </c>
      <c r="K1936">
        <v>1.92</v>
      </c>
      <c r="L1936">
        <v>-282.3</v>
      </c>
      <c r="M1936">
        <v>0</v>
      </c>
      <c r="N1936">
        <v>0</v>
      </c>
      <c r="O1936">
        <v>-7.8137199501824508</v>
      </c>
      <c r="P1936">
        <v>143420.38984417991</v>
      </c>
    </row>
    <row r="1937" spans="1:16" x14ac:dyDescent="0.25">
      <c r="A1937" s="10">
        <v>40458</v>
      </c>
      <c r="B1937">
        <v>981.04953779021241</v>
      </c>
      <c r="C1937">
        <v>463.24400000000003</v>
      </c>
      <c r="D1937">
        <v>0</v>
      </c>
      <c r="E1937">
        <v>650</v>
      </c>
      <c r="F1937">
        <v>0</v>
      </c>
      <c r="G1937">
        <v>-619.41656976000002</v>
      </c>
      <c r="H1937">
        <v>461.67143099999879</v>
      </c>
      <c r="I1937">
        <v>0</v>
      </c>
      <c r="J1937">
        <v>0</v>
      </c>
      <c r="K1937">
        <v>2.781663790198508</v>
      </c>
      <c r="L1937">
        <v>28</v>
      </c>
      <c r="M1937">
        <v>0</v>
      </c>
      <c r="N1937">
        <v>0</v>
      </c>
      <c r="O1937">
        <v>-5.2309872399851436</v>
      </c>
      <c r="P1937">
        <v>144401.43938197009</v>
      </c>
    </row>
    <row r="1938" spans="1:16" x14ac:dyDescent="0.25">
      <c r="A1938" s="10">
        <v>40459</v>
      </c>
      <c r="B1938">
        <v>-946.59690952007134</v>
      </c>
      <c r="C1938">
        <v>341.92899999999997</v>
      </c>
      <c r="D1938">
        <v>0</v>
      </c>
      <c r="E1938">
        <v>0</v>
      </c>
      <c r="F1938">
        <v>0</v>
      </c>
      <c r="G1938">
        <v>-61.892377369999963</v>
      </c>
      <c r="H1938">
        <v>-1239.767999999998</v>
      </c>
      <c r="I1938">
        <v>0</v>
      </c>
      <c r="J1938">
        <v>0</v>
      </c>
      <c r="K1938">
        <v>2.4849999999999999</v>
      </c>
      <c r="L1938">
        <v>0</v>
      </c>
      <c r="M1938">
        <v>0</v>
      </c>
      <c r="N1938">
        <v>0</v>
      </c>
      <c r="O1938">
        <v>10.64946784992685</v>
      </c>
      <c r="P1938">
        <v>143454.84247244999</v>
      </c>
    </row>
    <row r="1939" spans="1:16" x14ac:dyDescent="0.25">
      <c r="A1939" s="10">
        <v>40463</v>
      </c>
      <c r="B1939">
        <v>-188.5080367902996</v>
      </c>
      <c r="C1939">
        <v>259.05077999999997</v>
      </c>
      <c r="D1939">
        <v>0</v>
      </c>
      <c r="E1939">
        <v>0</v>
      </c>
      <c r="F1939">
        <v>0</v>
      </c>
      <c r="G1939">
        <v>15.59809058000002</v>
      </c>
      <c r="H1939">
        <v>-420.10800000000017</v>
      </c>
      <c r="I1939">
        <v>0</v>
      </c>
      <c r="J1939">
        <v>0</v>
      </c>
      <c r="K1939">
        <v>6.234</v>
      </c>
      <c r="L1939">
        <v>0</v>
      </c>
      <c r="M1939">
        <v>0</v>
      </c>
      <c r="N1939">
        <v>0</v>
      </c>
      <c r="O1939">
        <v>-49.282907370299426</v>
      </c>
      <c r="P1939">
        <v>143266.33443565969</v>
      </c>
    </row>
    <row r="1940" spans="1:16" x14ac:dyDescent="0.25">
      <c r="A1940" s="10">
        <v>40464</v>
      </c>
      <c r="B1940">
        <v>-1009.490175629588</v>
      </c>
      <c r="C1940">
        <v>252.54326</v>
      </c>
      <c r="D1940">
        <v>0</v>
      </c>
      <c r="E1940">
        <v>0</v>
      </c>
      <c r="F1940">
        <v>0</v>
      </c>
      <c r="G1940">
        <v>-7.0886703400000206</v>
      </c>
      <c r="H1940">
        <v>-762.46999199999846</v>
      </c>
      <c r="I1940">
        <v>0</v>
      </c>
      <c r="J1940">
        <v>0</v>
      </c>
      <c r="K1940">
        <v>3.7410000000000001</v>
      </c>
      <c r="L1940">
        <v>-499.2</v>
      </c>
      <c r="M1940">
        <v>0</v>
      </c>
      <c r="N1940">
        <v>0</v>
      </c>
      <c r="O1940">
        <v>2.984226710410872</v>
      </c>
      <c r="P1940">
        <v>142256.84426003011</v>
      </c>
    </row>
    <row r="1941" spans="1:16" x14ac:dyDescent="0.25">
      <c r="A1941" s="10">
        <v>40465</v>
      </c>
      <c r="B1941">
        <v>502.08541325965763</v>
      </c>
      <c r="C1941">
        <v>349.19200000000001</v>
      </c>
      <c r="D1941">
        <v>0</v>
      </c>
      <c r="E1941">
        <v>0</v>
      </c>
      <c r="F1941">
        <v>0</v>
      </c>
      <c r="G1941">
        <v>-28.67573851999995</v>
      </c>
      <c r="H1941">
        <v>157.1129999999994</v>
      </c>
      <c r="I1941">
        <v>0</v>
      </c>
      <c r="J1941">
        <v>0</v>
      </c>
      <c r="K1941">
        <v>3.403</v>
      </c>
      <c r="L1941">
        <v>0</v>
      </c>
      <c r="M1941">
        <v>0</v>
      </c>
      <c r="N1941">
        <v>0</v>
      </c>
      <c r="O1941">
        <v>21.05315177965818</v>
      </c>
      <c r="P1941">
        <v>142758.92967328979</v>
      </c>
    </row>
    <row r="1942" spans="1:16" x14ac:dyDescent="0.25">
      <c r="A1942" s="10">
        <v>40466</v>
      </c>
      <c r="B1942">
        <v>339.95353257018701</v>
      </c>
      <c r="C1942">
        <v>120.539</v>
      </c>
      <c r="D1942">
        <v>0</v>
      </c>
      <c r="E1942">
        <v>-930</v>
      </c>
      <c r="F1942">
        <v>0</v>
      </c>
      <c r="G1942">
        <v>912.83730423999975</v>
      </c>
      <c r="H1942">
        <v>245.9489999999987</v>
      </c>
      <c r="I1942">
        <v>0</v>
      </c>
      <c r="J1942">
        <v>0</v>
      </c>
      <c r="K1942">
        <v>4.4480000000000004</v>
      </c>
      <c r="L1942">
        <v>0</v>
      </c>
      <c r="M1942">
        <v>0</v>
      </c>
      <c r="N1942">
        <v>0</v>
      </c>
      <c r="O1942">
        <v>-13.819771669811439</v>
      </c>
      <c r="P1942">
        <v>143098.88320586001</v>
      </c>
    </row>
    <row r="1943" spans="1:16" x14ac:dyDescent="0.25">
      <c r="A1943" s="10">
        <v>40469</v>
      </c>
      <c r="B1943">
        <v>-1023.852819070133</v>
      </c>
      <c r="C1943">
        <v>330.59050000000002</v>
      </c>
      <c r="D1943">
        <v>0</v>
      </c>
      <c r="E1943">
        <v>0</v>
      </c>
      <c r="F1943">
        <v>0</v>
      </c>
      <c r="G1943">
        <v>4.3653718200000071</v>
      </c>
      <c r="H1943">
        <v>-1337.3776330000001</v>
      </c>
      <c r="I1943">
        <v>0</v>
      </c>
      <c r="J1943">
        <v>0</v>
      </c>
      <c r="K1943">
        <v>3.5750000000000002</v>
      </c>
      <c r="L1943">
        <v>0</v>
      </c>
      <c r="M1943">
        <v>0</v>
      </c>
      <c r="N1943">
        <v>0</v>
      </c>
      <c r="O1943">
        <v>-25.006057890133341</v>
      </c>
      <c r="P1943">
        <v>142075.03038678979</v>
      </c>
    </row>
    <row r="1944" spans="1:16" x14ac:dyDescent="0.25">
      <c r="A1944" s="10">
        <v>40470</v>
      </c>
      <c r="B1944">
        <v>-1706.597909409845</v>
      </c>
      <c r="C1944">
        <v>80.699999999999989</v>
      </c>
      <c r="D1944">
        <v>0</v>
      </c>
      <c r="E1944">
        <v>0</v>
      </c>
      <c r="F1944">
        <v>0</v>
      </c>
      <c r="G1944">
        <v>63.216100520000047</v>
      </c>
      <c r="H1944">
        <v>-1825.492999999997</v>
      </c>
      <c r="I1944">
        <v>0</v>
      </c>
      <c r="J1944">
        <v>0</v>
      </c>
      <c r="K1944">
        <v>3.5489999999999999</v>
      </c>
      <c r="L1944">
        <v>0</v>
      </c>
      <c r="M1944">
        <v>0</v>
      </c>
      <c r="N1944">
        <v>0</v>
      </c>
      <c r="O1944">
        <v>-28.570009929847991</v>
      </c>
      <c r="P1944">
        <v>140368.43247738</v>
      </c>
    </row>
    <row r="1945" spans="1:16" x14ac:dyDescent="0.25">
      <c r="A1945" s="10">
        <v>40471</v>
      </c>
      <c r="B1945">
        <v>-132.9770097200533</v>
      </c>
      <c r="C1945">
        <v>132.626</v>
      </c>
      <c r="D1945">
        <v>0</v>
      </c>
      <c r="E1945">
        <v>0</v>
      </c>
      <c r="F1945">
        <v>0</v>
      </c>
      <c r="G1945">
        <v>118.59217762999999</v>
      </c>
      <c r="H1945">
        <v>1052.4489999999989</v>
      </c>
      <c r="I1945">
        <v>0</v>
      </c>
      <c r="J1945">
        <v>0</v>
      </c>
      <c r="K1945">
        <v>4.7889999999999997</v>
      </c>
      <c r="L1945">
        <v>-1437.4</v>
      </c>
      <c r="M1945">
        <v>0</v>
      </c>
      <c r="N1945">
        <v>0</v>
      </c>
      <c r="O1945">
        <v>-4.0331873500522306</v>
      </c>
      <c r="P1945">
        <v>140235.45546766001</v>
      </c>
    </row>
    <row r="1946" spans="1:16" x14ac:dyDescent="0.25">
      <c r="A1946" s="10">
        <v>40472</v>
      </c>
      <c r="B1946">
        <v>1363.8175634299701</v>
      </c>
      <c r="C1946">
        <v>164.25800000000001</v>
      </c>
      <c r="D1946">
        <v>0</v>
      </c>
      <c r="E1946">
        <v>0</v>
      </c>
      <c r="F1946">
        <v>0</v>
      </c>
      <c r="G1946">
        <v>-20.43358819000002</v>
      </c>
      <c r="H1946">
        <v>1215.021817000001</v>
      </c>
      <c r="I1946">
        <v>0</v>
      </c>
      <c r="J1946">
        <v>0</v>
      </c>
      <c r="K1946">
        <v>3.6840000000000002</v>
      </c>
      <c r="L1946">
        <v>33.599999999999987</v>
      </c>
      <c r="M1946">
        <v>0</v>
      </c>
      <c r="N1946">
        <v>0</v>
      </c>
      <c r="O1946">
        <v>-32.312665380030239</v>
      </c>
      <c r="P1946">
        <v>141599.27303108989</v>
      </c>
    </row>
    <row r="1947" spans="1:16" x14ac:dyDescent="0.25">
      <c r="A1947" s="10">
        <v>40473</v>
      </c>
      <c r="B1947">
        <v>1054.6935315699379</v>
      </c>
      <c r="C1947">
        <v>165.74299999999999</v>
      </c>
      <c r="D1947">
        <v>0</v>
      </c>
      <c r="E1947">
        <v>-170</v>
      </c>
      <c r="F1947">
        <v>3000</v>
      </c>
      <c r="G1947">
        <v>-2820.6251192499999</v>
      </c>
      <c r="H1947">
        <v>878.68900000000031</v>
      </c>
      <c r="I1947">
        <v>0</v>
      </c>
      <c r="J1947">
        <v>0</v>
      </c>
      <c r="K1947">
        <v>3.63</v>
      </c>
      <c r="L1947">
        <v>0</v>
      </c>
      <c r="M1947">
        <v>0</v>
      </c>
      <c r="N1947">
        <v>0</v>
      </c>
      <c r="O1947">
        <v>-2.7433491800621592</v>
      </c>
      <c r="P1947">
        <v>142653.96656265989</v>
      </c>
    </row>
    <row r="1948" spans="1:16" x14ac:dyDescent="0.25">
      <c r="A1948" s="10">
        <v>40476</v>
      </c>
      <c r="B1948">
        <v>-526.0730506598187</v>
      </c>
      <c r="C1948">
        <v>148.46549999999999</v>
      </c>
      <c r="D1948">
        <v>0</v>
      </c>
      <c r="E1948">
        <v>0</v>
      </c>
      <c r="F1948">
        <v>0</v>
      </c>
      <c r="G1948">
        <v>-29.120397189999998</v>
      </c>
      <c r="H1948">
        <v>-626.88843799999995</v>
      </c>
      <c r="I1948">
        <v>0</v>
      </c>
      <c r="J1948">
        <v>0</v>
      </c>
      <c r="K1948">
        <v>5.6669999999999998</v>
      </c>
      <c r="L1948">
        <v>0</v>
      </c>
      <c r="M1948">
        <v>0</v>
      </c>
      <c r="N1948">
        <v>0</v>
      </c>
      <c r="O1948">
        <v>-24.19671546981872</v>
      </c>
      <c r="P1948">
        <v>142127.89351200001</v>
      </c>
    </row>
    <row r="1949" spans="1:16" x14ac:dyDescent="0.25">
      <c r="A1949" s="10">
        <v>40477</v>
      </c>
      <c r="B1949">
        <v>-2174.7154427901851</v>
      </c>
      <c r="C1949">
        <v>27.310400000000001</v>
      </c>
      <c r="D1949">
        <v>0</v>
      </c>
      <c r="E1949">
        <v>0</v>
      </c>
      <c r="F1949">
        <v>0</v>
      </c>
      <c r="G1949">
        <v>-52.70647993</v>
      </c>
      <c r="H1949">
        <v>-2162.851000000001</v>
      </c>
      <c r="I1949">
        <v>0</v>
      </c>
      <c r="J1949">
        <v>0</v>
      </c>
      <c r="K1949">
        <v>3.6269999999999998</v>
      </c>
      <c r="L1949">
        <v>0</v>
      </c>
      <c r="M1949">
        <v>0</v>
      </c>
      <c r="N1949">
        <v>0</v>
      </c>
      <c r="O1949">
        <v>9.904637139815895</v>
      </c>
      <c r="P1949">
        <v>139953.17806920991</v>
      </c>
    </row>
    <row r="1950" spans="1:16" x14ac:dyDescent="0.25">
      <c r="A1950" s="10">
        <v>40479</v>
      </c>
      <c r="B1950">
        <v>865.0425482701396</v>
      </c>
      <c r="C1950">
        <v>117.94</v>
      </c>
      <c r="D1950">
        <v>0</v>
      </c>
      <c r="E1950">
        <v>0</v>
      </c>
      <c r="F1950">
        <v>0</v>
      </c>
      <c r="G1950">
        <v>44.51148249000002</v>
      </c>
      <c r="H1950">
        <v>-624.97199999999975</v>
      </c>
      <c r="I1950">
        <v>0</v>
      </c>
      <c r="J1950">
        <v>0</v>
      </c>
      <c r="K1950">
        <v>7.4360000000000008</v>
      </c>
      <c r="L1950">
        <v>1311.9</v>
      </c>
      <c r="M1950">
        <v>0</v>
      </c>
      <c r="N1950">
        <v>0</v>
      </c>
      <c r="O1950">
        <v>8.2270657801395366</v>
      </c>
      <c r="P1950">
        <v>140818.22061747999</v>
      </c>
    </row>
    <row r="1951" spans="1:16" x14ac:dyDescent="0.25">
      <c r="A1951" s="10">
        <v>40480</v>
      </c>
      <c r="B1951">
        <v>-301.73965710992269</v>
      </c>
      <c r="C1951">
        <v>51.045999999999999</v>
      </c>
      <c r="D1951">
        <v>0</v>
      </c>
      <c r="E1951">
        <v>1100</v>
      </c>
      <c r="F1951">
        <v>0</v>
      </c>
      <c r="G1951">
        <v>-1084.07788084</v>
      </c>
      <c r="H1951">
        <v>-374.93199999999888</v>
      </c>
      <c r="I1951">
        <v>0</v>
      </c>
      <c r="J1951">
        <v>0</v>
      </c>
      <c r="K1951">
        <v>3.4430000000000001</v>
      </c>
      <c r="L1951">
        <v>0</v>
      </c>
      <c r="M1951">
        <v>0</v>
      </c>
      <c r="N1951">
        <v>0</v>
      </c>
      <c r="O1951">
        <v>2.7812237300763631</v>
      </c>
      <c r="P1951">
        <v>140516.4809603701</v>
      </c>
    </row>
    <row r="1952" spans="1:16" x14ac:dyDescent="0.25">
      <c r="A1952" s="10">
        <v>40483</v>
      </c>
      <c r="B1952">
        <v>4384.1422232999184</v>
      </c>
      <c r="C1952">
        <v>171.821</v>
      </c>
      <c r="D1952">
        <v>0</v>
      </c>
      <c r="E1952">
        <v>0</v>
      </c>
      <c r="F1952">
        <v>0</v>
      </c>
      <c r="G1952">
        <v>-244.41052364999999</v>
      </c>
      <c r="H1952">
        <v>4454.7170000000006</v>
      </c>
      <c r="I1952">
        <v>0</v>
      </c>
      <c r="J1952">
        <v>0</v>
      </c>
      <c r="K1952">
        <v>9.4</v>
      </c>
      <c r="L1952">
        <v>0</v>
      </c>
      <c r="M1952">
        <v>0</v>
      </c>
      <c r="N1952">
        <v>0</v>
      </c>
      <c r="O1952">
        <v>-7.3852530500829747</v>
      </c>
      <c r="P1952">
        <v>144900.62318366999</v>
      </c>
    </row>
    <row r="1953" spans="1:16" x14ac:dyDescent="0.25">
      <c r="A1953" s="10">
        <v>40484</v>
      </c>
      <c r="B1953">
        <v>-732.33281109001803</v>
      </c>
      <c r="C1953">
        <v>336.42950000000002</v>
      </c>
      <c r="D1953">
        <v>0</v>
      </c>
      <c r="E1953">
        <v>0</v>
      </c>
      <c r="F1953">
        <v>0</v>
      </c>
      <c r="G1953">
        <v>36.039965259999988</v>
      </c>
      <c r="H1953">
        <v>-1071.226000000001</v>
      </c>
      <c r="I1953">
        <v>0</v>
      </c>
      <c r="J1953">
        <v>0</v>
      </c>
      <c r="K1953">
        <v>3.7570000000000001</v>
      </c>
      <c r="L1953">
        <v>0</v>
      </c>
      <c r="M1953">
        <v>0</v>
      </c>
      <c r="N1953">
        <v>0</v>
      </c>
      <c r="O1953">
        <v>-37.3332763500174</v>
      </c>
      <c r="P1953">
        <v>144168.29037257991</v>
      </c>
    </row>
    <row r="1954" spans="1:16" x14ac:dyDescent="0.25">
      <c r="A1954" s="10">
        <v>40485</v>
      </c>
      <c r="B1954">
        <v>985.32914663999611</v>
      </c>
      <c r="C1954">
        <v>265.71174999999999</v>
      </c>
      <c r="D1954">
        <v>0</v>
      </c>
      <c r="E1954">
        <v>0</v>
      </c>
      <c r="F1954">
        <v>0</v>
      </c>
      <c r="G1954">
        <v>22.283082790000009</v>
      </c>
      <c r="H1954">
        <v>252.26499999999939</v>
      </c>
      <c r="I1954">
        <v>0</v>
      </c>
      <c r="J1954">
        <v>0</v>
      </c>
      <c r="K1954">
        <v>1.79</v>
      </c>
      <c r="L1954">
        <v>453.70800000000003</v>
      </c>
      <c r="M1954">
        <v>0</v>
      </c>
      <c r="N1954">
        <v>0</v>
      </c>
      <c r="O1954">
        <v>-10.428686150003321</v>
      </c>
      <c r="P1954">
        <v>145153.61951922</v>
      </c>
    </row>
    <row r="1955" spans="1:16" x14ac:dyDescent="0.25">
      <c r="A1955" s="10">
        <v>40486</v>
      </c>
      <c r="B1955">
        <v>-363.7460476201378</v>
      </c>
      <c r="C1955">
        <v>121.117</v>
      </c>
      <c r="D1955">
        <v>0</v>
      </c>
      <c r="E1955">
        <v>0</v>
      </c>
      <c r="F1955">
        <v>0</v>
      </c>
      <c r="G1955">
        <v>-44.730547230000013</v>
      </c>
      <c r="H1955">
        <v>-342.05599999999868</v>
      </c>
      <c r="I1955">
        <v>0</v>
      </c>
      <c r="J1955">
        <v>0</v>
      </c>
      <c r="K1955">
        <v>3.1970000000000001</v>
      </c>
      <c r="L1955">
        <v>0</v>
      </c>
      <c r="M1955">
        <v>0</v>
      </c>
      <c r="N1955">
        <v>0</v>
      </c>
      <c r="O1955">
        <v>-101.27350039013911</v>
      </c>
      <c r="P1955">
        <v>144789.8734715998</v>
      </c>
    </row>
    <row r="1956" spans="1:16" x14ac:dyDescent="0.25">
      <c r="A1956" s="10">
        <v>40487</v>
      </c>
      <c r="B1956">
        <v>-2194.890515500098</v>
      </c>
      <c r="C1956">
        <v>248.16309999999999</v>
      </c>
      <c r="D1956">
        <v>0</v>
      </c>
      <c r="E1956">
        <v>0</v>
      </c>
      <c r="F1956">
        <v>0</v>
      </c>
      <c r="G1956">
        <v>-43.054582150000009</v>
      </c>
      <c r="H1956">
        <v>-2467.5520000000001</v>
      </c>
      <c r="I1956">
        <v>0</v>
      </c>
      <c r="J1956">
        <v>0</v>
      </c>
      <c r="K1956">
        <v>3.169</v>
      </c>
      <c r="L1956">
        <v>0</v>
      </c>
      <c r="M1956">
        <v>0</v>
      </c>
      <c r="N1956">
        <v>0</v>
      </c>
      <c r="O1956">
        <v>64.383966649902419</v>
      </c>
      <c r="P1956">
        <v>142594.9829560997</v>
      </c>
    </row>
    <row r="1957" spans="1:16" x14ac:dyDescent="0.25">
      <c r="A1957" s="10">
        <v>40490</v>
      </c>
      <c r="B1957">
        <v>927.30674965999742</v>
      </c>
      <c r="C1957">
        <v>86.724000000000004</v>
      </c>
      <c r="D1957">
        <v>0</v>
      </c>
      <c r="E1957">
        <v>0</v>
      </c>
      <c r="F1957">
        <v>0</v>
      </c>
      <c r="G1957">
        <v>108.58470561</v>
      </c>
      <c r="H1957">
        <v>767.12475199999972</v>
      </c>
      <c r="I1957">
        <v>0</v>
      </c>
      <c r="J1957">
        <v>0</v>
      </c>
      <c r="K1957">
        <v>6.1269999999999998</v>
      </c>
      <c r="L1957">
        <v>0</v>
      </c>
      <c r="M1957">
        <v>0</v>
      </c>
      <c r="N1957">
        <v>0</v>
      </c>
      <c r="O1957">
        <v>-41.253707950002287</v>
      </c>
      <c r="P1957">
        <v>143522.2897057597</v>
      </c>
    </row>
    <row r="1958" spans="1:16" x14ac:dyDescent="0.25">
      <c r="A1958" s="10">
        <v>40491</v>
      </c>
      <c r="B1958">
        <v>-234.2603523698925</v>
      </c>
      <c r="C1958">
        <v>209.9315</v>
      </c>
      <c r="D1958">
        <v>0</v>
      </c>
      <c r="E1958">
        <v>0</v>
      </c>
      <c r="F1958">
        <v>0</v>
      </c>
      <c r="G1958">
        <v>-42.784275209999997</v>
      </c>
      <c r="H1958">
        <v>-389.91899999999993</v>
      </c>
      <c r="I1958">
        <v>0</v>
      </c>
      <c r="J1958">
        <v>0</v>
      </c>
      <c r="K1958">
        <v>3.2759999999999998</v>
      </c>
      <c r="L1958">
        <v>0</v>
      </c>
      <c r="M1958">
        <v>0</v>
      </c>
      <c r="N1958">
        <v>0</v>
      </c>
      <c r="O1958">
        <v>-14.76457715989261</v>
      </c>
      <c r="P1958">
        <v>143288.02935338981</v>
      </c>
    </row>
    <row r="1959" spans="1:16" x14ac:dyDescent="0.25">
      <c r="A1959" s="10">
        <v>40492</v>
      </c>
      <c r="B1959">
        <v>170.0779002901109</v>
      </c>
      <c r="C1959">
        <v>211.571</v>
      </c>
      <c r="D1959">
        <v>0</v>
      </c>
      <c r="E1959">
        <v>0</v>
      </c>
      <c r="F1959">
        <v>0</v>
      </c>
      <c r="G1959">
        <v>3.486457129999962</v>
      </c>
      <c r="H1959">
        <v>1067.5130000000011</v>
      </c>
      <c r="I1959">
        <v>0</v>
      </c>
      <c r="J1959">
        <v>0</v>
      </c>
      <c r="K1959">
        <v>3.8130000000000002</v>
      </c>
      <c r="L1959">
        <v>-1104.4000000000001</v>
      </c>
      <c r="M1959">
        <v>0</v>
      </c>
      <c r="N1959">
        <v>0</v>
      </c>
      <c r="O1959">
        <v>-11.905556839890229</v>
      </c>
      <c r="P1959">
        <v>143458.10725367989</v>
      </c>
    </row>
    <row r="1960" spans="1:16" x14ac:dyDescent="0.25">
      <c r="A1960" s="10">
        <v>40493</v>
      </c>
      <c r="B1960">
        <v>1093.5640356900701</v>
      </c>
      <c r="C1960">
        <v>0</v>
      </c>
      <c r="D1960">
        <v>0</v>
      </c>
      <c r="E1960">
        <v>0</v>
      </c>
      <c r="F1960">
        <v>0</v>
      </c>
      <c r="G1960">
        <v>-45.526138779999997</v>
      </c>
      <c r="H1960">
        <v>1188.0849999999989</v>
      </c>
      <c r="I1960">
        <v>0</v>
      </c>
      <c r="J1960">
        <v>0</v>
      </c>
      <c r="K1960">
        <v>3.6419999999999999</v>
      </c>
      <c r="L1960">
        <v>10</v>
      </c>
      <c r="M1960">
        <v>0</v>
      </c>
      <c r="N1960">
        <v>0</v>
      </c>
      <c r="O1960">
        <v>-62.636825529929453</v>
      </c>
      <c r="P1960">
        <v>144551.67128936999</v>
      </c>
    </row>
    <row r="1961" spans="1:16" x14ac:dyDescent="0.25">
      <c r="A1961" s="10">
        <v>40494</v>
      </c>
      <c r="B1961">
        <v>784.20830546013917</v>
      </c>
      <c r="C1961">
        <v>276.27071999999998</v>
      </c>
      <c r="D1961">
        <v>0</v>
      </c>
      <c r="E1961">
        <v>0</v>
      </c>
      <c r="F1961">
        <v>0</v>
      </c>
      <c r="G1961">
        <v>-54.374938199999967</v>
      </c>
      <c r="H1961">
        <v>575.92699999999968</v>
      </c>
      <c r="I1961">
        <v>0</v>
      </c>
      <c r="J1961">
        <v>0</v>
      </c>
      <c r="K1961">
        <v>4.1059999999999999</v>
      </c>
      <c r="L1961">
        <v>5.8999999999999986</v>
      </c>
      <c r="M1961">
        <v>0</v>
      </c>
      <c r="N1961">
        <v>0</v>
      </c>
      <c r="O1961">
        <v>-23.620476339860531</v>
      </c>
      <c r="P1961">
        <v>145335.87959483021</v>
      </c>
    </row>
    <row r="1962" spans="1:16" x14ac:dyDescent="0.25">
      <c r="A1962" s="10">
        <v>40497</v>
      </c>
      <c r="B1962">
        <v>-100.30612245018619</v>
      </c>
      <c r="C1962">
        <v>69.442499999999981</v>
      </c>
      <c r="D1962">
        <v>0</v>
      </c>
      <c r="E1962">
        <v>0</v>
      </c>
      <c r="F1962">
        <v>3000</v>
      </c>
      <c r="G1962">
        <v>-3052.1898282500001</v>
      </c>
      <c r="H1962">
        <v>-116.6739999999991</v>
      </c>
      <c r="I1962">
        <v>0</v>
      </c>
      <c r="J1962">
        <v>0</v>
      </c>
      <c r="K1962">
        <v>5.6230000000000002</v>
      </c>
      <c r="L1962">
        <v>0</v>
      </c>
      <c r="M1962">
        <v>0</v>
      </c>
      <c r="N1962">
        <v>0</v>
      </c>
      <c r="O1962">
        <v>-6.5077942001871634</v>
      </c>
      <c r="P1962">
        <v>145235.57347238</v>
      </c>
    </row>
    <row r="1963" spans="1:16" x14ac:dyDescent="0.25">
      <c r="A1963" s="10">
        <v>40498</v>
      </c>
      <c r="B1963">
        <v>-1309.7586966397951</v>
      </c>
      <c r="C1963">
        <v>188.17599999999999</v>
      </c>
      <c r="D1963">
        <v>0</v>
      </c>
      <c r="E1963">
        <v>-2800</v>
      </c>
      <c r="F1963">
        <v>0</v>
      </c>
      <c r="G1963">
        <v>2830.0332356099998</v>
      </c>
      <c r="H1963">
        <v>-1499.674999999999</v>
      </c>
      <c r="I1963">
        <v>0</v>
      </c>
      <c r="J1963">
        <v>0</v>
      </c>
      <c r="K1963">
        <v>3.1379999999999999</v>
      </c>
      <c r="L1963">
        <v>0</v>
      </c>
      <c r="M1963">
        <v>0</v>
      </c>
      <c r="N1963">
        <v>0</v>
      </c>
      <c r="O1963">
        <v>-31.43093224979507</v>
      </c>
      <c r="P1963">
        <v>143925.8147757402</v>
      </c>
    </row>
    <row r="1964" spans="1:16" x14ac:dyDescent="0.25">
      <c r="A1964" s="10">
        <v>40499</v>
      </c>
      <c r="B1964">
        <v>191.10894639993859</v>
      </c>
      <c r="C1964">
        <v>86.118449999999996</v>
      </c>
      <c r="D1964">
        <v>0</v>
      </c>
      <c r="E1964">
        <v>0</v>
      </c>
      <c r="F1964">
        <v>0</v>
      </c>
      <c r="G1964">
        <v>12.203822550000011</v>
      </c>
      <c r="H1964">
        <v>-353.83699999999948</v>
      </c>
      <c r="I1964">
        <v>0</v>
      </c>
      <c r="J1964">
        <v>8.3999999999996362</v>
      </c>
      <c r="K1964">
        <v>4.1749999999999998</v>
      </c>
      <c r="L1964">
        <v>440.29999999999978</v>
      </c>
      <c r="M1964">
        <v>0</v>
      </c>
      <c r="N1964">
        <v>0</v>
      </c>
      <c r="O1964">
        <v>-6.2513261500613906</v>
      </c>
      <c r="P1964">
        <v>144116.92372214011</v>
      </c>
    </row>
    <row r="1965" spans="1:16" x14ac:dyDescent="0.25">
      <c r="A1965" s="10">
        <v>40500</v>
      </c>
      <c r="B1965">
        <v>778.17764649982507</v>
      </c>
      <c r="C1965">
        <v>333.67700000000002</v>
      </c>
      <c r="D1965">
        <v>0</v>
      </c>
      <c r="E1965">
        <v>0</v>
      </c>
      <c r="F1965">
        <v>0</v>
      </c>
      <c r="G1965">
        <v>55.417724120000003</v>
      </c>
      <c r="H1965">
        <v>402.64299999999821</v>
      </c>
      <c r="I1965">
        <v>0</v>
      </c>
      <c r="J1965">
        <v>0</v>
      </c>
      <c r="K1965">
        <v>3.3330000000000002</v>
      </c>
      <c r="L1965">
        <v>0</v>
      </c>
      <c r="M1965">
        <v>0</v>
      </c>
      <c r="N1965">
        <v>0</v>
      </c>
      <c r="O1965">
        <v>-16.893077620173081</v>
      </c>
      <c r="P1965">
        <v>144895.10136863991</v>
      </c>
    </row>
    <row r="1966" spans="1:16" x14ac:dyDescent="0.25">
      <c r="A1966" s="10">
        <v>40501</v>
      </c>
      <c r="B1966">
        <v>1697.474658909922</v>
      </c>
      <c r="C1966">
        <v>116.0305</v>
      </c>
      <c r="D1966">
        <v>0</v>
      </c>
      <c r="E1966">
        <v>2750</v>
      </c>
      <c r="F1966">
        <v>0</v>
      </c>
      <c r="G1966">
        <v>-2676.3399952499999</v>
      </c>
      <c r="H1966">
        <v>1515.1970000000019</v>
      </c>
      <c r="I1966">
        <v>0</v>
      </c>
      <c r="J1966">
        <v>0</v>
      </c>
      <c r="K1966">
        <v>2.8780000000000001</v>
      </c>
      <c r="L1966">
        <v>0</v>
      </c>
      <c r="M1966">
        <v>0</v>
      </c>
      <c r="N1966">
        <v>0</v>
      </c>
      <c r="O1966">
        <v>-10.29084584007928</v>
      </c>
      <c r="P1966">
        <v>146592.57602754989</v>
      </c>
    </row>
    <row r="1967" spans="1:16" x14ac:dyDescent="0.25">
      <c r="A1967" s="10">
        <v>40505</v>
      </c>
      <c r="B1967">
        <v>1592.764882849996</v>
      </c>
      <c r="C1967">
        <v>124.3515</v>
      </c>
      <c r="D1967">
        <v>0</v>
      </c>
      <c r="E1967">
        <v>-1650</v>
      </c>
      <c r="F1967">
        <v>0</v>
      </c>
      <c r="G1967">
        <v>1640.7750020799999</v>
      </c>
      <c r="H1967">
        <v>1461.831999999999</v>
      </c>
      <c r="I1967">
        <v>0</v>
      </c>
      <c r="J1967">
        <v>0</v>
      </c>
      <c r="K1967">
        <v>7.23</v>
      </c>
      <c r="L1967">
        <v>27.8</v>
      </c>
      <c r="M1967">
        <v>0</v>
      </c>
      <c r="N1967">
        <v>0</v>
      </c>
      <c r="O1967">
        <v>-19.2236192300029</v>
      </c>
      <c r="P1967">
        <v>148185.34091039989</v>
      </c>
    </row>
    <row r="1968" spans="1:16" x14ac:dyDescent="0.25">
      <c r="A1968" s="10">
        <v>40506</v>
      </c>
      <c r="B1968">
        <v>594.42357324025932</v>
      </c>
      <c r="C1968">
        <v>441.04172</v>
      </c>
      <c r="D1968">
        <v>0</v>
      </c>
      <c r="E1968">
        <v>1700</v>
      </c>
      <c r="F1968">
        <v>0</v>
      </c>
      <c r="G1968">
        <v>-1712.3771410100001</v>
      </c>
      <c r="H1968">
        <v>-360.56299999999828</v>
      </c>
      <c r="I1968">
        <v>0</v>
      </c>
      <c r="J1968">
        <v>0</v>
      </c>
      <c r="K1968">
        <v>2.5550000000000002</v>
      </c>
      <c r="L1968">
        <v>555.80000000000007</v>
      </c>
      <c r="M1968">
        <v>0</v>
      </c>
      <c r="N1968">
        <v>0</v>
      </c>
      <c r="O1968">
        <v>-32.033005749742507</v>
      </c>
      <c r="P1968">
        <v>148779.76448364009</v>
      </c>
    </row>
    <row r="1969" spans="1:16" x14ac:dyDescent="0.25">
      <c r="A1969" s="10">
        <v>40507</v>
      </c>
      <c r="B1969">
        <v>480.20968905961411</v>
      </c>
      <c r="C1969">
        <v>-0.39700000000000019</v>
      </c>
      <c r="D1969">
        <v>0</v>
      </c>
      <c r="E1969">
        <v>0</v>
      </c>
      <c r="F1969">
        <v>0</v>
      </c>
      <c r="G1969">
        <v>-4.4036522500000066</v>
      </c>
      <c r="H1969">
        <v>384.8799999999992</v>
      </c>
      <c r="I1969">
        <v>0</v>
      </c>
      <c r="J1969">
        <v>0</v>
      </c>
      <c r="K1969">
        <v>3.0840000000000001</v>
      </c>
      <c r="L1969">
        <v>101.2</v>
      </c>
      <c r="M1969">
        <v>0</v>
      </c>
      <c r="N1969">
        <v>0</v>
      </c>
      <c r="O1969">
        <v>-4.1536586903850861</v>
      </c>
      <c r="P1969">
        <v>149259.9741726997</v>
      </c>
    </row>
    <row r="1970" spans="1:16" x14ac:dyDescent="0.25">
      <c r="A1970" s="10">
        <v>40508</v>
      </c>
      <c r="B1970">
        <v>-1959.9283729298911</v>
      </c>
      <c r="C1970">
        <v>167.077</v>
      </c>
      <c r="D1970">
        <v>0</v>
      </c>
      <c r="E1970">
        <v>-1850</v>
      </c>
      <c r="F1970">
        <v>0</v>
      </c>
      <c r="G1970">
        <v>1834.4551580499999</v>
      </c>
      <c r="H1970">
        <v>-2079.5289999999991</v>
      </c>
      <c r="I1970">
        <v>0</v>
      </c>
      <c r="J1970">
        <v>0</v>
      </c>
      <c r="K1970">
        <v>3.8370000000000002</v>
      </c>
      <c r="L1970">
        <v>0</v>
      </c>
      <c r="M1970">
        <v>0</v>
      </c>
      <c r="N1970">
        <v>0</v>
      </c>
      <c r="O1970">
        <v>-35.76853097989224</v>
      </c>
      <c r="P1970">
        <v>147300.0457997699</v>
      </c>
    </row>
    <row r="1971" spans="1:16" x14ac:dyDescent="0.25">
      <c r="A1971" s="10">
        <v>40511</v>
      </c>
      <c r="B1971">
        <v>-769.58329458985861</v>
      </c>
      <c r="C1971">
        <v>-2.38944</v>
      </c>
      <c r="D1971">
        <v>0</v>
      </c>
      <c r="E1971">
        <v>0</v>
      </c>
      <c r="F1971">
        <v>0</v>
      </c>
      <c r="G1971">
        <v>-498.57231746000008</v>
      </c>
      <c r="H1971">
        <v>-247.83259399999949</v>
      </c>
      <c r="I1971">
        <v>0</v>
      </c>
      <c r="J1971">
        <v>0</v>
      </c>
      <c r="K1971">
        <v>5.8140000000000001</v>
      </c>
      <c r="L1971">
        <v>0</v>
      </c>
      <c r="M1971">
        <v>0</v>
      </c>
      <c r="N1971">
        <v>0</v>
      </c>
      <c r="O1971">
        <v>-26.602943129859</v>
      </c>
      <c r="P1971">
        <v>146530.46250518001</v>
      </c>
    </row>
    <row r="1972" spans="1:16" x14ac:dyDescent="0.25">
      <c r="A1972" s="10">
        <v>40512</v>
      </c>
      <c r="B1972">
        <v>-1015.055331509997</v>
      </c>
      <c r="C1972">
        <v>213.16</v>
      </c>
      <c r="D1972">
        <v>0</v>
      </c>
      <c r="E1972">
        <v>1800</v>
      </c>
      <c r="F1972">
        <v>0</v>
      </c>
      <c r="G1972">
        <v>-1954.36691939</v>
      </c>
      <c r="H1972">
        <v>-1046.923000000003</v>
      </c>
      <c r="I1972">
        <v>0</v>
      </c>
      <c r="J1972">
        <v>0</v>
      </c>
      <c r="K1972">
        <v>3.0259999999999998</v>
      </c>
      <c r="L1972">
        <v>0</v>
      </c>
      <c r="M1972">
        <v>0</v>
      </c>
      <c r="N1972">
        <v>0</v>
      </c>
      <c r="O1972">
        <v>-29.951412119994529</v>
      </c>
      <c r="P1972">
        <v>145515.40717367001</v>
      </c>
    </row>
    <row r="1973" spans="1:16" x14ac:dyDescent="0.25">
      <c r="A1973" s="10">
        <v>40513</v>
      </c>
      <c r="B1973">
        <v>9014.8144926000114</v>
      </c>
      <c r="C1973">
        <v>65.319400000000002</v>
      </c>
      <c r="D1973">
        <v>0</v>
      </c>
      <c r="E1973">
        <v>0</v>
      </c>
      <c r="F1973">
        <v>0</v>
      </c>
      <c r="G1973">
        <v>2526.5133049900001</v>
      </c>
      <c r="H1973">
        <v>5952.2639999999983</v>
      </c>
      <c r="I1973">
        <v>0</v>
      </c>
      <c r="J1973">
        <v>0</v>
      </c>
      <c r="K1973">
        <v>3.2389999999999999</v>
      </c>
      <c r="L1973">
        <v>488.50000000000011</v>
      </c>
      <c r="M1973">
        <v>0</v>
      </c>
      <c r="N1973">
        <v>0</v>
      </c>
      <c r="O1973">
        <v>-21.021212389987699</v>
      </c>
      <c r="P1973">
        <v>154530.22166626999</v>
      </c>
    </row>
    <row r="1974" spans="1:16" x14ac:dyDescent="0.25">
      <c r="A1974" s="10">
        <v>40514</v>
      </c>
      <c r="B1974">
        <v>596.93840096012013</v>
      </c>
      <c r="C1974">
        <v>389.09649999999999</v>
      </c>
      <c r="D1974">
        <v>0</v>
      </c>
      <c r="E1974">
        <v>0</v>
      </c>
      <c r="F1974">
        <v>0</v>
      </c>
      <c r="G1974">
        <v>297.74033768999988</v>
      </c>
      <c r="H1974">
        <v>-93.604999999999563</v>
      </c>
      <c r="I1974">
        <v>0</v>
      </c>
      <c r="J1974">
        <v>0</v>
      </c>
      <c r="K1974">
        <v>1.883</v>
      </c>
      <c r="L1974">
        <v>7.1999999999999957</v>
      </c>
      <c r="M1974">
        <v>0</v>
      </c>
      <c r="N1974">
        <v>0</v>
      </c>
      <c r="O1974">
        <v>-5.3764367298803108</v>
      </c>
      <c r="P1974">
        <v>155127.16006723011</v>
      </c>
    </row>
    <row r="1975" spans="1:16" x14ac:dyDescent="0.25">
      <c r="A1975" s="10">
        <v>40515</v>
      </c>
      <c r="B1975">
        <v>-310.33267666026939</v>
      </c>
      <c r="C1975">
        <v>406.154</v>
      </c>
      <c r="D1975">
        <v>0</v>
      </c>
      <c r="E1975">
        <v>0</v>
      </c>
      <c r="F1975">
        <v>0</v>
      </c>
      <c r="G1975">
        <v>313.36927889999998</v>
      </c>
      <c r="H1975">
        <v>-1028.0549999999989</v>
      </c>
      <c r="I1975">
        <v>0</v>
      </c>
      <c r="J1975">
        <v>0</v>
      </c>
      <c r="K1975">
        <v>2.08</v>
      </c>
      <c r="L1975">
        <v>-8</v>
      </c>
      <c r="M1975">
        <v>0</v>
      </c>
      <c r="N1975">
        <v>0</v>
      </c>
      <c r="O1975">
        <v>4.1190444397299188</v>
      </c>
      <c r="P1975">
        <v>154816.82739056979</v>
      </c>
    </row>
    <row r="1976" spans="1:16" x14ac:dyDescent="0.25">
      <c r="A1976" s="10">
        <v>40518</v>
      </c>
      <c r="B1976">
        <v>191.928441119962</v>
      </c>
      <c r="C1976">
        <v>154.70400000000001</v>
      </c>
      <c r="D1976">
        <v>0</v>
      </c>
      <c r="E1976">
        <v>0</v>
      </c>
      <c r="F1976">
        <v>0</v>
      </c>
      <c r="G1976">
        <v>30.75677004999935</v>
      </c>
      <c r="H1976">
        <v>80.05199999999968</v>
      </c>
      <c r="I1976">
        <v>0</v>
      </c>
      <c r="J1976">
        <v>0</v>
      </c>
      <c r="K1976">
        <v>4.2879999999999994</v>
      </c>
      <c r="L1976">
        <v>-3</v>
      </c>
      <c r="M1976">
        <v>0</v>
      </c>
      <c r="N1976">
        <v>0</v>
      </c>
      <c r="O1976">
        <v>-74.872328930037099</v>
      </c>
      <c r="P1976">
        <v>155008.75583168981</v>
      </c>
    </row>
    <row r="1977" spans="1:16" x14ac:dyDescent="0.25">
      <c r="A1977" s="10">
        <v>40519</v>
      </c>
      <c r="B1977">
        <v>516.95875228033458</v>
      </c>
      <c r="C1977">
        <v>166.327</v>
      </c>
      <c r="D1977">
        <v>0</v>
      </c>
      <c r="E1977">
        <v>0</v>
      </c>
      <c r="F1977">
        <v>0</v>
      </c>
      <c r="G1977">
        <v>382.82851213999987</v>
      </c>
      <c r="H1977">
        <v>-57.528000000000247</v>
      </c>
      <c r="I1977">
        <v>0</v>
      </c>
      <c r="J1977">
        <v>0</v>
      </c>
      <c r="K1977">
        <v>2.2029999999999998</v>
      </c>
      <c r="L1977">
        <v>-2</v>
      </c>
      <c r="M1977">
        <v>0</v>
      </c>
      <c r="N1977">
        <v>0</v>
      </c>
      <c r="O1977">
        <v>25.128240140334899</v>
      </c>
      <c r="P1977">
        <v>155525.71458397011</v>
      </c>
    </row>
    <row r="1978" spans="1:16" x14ac:dyDescent="0.25">
      <c r="A1978" s="10">
        <v>40521</v>
      </c>
      <c r="B1978">
        <v>-1892.0934661399799</v>
      </c>
      <c r="C1978">
        <v>163.084</v>
      </c>
      <c r="D1978">
        <v>0</v>
      </c>
      <c r="E1978">
        <v>0</v>
      </c>
      <c r="F1978">
        <v>0</v>
      </c>
      <c r="G1978">
        <v>-468.49153464000011</v>
      </c>
      <c r="H1978">
        <v>810.81799999999839</v>
      </c>
      <c r="I1978">
        <v>0</v>
      </c>
      <c r="J1978">
        <v>0</v>
      </c>
      <c r="K1978">
        <v>2.9009999999999998</v>
      </c>
      <c r="L1978">
        <v>-2397.9</v>
      </c>
      <c r="M1978">
        <v>0</v>
      </c>
      <c r="N1978">
        <v>0</v>
      </c>
      <c r="O1978">
        <v>-2.5049314999786021</v>
      </c>
      <c r="P1978">
        <v>153633.62111783019</v>
      </c>
    </row>
    <row r="1979" spans="1:16" x14ac:dyDescent="0.25">
      <c r="A1979" s="10">
        <v>40522</v>
      </c>
      <c r="B1979">
        <v>704.6682258499203</v>
      </c>
      <c r="C1979">
        <v>201.917</v>
      </c>
      <c r="D1979">
        <v>0</v>
      </c>
      <c r="E1979">
        <v>-700</v>
      </c>
      <c r="F1979">
        <v>0</v>
      </c>
      <c r="G1979">
        <v>1052.4090220200001</v>
      </c>
      <c r="H1979">
        <v>151.27500000000151</v>
      </c>
      <c r="I1979">
        <v>0</v>
      </c>
      <c r="J1979">
        <v>12.89999999999964</v>
      </c>
      <c r="K1979">
        <v>2.0590000000000002</v>
      </c>
      <c r="L1979">
        <v>43.2</v>
      </c>
      <c r="M1979">
        <v>0</v>
      </c>
      <c r="N1979">
        <v>0</v>
      </c>
      <c r="O1979">
        <v>-59.091796170081153</v>
      </c>
      <c r="P1979">
        <v>154338.28934368011</v>
      </c>
    </row>
    <row r="1980" spans="1:16" x14ac:dyDescent="0.25">
      <c r="A1980" s="10">
        <v>40525</v>
      </c>
      <c r="B1980">
        <v>460.100307230081</v>
      </c>
      <c r="C1980">
        <v>156.52699999999999</v>
      </c>
      <c r="D1980">
        <v>0</v>
      </c>
      <c r="E1980">
        <v>0</v>
      </c>
      <c r="F1980">
        <v>0</v>
      </c>
      <c r="G1980">
        <v>11.83002035999999</v>
      </c>
      <c r="H1980">
        <v>335.0590000000002</v>
      </c>
      <c r="I1980">
        <v>0</v>
      </c>
      <c r="J1980">
        <v>0</v>
      </c>
      <c r="K1980">
        <v>3.04</v>
      </c>
      <c r="L1980">
        <v>0</v>
      </c>
      <c r="M1980">
        <v>0</v>
      </c>
      <c r="N1980">
        <v>0</v>
      </c>
      <c r="O1980">
        <v>-46.355713129919181</v>
      </c>
      <c r="P1980">
        <v>154798.38965091019</v>
      </c>
    </row>
    <row r="1981" spans="1:16" x14ac:dyDescent="0.25">
      <c r="A1981" s="10">
        <v>40526</v>
      </c>
      <c r="B1981">
        <v>123.262439729966</v>
      </c>
      <c r="C1981">
        <v>186.37100000000001</v>
      </c>
      <c r="D1981">
        <v>0</v>
      </c>
      <c r="E1981">
        <v>0</v>
      </c>
      <c r="F1981">
        <v>0</v>
      </c>
      <c r="G1981">
        <v>-14.78001866</v>
      </c>
      <c r="H1981">
        <v>-95.634300870000516</v>
      </c>
      <c r="I1981">
        <v>0</v>
      </c>
      <c r="J1981">
        <v>0</v>
      </c>
      <c r="K1981">
        <v>2.0489999999999999</v>
      </c>
      <c r="L1981">
        <v>0</v>
      </c>
      <c r="M1981">
        <v>0</v>
      </c>
      <c r="N1981">
        <v>0</v>
      </c>
      <c r="O1981">
        <v>45.256759259966543</v>
      </c>
      <c r="P1981">
        <v>154921.6520906401</v>
      </c>
    </row>
    <row r="1982" spans="1:16" x14ac:dyDescent="0.25">
      <c r="A1982" s="10">
        <v>40527</v>
      </c>
      <c r="B1982">
        <v>-434.46416588025733</v>
      </c>
      <c r="C1982">
        <v>164.917</v>
      </c>
      <c r="D1982">
        <v>0</v>
      </c>
      <c r="E1982">
        <v>0</v>
      </c>
      <c r="F1982">
        <v>0</v>
      </c>
      <c r="G1982">
        <v>-517.6220432099999</v>
      </c>
      <c r="H1982">
        <v>-53.24500000000171</v>
      </c>
      <c r="I1982">
        <v>0</v>
      </c>
      <c r="J1982">
        <v>0</v>
      </c>
      <c r="K1982">
        <v>0.55699999999999994</v>
      </c>
      <c r="L1982">
        <v>0</v>
      </c>
      <c r="M1982">
        <v>0</v>
      </c>
      <c r="N1982">
        <v>0</v>
      </c>
      <c r="O1982">
        <v>-29.07112267025569</v>
      </c>
      <c r="P1982">
        <v>154487.1879247599</v>
      </c>
    </row>
    <row r="1983" spans="1:16" x14ac:dyDescent="0.25">
      <c r="A1983" s="10">
        <v>40528</v>
      </c>
      <c r="B1983">
        <v>605.6769646400943</v>
      </c>
      <c r="C1983">
        <v>236.16239999999999</v>
      </c>
      <c r="D1983">
        <v>0</v>
      </c>
      <c r="E1983">
        <v>0</v>
      </c>
      <c r="F1983">
        <v>0</v>
      </c>
      <c r="G1983">
        <v>0.25886991999993819</v>
      </c>
      <c r="H1983">
        <v>-755.1369999999979</v>
      </c>
      <c r="I1983">
        <v>0</v>
      </c>
      <c r="J1983">
        <v>4.8000000000001819</v>
      </c>
      <c r="K1983">
        <v>1.907</v>
      </c>
      <c r="L1983">
        <v>1161</v>
      </c>
      <c r="M1983">
        <v>0</v>
      </c>
      <c r="N1983">
        <v>0</v>
      </c>
      <c r="O1983">
        <v>-43.314305279907742</v>
      </c>
      <c r="P1983">
        <v>155092.86488939999</v>
      </c>
    </row>
    <row r="1984" spans="1:16" x14ac:dyDescent="0.25">
      <c r="A1984" s="10">
        <v>40529</v>
      </c>
      <c r="B1984">
        <v>443.43036791021609</v>
      </c>
      <c r="C1984">
        <v>192.36199999999999</v>
      </c>
      <c r="D1984">
        <v>0</v>
      </c>
      <c r="E1984">
        <v>0</v>
      </c>
      <c r="F1984">
        <v>0</v>
      </c>
      <c r="G1984">
        <v>2742.1034357200001</v>
      </c>
      <c r="H1984">
        <v>-2495.3290000000002</v>
      </c>
      <c r="I1984">
        <v>0</v>
      </c>
      <c r="J1984">
        <v>0</v>
      </c>
      <c r="K1984">
        <v>2.722</v>
      </c>
      <c r="L1984">
        <v>0</v>
      </c>
      <c r="M1984">
        <v>0</v>
      </c>
      <c r="N1984">
        <v>0</v>
      </c>
      <c r="O1984">
        <v>1.571932190216103</v>
      </c>
      <c r="P1984">
        <v>155536.29525731021</v>
      </c>
    </row>
    <row r="1985" spans="1:16" x14ac:dyDescent="0.25">
      <c r="A1985" s="10">
        <v>40532</v>
      </c>
      <c r="B1985">
        <v>983.75079192992428</v>
      </c>
      <c r="C1985">
        <v>254.376</v>
      </c>
      <c r="D1985">
        <v>0</v>
      </c>
      <c r="E1985">
        <v>750</v>
      </c>
      <c r="F1985">
        <v>0</v>
      </c>
      <c r="G1985">
        <v>-578.04446890999986</v>
      </c>
      <c r="H1985">
        <v>582.38145983999493</v>
      </c>
      <c r="I1985">
        <v>0</v>
      </c>
      <c r="J1985">
        <v>0</v>
      </c>
      <c r="K1985">
        <v>4.8401903500000003</v>
      </c>
      <c r="L1985">
        <v>0</v>
      </c>
      <c r="M1985">
        <v>0</v>
      </c>
      <c r="N1985">
        <v>0</v>
      </c>
      <c r="O1985">
        <v>-29.80238935007069</v>
      </c>
      <c r="P1985">
        <v>156520.0460492401</v>
      </c>
    </row>
    <row r="1986" spans="1:16" x14ac:dyDescent="0.25">
      <c r="A1986" s="10">
        <v>40533</v>
      </c>
      <c r="B1986">
        <v>526.26261193986306</v>
      </c>
      <c r="C1986">
        <v>233.75026</v>
      </c>
      <c r="D1986">
        <v>0</v>
      </c>
      <c r="E1986">
        <v>0</v>
      </c>
      <c r="F1986">
        <v>0</v>
      </c>
      <c r="G1986">
        <v>758.84448595999993</v>
      </c>
      <c r="H1986">
        <v>-467.37997594999979</v>
      </c>
      <c r="I1986">
        <v>0</v>
      </c>
      <c r="J1986">
        <v>0</v>
      </c>
      <c r="K1986">
        <v>2.1835585100000001</v>
      </c>
      <c r="L1986">
        <v>0</v>
      </c>
      <c r="M1986">
        <v>0</v>
      </c>
      <c r="N1986">
        <v>0</v>
      </c>
      <c r="O1986">
        <v>-1.135716580137069</v>
      </c>
      <c r="P1986">
        <v>157046.30866117991</v>
      </c>
    </row>
    <row r="1987" spans="1:16" x14ac:dyDescent="0.25">
      <c r="A1987" s="10">
        <v>40534</v>
      </c>
      <c r="B1987">
        <v>787.43459981994329</v>
      </c>
      <c r="C1987">
        <v>541.61162000000002</v>
      </c>
      <c r="D1987">
        <v>0</v>
      </c>
      <c r="E1987">
        <v>0</v>
      </c>
      <c r="F1987">
        <v>0</v>
      </c>
      <c r="G1987">
        <v>-301.11346694999992</v>
      </c>
      <c r="H1987">
        <v>928.13135323000097</v>
      </c>
      <c r="I1987">
        <v>0</v>
      </c>
      <c r="J1987">
        <v>13.10000000000036</v>
      </c>
      <c r="K1987">
        <v>2.3297345699999998</v>
      </c>
      <c r="L1987">
        <v>-396.6</v>
      </c>
      <c r="M1987">
        <v>0</v>
      </c>
      <c r="N1987">
        <v>0</v>
      </c>
      <c r="O1987">
        <v>-2.4641030058205619E-2</v>
      </c>
      <c r="P1987">
        <v>157833.74326099991</v>
      </c>
    </row>
    <row r="1988" spans="1:16" x14ac:dyDescent="0.25">
      <c r="A1988" s="10">
        <v>40535</v>
      </c>
      <c r="B1988">
        <v>888.89109167986271</v>
      </c>
      <c r="C1988">
        <v>240.1011</v>
      </c>
      <c r="D1988">
        <v>0</v>
      </c>
      <c r="E1988">
        <v>0</v>
      </c>
      <c r="F1988">
        <v>0</v>
      </c>
      <c r="G1988">
        <v>-305.20749597999998</v>
      </c>
      <c r="H1988">
        <v>951.53786625999965</v>
      </c>
      <c r="I1988">
        <v>0</v>
      </c>
      <c r="J1988">
        <v>0</v>
      </c>
      <c r="K1988">
        <v>2.1570189800000001</v>
      </c>
      <c r="L1988">
        <v>0</v>
      </c>
      <c r="M1988">
        <v>0</v>
      </c>
      <c r="N1988">
        <v>0</v>
      </c>
      <c r="O1988">
        <v>0.30260241986304681</v>
      </c>
      <c r="P1988">
        <v>158722.6343526798</v>
      </c>
    </row>
    <row r="1989" spans="1:16" x14ac:dyDescent="0.25">
      <c r="A1989" s="10">
        <v>40539</v>
      </c>
      <c r="B1989">
        <v>-442.24729469983168</v>
      </c>
      <c r="C1989">
        <v>236.64920000000001</v>
      </c>
      <c r="D1989">
        <v>0</v>
      </c>
      <c r="E1989">
        <v>0</v>
      </c>
      <c r="F1989">
        <v>0</v>
      </c>
      <c r="G1989">
        <v>-12.884854419999931</v>
      </c>
      <c r="H1989">
        <v>-598.08405199000117</v>
      </c>
      <c r="I1989">
        <v>0</v>
      </c>
      <c r="J1989">
        <v>0</v>
      </c>
      <c r="K1989">
        <v>7.3657730099999981</v>
      </c>
      <c r="L1989">
        <v>0</v>
      </c>
      <c r="M1989">
        <v>0</v>
      </c>
      <c r="N1989">
        <v>0</v>
      </c>
      <c r="O1989">
        <v>-75.293361299830622</v>
      </c>
      <c r="P1989">
        <v>158280.38705797991</v>
      </c>
    </row>
    <row r="1990" spans="1:16" x14ac:dyDescent="0.25">
      <c r="A1990" s="10">
        <v>40540</v>
      </c>
      <c r="B1990">
        <v>-2736.6105274097931</v>
      </c>
      <c r="C1990">
        <v>252.52366000000001</v>
      </c>
      <c r="D1990">
        <v>0</v>
      </c>
      <c r="E1990">
        <v>0</v>
      </c>
      <c r="F1990">
        <v>0</v>
      </c>
      <c r="G1990">
        <v>28.08701387000005</v>
      </c>
      <c r="H1990">
        <v>-2983.6203650800021</v>
      </c>
      <c r="I1990">
        <v>0</v>
      </c>
      <c r="J1990">
        <v>16.46000000000004</v>
      </c>
      <c r="K1990">
        <v>2.9302993800000001</v>
      </c>
      <c r="L1990">
        <v>-0.1</v>
      </c>
      <c r="M1990">
        <v>0</v>
      </c>
      <c r="N1990">
        <v>0</v>
      </c>
      <c r="O1990">
        <v>-52.891135579791452</v>
      </c>
      <c r="P1990">
        <v>155543.77653057021</v>
      </c>
    </row>
    <row r="1991" spans="1:16" x14ac:dyDescent="0.25">
      <c r="A1991" s="10">
        <v>40541</v>
      </c>
      <c r="B1991">
        <v>8.6621878196309119</v>
      </c>
      <c r="C1991">
        <v>477.33908000000002</v>
      </c>
      <c r="D1991">
        <v>0</v>
      </c>
      <c r="E1991">
        <v>0</v>
      </c>
      <c r="F1991">
        <v>0</v>
      </c>
      <c r="G1991">
        <v>-3.3345255200001032</v>
      </c>
      <c r="H1991">
        <v>-1299.106142000001</v>
      </c>
      <c r="I1991">
        <v>0</v>
      </c>
      <c r="J1991">
        <v>0</v>
      </c>
      <c r="K1991">
        <v>2.7381946400000001</v>
      </c>
      <c r="L1991">
        <v>838.80000000000018</v>
      </c>
      <c r="M1991">
        <v>0</v>
      </c>
      <c r="N1991">
        <v>0</v>
      </c>
      <c r="O1991">
        <v>-7.7744193003684821</v>
      </c>
      <c r="P1991">
        <v>155552.43871838981</v>
      </c>
    </row>
    <row r="1992" spans="1:16" x14ac:dyDescent="0.25">
      <c r="A1992" s="10">
        <v>40542</v>
      </c>
      <c r="B1992">
        <v>4855.5482152703908</v>
      </c>
      <c r="C1992">
        <v>376.94439999999997</v>
      </c>
      <c r="D1992">
        <v>0</v>
      </c>
      <c r="E1992">
        <v>6000</v>
      </c>
      <c r="F1992">
        <v>6705.2098370000003</v>
      </c>
      <c r="G1992">
        <v>-7549.2263497500007</v>
      </c>
      <c r="H1992">
        <v>-665.41350882999723</v>
      </c>
      <c r="I1992">
        <v>0</v>
      </c>
      <c r="J1992">
        <v>0</v>
      </c>
      <c r="K1992">
        <v>3.1551768199999999</v>
      </c>
      <c r="L1992">
        <v>0</v>
      </c>
      <c r="M1992">
        <v>0</v>
      </c>
      <c r="N1992">
        <v>0</v>
      </c>
      <c r="O1992">
        <v>-15.12133996961202</v>
      </c>
      <c r="P1992">
        <v>160407.9869336602</v>
      </c>
    </row>
    <row r="1993" spans="1:16" x14ac:dyDescent="0.25">
      <c r="A1993" s="10">
        <v>40543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160407.9869336602</v>
      </c>
    </row>
    <row r="1994" spans="1:16" x14ac:dyDescent="0.25">
      <c r="A1994" s="10">
        <v>40546</v>
      </c>
      <c r="B1994">
        <v>2469.5153079997981</v>
      </c>
      <c r="C1994">
        <v>120.8075</v>
      </c>
      <c r="D1994">
        <v>0</v>
      </c>
      <c r="E1994">
        <v>0</v>
      </c>
      <c r="F1994">
        <v>0</v>
      </c>
      <c r="G1994">
        <v>-99.917555749999906</v>
      </c>
      <c r="H1994">
        <v>2219.0372804100011</v>
      </c>
      <c r="I1994">
        <v>0</v>
      </c>
      <c r="J1994">
        <v>0</v>
      </c>
      <c r="K1994">
        <v>6.3160165999999984</v>
      </c>
      <c r="L1994">
        <v>48.900000000000013</v>
      </c>
      <c r="M1994">
        <v>0</v>
      </c>
      <c r="N1994">
        <v>0</v>
      </c>
      <c r="O1994">
        <v>174.37206673979711</v>
      </c>
      <c r="P1994">
        <v>162877.50224166</v>
      </c>
    </row>
    <row r="1995" spans="1:16" x14ac:dyDescent="0.25">
      <c r="A1995" s="10">
        <v>40547</v>
      </c>
      <c r="B1995">
        <v>1511.832349849748</v>
      </c>
      <c r="C1995">
        <v>162.49549999999999</v>
      </c>
      <c r="D1995">
        <v>0</v>
      </c>
      <c r="E1995">
        <v>0</v>
      </c>
      <c r="F1995">
        <v>0</v>
      </c>
      <c r="G1995">
        <v>161.45282633000011</v>
      </c>
      <c r="H1995">
        <v>1196.8727174599969</v>
      </c>
      <c r="I1995">
        <v>0</v>
      </c>
      <c r="J1995">
        <v>0</v>
      </c>
      <c r="K1995">
        <v>4.5503070299999999</v>
      </c>
      <c r="L1995">
        <v>0</v>
      </c>
      <c r="M1995">
        <v>0</v>
      </c>
      <c r="N1995">
        <v>0</v>
      </c>
      <c r="O1995">
        <v>-13.53900097024898</v>
      </c>
      <c r="P1995">
        <v>164389.33459150969</v>
      </c>
    </row>
    <row r="1996" spans="1:16" x14ac:dyDescent="0.25">
      <c r="A1996" s="10">
        <v>40548</v>
      </c>
      <c r="B1996">
        <v>-889.15791813979752</v>
      </c>
      <c r="C1996">
        <v>231.16730000000001</v>
      </c>
      <c r="D1996">
        <v>0</v>
      </c>
      <c r="E1996">
        <v>0</v>
      </c>
      <c r="F1996">
        <v>0</v>
      </c>
      <c r="G1996">
        <v>-319.53655107999998</v>
      </c>
      <c r="H1996">
        <v>439.93446016000229</v>
      </c>
      <c r="I1996">
        <v>0</v>
      </c>
      <c r="J1996">
        <v>0</v>
      </c>
      <c r="K1996">
        <v>4.4342320300000004</v>
      </c>
      <c r="L1996">
        <v>-1345.9</v>
      </c>
      <c r="M1996">
        <v>0</v>
      </c>
      <c r="N1996">
        <v>0</v>
      </c>
      <c r="O1996">
        <v>100.7426407502</v>
      </c>
      <c r="P1996">
        <v>163500.17667336989</v>
      </c>
    </row>
    <row r="1997" spans="1:16" x14ac:dyDescent="0.25">
      <c r="A1997" s="10">
        <v>40549</v>
      </c>
      <c r="B1997">
        <v>-274.08851322982719</v>
      </c>
      <c r="C1997">
        <v>182.31</v>
      </c>
      <c r="D1997">
        <v>0</v>
      </c>
      <c r="E1997">
        <v>0</v>
      </c>
      <c r="F1997">
        <v>0</v>
      </c>
      <c r="G1997">
        <v>-46.394641750000012</v>
      </c>
      <c r="H1997">
        <v>-373.71347940000311</v>
      </c>
      <c r="I1997">
        <v>0</v>
      </c>
      <c r="J1997">
        <v>0</v>
      </c>
      <c r="K1997">
        <v>5.1622347199999998</v>
      </c>
      <c r="L1997">
        <v>-0.20000000000000109</v>
      </c>
      <c r="M1997">
        <v>0</v>
      </c>
      <c r="N1997">
        <v>0</v>
      </c>
      <c r="O1997">
        <v>-41.252626799824156</v>
      </c>
      <c r="P1997">
        <v>163226.08816014009</v>
      </c>
    </row>
    <row r="1998" spans="1:16" x14ac:dyDescent="0.25">
      <c r="A1998" s="10">
        <v>40550</v>
      </c>
      <c r="B1998">
        <v>-143.5440747502135</v>
      </c>
      <c r="C1998">
        <v>115.7075</v>
      </c>
      <c r="D1998">
        <v>0</v>
      </c>
      <c r="E1998">
        <v>0</v>
      </c>
      <c r="F1998">
        <v>0</v>
      </c>
      <c r="G1998">
        <v>193.89800586000001</v>
      </c>
      <c r="H1998">
        <v>-464.1048384099995</v>
      </c>
      <c r="I1998">
        <v>0</v>
      </c>
      <c r="J1998">
        <v>0</v>
      </c>
      <c r="K1998">
        <v>0.91593663000000003</v>
      </c>
      <c r="L1998">
        <v>0</v>
      </c>
      <c r="M1998">
        <v>0</v>
      </c>
      <c r="N1998">
        <v>0</v>
      </c>
      <c r="O1998">
        <v>10.03932116978598</v>
      </c>
      <c r="P1998">
        <v>163082.54408538991</v>
      </c>
    </row>
    <row r="1999" spans="1:16" x14ac:dyDescent="0.25">
      <c r="A1999" s="10">
        <v>40553</v>
      </c>
      <c r="B1999">
        <v>236.53808573994391</v>
      </c>
      <c r="C1999">
        <v>216.04974000000001</v>
      </c>
      <c r="D1999">
        <v>0</v>
      </c>
      <c r="E1999">
        <v>0</v>
      </c>
      <c r="F1999">
        <v>0</v>
      </c>
      <c r="G1999">
        <v>180.02564452999999</v>
      </c>
      <c r="H1999">
        <v>-161.34163360999989</v>
      </c>
      <c r="I1999">
        <v>0</v>
      </c>
      <c r="J1999">
        <v>7.1999999999998181</v>
      </c>
      <c r="K1999">
        <v>3.75356025</v>
      </c>
      <c r="L1999">
        <v>0</v>
      </c>
      <c r="M1999">
        <v>0</v>
      </c>
      <c r="N1999">
        <v>0</v>
      </c>
      <c r="O1999">
        <v>-9.1492254300560596</v>
      </c>
      <c r="P1999">
        <v>163319.08217112979</v>
      </c>
    </row>
    <row r="2000" spans="1:16" x14ac:dyDescent="0.25">
      <c r="A2000" s="10">
        <v>40554</v>
      </c>
      <c r="B2000">
        <v>385.73499400025958</v>
      </c>
      <c r="C2000">
        <v>145.99</v>
      </c>
      <c r="D2000">
        <v>0</v>
      </c>
      <c r="E2000">
        <v>0</v>
      </c>
      <c r="F2000">
        <v>0</v>
      </c>
      <c r="G2000">
        <v>-72.773926630000005</v>
      </c>
      <c r="H2000">
        <v>333.83427710999791</v>
      </c>
      <c r="I2000">
        <v>0</v>
      </c>
      <c r="J2000">
        <v>0.68999999999959982</v>
      </c>
      <c r="K2000">
        <v>2.3126547199999998</v>
      </c>
      <c r="L2000">
        <v>0</v>
      </c>
      <c r="M2000">
        <v>0</v>
      </c>
      <c r="N2000">
        <v>0</v>
      </c>
      <c r="O2000">
        <v>-24.318011199737821</v>
      </c>
      <c r="P2000">
        <v>163704.81716513011</v>
      </c>
    </row>
    <row r="2001" spans="1:16" x14ac:dyDescent="0.25">
      <c r="A2001" s="10">
        <v>40555</v>
      </c>
      <c r="B2001">
        <v>403.48252420968441</v>
      </c>
      <c r="C2001">
        <v>-2.3856999999999999</v>
      </c>
      <c r="D2001">
        <v>0</v>
      </c>
      <c r="E2001">
        <v>0</v>
      </c>
      <c r="F2001">
        <v>0</v>
      </c>
      <c r="G2001">
        <v>26.091005980000769</v>
      </c>
      <c r="H2001">
        <v>910.3918662899996</v>
      </c>
      <c r="I2001">
        <v>0</v>
      </c>
      <c r="J2001">
        <v>0</v>
      </c>
      <c r="K2001">
        <v>3.0616438399999999</v>
      </c>
      <c r="L2001">
        <v>-493.6</v>
      </c>
      <c r="M2001">
        <v>0</v>
      </c>
      <c r="N2001">
        <v>0</v>
      </c>
      <c r="O2001">
        <v>-40.076291900315923</v>
      </c>
      <c r="P2001">
        <v>164108.29968933979</v>
      </c>
    </row>
    <row r="2002" spans="1:16" x14ac:dyDescent="0.25">
      <c r="A2002" s="10">
        <v>40556</v>
      </c>
      <c r="B2002">
        <v>931.06229596032074</v>
      </c>
      <c r="C2002">
        <v>341.07530000000003</v>
      </c>
      <c r="D2002">
        <v>0</v>
      </c>
      <c r="E2002">
        <v>0</v>
      </c>
      <c r="F2002">
        <v>0</v>
      </c>
      <c r="G2002">
        <v>3.186840599999897</v>
      </c>
      <c r="H2002">
        <v>581.00290799999857</v>
      </c>
      <c r="I2002">
        <v>0</v>
      </c>
      <c r="J2002">
        <v>0</v>
      </c>
      <c r="K2002">
        <v>3.8362405800000001</v>
      </c>
      <c r="L2002">
        <v>36</v>
      </c>
      <c r="M2002">
        <v>0</v>
      </c>
      <c r="N2002">
        <v>0</v>
      </c>
      <c r="O2002">
        <v>-34.038993219677813</v>
      </c>
      <c r="P2002">
        <v>165039.36198530009</v>
      </c>
    </row>
    <row r="2003" spans="1:16" x14ac:dyDescent="0.25">
      <c r="A2003" s="10">
        <v>40557</v>
      </c>
      <c r="B2003">
        <v>909.1516906597534</v>
      </c>
      <c r="C2003">
        <v>240.27180000000001</v>
      </c>
      <c r="D2003">
        <v>0</v>
      </c>
      <c r="E2003">
        <v>0</v>
      </c>
      <c r="F2003">
        <v>0</v>
      </c>
      <c r="G2003">
        <v>105.11468865000001</v>
      </c>
      <c r="H2003">
        <v>565.88577419000285</v>
      </c>
      <c r="I2003">
        <v>0</v>
      </c>
      <c r="J2003">
        <v>0</v>
      </c>
      <c r="K2003">
        <v>3.4060773000000002</v>
      </c>
      <c r="L2003">
        <v>0</v>
      </c>
      <c r="M2003">
        <v>0</v>
      </c>
      <c r="N2003">
        <v>0</v>
      </c>
      <c r="O2003">
        <v>-5.526649480249489</v>
      </c>
      <c r="P2003">
        <v>165948.5136759599</v>
      </c>
    </row>
    <row r="2004" spans="1:16" x14ac:dyDescent="0.25">
      <c r="A2004" s="10">
        <v>40560</v>
      </c>
      <c r="B2004">
        <v>-1113.280342339742</v>
      </c>
      <c r="C2004">
        <v>-0.79599999999999982</v>
      </c>
      <c r="D2004">
        <v>0</v>
      </c>
      <c r="E2004">
        <v>0</v>
      </c>
      <c r="F2004">
        <v>0</v>
      </c>
      <c r="G2004">
        <v>-335.51242232999988</v>
      </c>
      <c r="H2004">
        <v>-817.04516464000153</v>
      </c>
      <c r="I2004">
        <v>0</v>
      </c>
      <c r="J2004">
        <v>0</v>
      </c>
      <c r="K2004">
        <v>3.2789481899999999</v>
      </c>
      <c r="L2004">
        <v>0</v>
      </c>
      <c r="M2004">
        <v>0</v>
      </c>
      <c r="N2004">
        <v>0</v>
      </c>
      <c r="O2004">
        <v>36.794296440259863</v>
      </c>
      <c r="P2004">
        <v>164835.2333336201</v>
      </c>
    </row>
    <row r="2005" spans="1:16" x14ac:dyDescent="0.25">
      <c r="A2005" s="10">
        <v>40561</v>
      </c>
      <c r="B2005">
        <v>-974.36266346008063</v>
      </c>
      <c r="C2005">
        <v>210.99615</v>
      </c>
      <c r="D2005">
        <v>0</v>
      </c>
      <c r="E2005">
        <v>0</v>
      </c>
      <c r="F2005">
        <v>0</v>
      </c>
      <c r="G2005">
        <v>-87.331057590000114</v>
      </c>
      <c r="H2005">
        <v>-1091.6002864600009</v>
      </c>
      <c r="I2005">
        <v>0</v>
      </c>
      <c r="J2005">
        <v>0</v>
      </c>
      <c r="K2005">
        <v>2.544449419999999</v>
      </c>
      <c r="L2005">
        <v>0</v>
      </c>
      <c r="M2005">
        <v>0</v>
      </c>
      <c r="N2005">
        <v>0</v>
      </c>
      <c r="O2005">
        <v>-8.9719188300791526</v>
      </c>
      <c r="P2005">
        <v>163860.87067015999</v>
      </c>
    </row>
    <row r="2006" spans="1:16" x14ac:dyDescent="0.25">
      <c r="A2006" s="10">
        <v>40562</v>
      </c>
      <c r="B2006">
        <v>-934.70961660987882</v>
      </c>
      <c r="C2006">
        <v>229.02250000000001</v>
      </c>
      <c r="D2006">
        <v>0</v>
      </c>
      <c r="E2006">
        <v>0</v>
      </c>
      <c r="F2006">
        <v>0</v>
      </c>
      <c r="G2006">
        <v>100.75116481000011</v>
      </c>
      <c r="H2006">
        <v>-3.764854489996651</v>
      </c>
      <c r="I2006">
        <v>0</v>
      </c>
      <c r="J2006">
        <v>0</v>
      </c>
      <c r="K2006">
        <v>2.81613889</v>
      </c>
      <c r="L2006">
        <v>-1251.8</v>
      </c>
      <c r="M2006">
        <v>0</v>
      </c>
      <c r="N2006">
        <v>0</v>
      </c>
      <c r="O2006">
        <v>-11.73456581988216</v>
      </c>
      <c r="P2006">
        <v>162926.16105355011</v>
      </c>
    </row>
    <row r="2007" spans="1:16" x14ac:dyDescent="0.25">
      <c r="A2007" s="10">
        <v>40563</v>
      </c>
      <c r="B2007">
        <v>516.43294315002208</v>
      </c>
      <c r="C2007">
        <v>195.96199999999999</v>
      </c>
      <c r="D2007">
        <v>0</v>
      </c>
      <c r="E2007">
        <v>0</v>
      </c>
      <c r="F2007">
        <v>0</v>
      </c>
      <c r="G2007">
        <v>277.92629556999992</v>
      </c>
      <c r="H2007">
        <v>21.732009759998618</v>
      </c>
      <c r="I2007">
        <v>0</v>
      </c>
      <c r="J2007">
        <v>0</v>
      </c>
      <c r="K2007">
        <v>2.8669620999999998</v>
      </c>
      <c r="L2007">
        <v>35.5</v>
      </c>
      <c r="M2007">
        <v>0</v>
      </c>
      <c r="N2007">
        <v>0</v>
      </c>
      <c r="O2007">
        <v>-17.554324279976569</v>
      </c>
      <c r="P2007">
        <v>163442.59399670019</v>
      </c>
    </row>
    <row r="2008" spans="1:16" x14ac:dyDescent="0.25">
      <c r="A2008" s="10">
        <v>40564</v>
      </c>
      <c r="B2008">
        <v>91.476725329791492</v>
      </c>
      <c r="C2008">
        <v>252.9205</v>
      </c>
      <c r="D2008">
        <v>0</v>
      </c>
      <c r="E2008">
        <v>-1800</v>
      </c>
      <c r="F2008">
        <v>0</v>
      </c>
      <c r="G2008">
        <v>2074.29468425</v>
      </c>
      <c r="H2008">
        <v>-397.0923884799995</v>
      </c>
      <c r="I2008">
        <v>0</v>
      </c>
      <c r="J2008">
        <v>0</v>
      </c>
      <c r="K2008">
        <v>2.6529127199999998</v>
      </c>
      <c r="L2008">
        <v>0</v>
      </c>
      <c r="M2008">
        <v>0</v>
      </c>
      <c r="N2008">
        <v>0</v>
      </c>
      <c r="O2008">
        <v>-41.298983160208991</v>
      </c>
      <c r="P2008">
        <v>163534.07072203001</v>
      </c>
    </row>
    <row r="2009" spans="1:16" x14ac:dyDescent="0.25">
      <c r="A2009" s="10">
        <v>40567</v>
      </c>
      <c r="B2009">
        <v>224.13756094989401</v>
      </c>
      <c r="C2009">
        <v>176.53572</v>
      </c>
      <c r="D2009">
        <v>0</v>
      </c>
      <c r="E2009">
        <v>0</v>
      </c>
      <c r="F2009">
        <v>0</v>
      </c>
      <c r="G2009">
        <v>57.557082029999997</v>
      </c>
      <c r="H2009">
        <v>-20.7393522700022</v>
      </c>
      <c r="I2009">
        <v>0</v>
      </c>
      <c r="J2009">
        <v>12</v>
      </c>
      <c r="K2009">
        <v>3.7425865800000002</v>
      </c>
      <c r="L2009">
        <v>0</v>
      </c>
      <c r="M2009">
        <v>0</v>
      </c>
      <c r="N2009">
        <v>0</v>
      </c>
      <c r="O2009">
        <v>-4.9584753901037519</v>
      </c>
      <c r="P2009">
        <v>163758.20828297979</v>
      </c>
    </row>
    <row r="2010" spans="1:16" x14ac:dyDescent="0.25">
      <c r="A2010" s="10">
        <v>40568</v>
      </c>
      <c r="B2010">
        <v>-40.479154170024941</v>
      </c>
      <c r="C2010">
        <v>21.946999999999999</v>
      </c>
      <c r="D2010">
        <v>0</v>
      </c>
      <c r="E2010">
        <v>0</v>
      </c>
      <c r="F2010">
        <v>0</v>
      </c>
      <c r="G2010">
        <v>-52.742415720000047</v>
      </c>
      <c r="H2010">
        <v>1.871086029999788</v>
      </c>
      <c r="I2010">
        <v>0</v>
      </c>
      <c r="J2010">
        <v>0</v>
      </c>
      <c r="K2010">
        <v>2.9410399800000002</v>
      </c>
      <c r="L2010">
        <v>0</v>
      </c>
      <c r="M2010">
        <v>0</v>
      </c>
      <c r="N2010">
        <v>0</v>
      </c>
      <c r="O2010">
        <v>-14.495864460024681</v>
      </c>
      <c r="P2010">
        <v>163717.72912880979</v>
      </c>
    </row>
    <row r="2011" spans="1:16" x14ac:dyDescent="0.25">
      <c r="A2011" s="10">
        <v>40569</v>
      </c>
      <c r="B2011">
        <v>-2279.1678566799392</v>
      </c>
      <c r="C2011">
        <v>320.28879999999998</v>
      </c>
      <c r="D2011">
        <v>0</v>
      </c>
      <c r="E2011">
        <v>0</v>
      </c>
      <c r="F2011">
        <v>0</v>
      </c>
      <c r="G2011">
        <v>-1087.9060799199999</v>
      </c>
      <c r="H2011">
        <v>-1486.714653519999</v>
      </c>
      <c r="I2011">
        <v>0</v>
      </c>
      <c r="J2011">
        <v>0</v>
      </c>
      <c r="K2011">
        <v>3.7163744200000002</v>
      </c>
      <c r="L2011">
        <v>-17.600000000000019</v>
      </c>
      <c r="M2011">
        <v>0</v>
      </c>
      <c r="N2011">
        <v>0</v>
      </c>
      <c r="O2011">
        <v>-10.95229765993991</v>
      </c>
      <c r="P2011">
        <v>161438.56127212991</v>
      </c>
    </row>
    <row r="2012" spans="1:16" x14ac:dyDescent="0.25">
      <c r="A2012" s="10">
        <v>40570</v>
      </c>
      <c r="B2012">
        <v>-2587.1240283400989</v>
      </c>
      <c r="C2012">
        <v>108.5835</v>
      </c>
      <c r="D2012">
        <v>0</v>
      </c>
      <c r="E2012">
        <v>0</v>
      </c>
      <c r="F2012">
        <v>0</v>
      </c>
      <c r="G2012">
        <v>-1380.20238144</v>
      </c>
      <c r="H2012">
        <v>-1320.803360129999</v>
      </c>
      <c r="I2012">
        <v>0</v>
      </c>
      <c r="J2012">
        <v>0</v>
      </c>
      <c r="K2012">
        <v>4.4183880100000001</v>
      </c>
      <c r="L2012">
        <v>0</v>
      </c>
      <c r="M2012">
        <v>0</v>
      </c>
      <c r="N2012">
        <v>0</v>
      </c>
      <c r="O2012">
        <v>0.8798252199005212</v>
      </c>
      <c r="P2012">
        <v>158851.43724378981</v>
      </c>
    </row>
    <row r="2013" spans="1:16" x14ac:dyDescent="0.25">
      <c r="A2013" s="10">
        <v>40571</v>
      </c>
      <c r="B2013">
        <v>-793.16669761962828</v>
      </c>
      <c r="C2013">
        <v>-1.998</v>
      </c>
      <c r="D2013">
        <v>0</v>
      </c>
      <c r="E2013">
        <v>50</v>
      </c>
      <c r="F2013">
        <v>0</v>
      </c>
      <c r="G2013">
        <v>508.40571532000013</v>
      </c>
      <c r="H2013">
        <v>-1450.4828229</v>
      </c>
      <c r="I2013">
        <v>0</v>
      </c>
      <c r="J2013">
        <v>0</v>
      </c>
      <c r="K2013">
        <v>3.6202751200000001</v>
      </c>
      <c r="L2013">
        <v>134.4</v>
      </c>
      <c r="M2013">
        <v>0</v>
      </c>
      <c r="N2013">
        <v>0</v>
      </c>
      <c r="O2013">
        <v>-37.111865159628813</v>
      </c>
      <c r="P2013">
        <v>158058.27054617021</v>
      </c>
    </row>
    <row r="2014" spans="1:16" x14ac:dyDescent="0.25">
      <c r="A2014" s="10">
        <v>40574</v>
      </c>
      <c r="B2014">
        <v>546.30149393971078</v>
      </c>
      <c r="C2014">
        <v>-4.0010000000000003</v>
      </c>
      <c r="D2014">
        <v>0</v>
      </c>
      <c r="E2014">
        <v>0</v>
      </c>
      <c r="F2014">
        <v>0</v>
      </c>
      <c r="G2014">
        <v>336.4199662100001</v>
      </c>
      <c r="H2014">
        <v>234.44007182999849</v>
      </c>
      <c r="I2014">
        <v>0</v>
      </c>
      <c r="J2014">
        <v>0</v>
      </c>
      <c r="K2014">
        <v>6.9428787500000002</v>
      </c>
      <c r="L2014">
        <v>0</v>
      </c>
      <c r="M2014">
        <v>0</v>
      </c>
      <c r="N2014">
        <v>0</v>
      </c>
      <c r="O2014">
        <v>-27.500422850287759</v>
      </c>
      <c r="P2014">
        <v>158604.57204010981</v>
      </c>
    </row>
    <row r="2015" spans="1:16" x14ac:dyDescent="0.25">
      <c r="A2015" s="10">
        <v>40575</v>
      </c>
      <c r="B2015">
        <v>1901.790078199962</v>
      </c>
      <c r="C2015">
        <v>44.865459999999999</v>
      </c>
      <c r="D2015">
        <v>0</v>
      </c>
      <c r="E2015">
        <v>0</v>
      </c>
      <c r="F2015">
        <v>0</v>
      </c>
      <c r="G2015">
        <v>98.385465690000089</v>
      </c>
      <c r="H2015">
        <v>1737.932879830003</v>
      </c>
      <c r="I2015">
        <v>0</v>
      </c>
      <c r="J2015">
        <v>17.699999999999822</v>
      </c>
      <c r="K2015">
        <v>3.6811630200000001</v>
      </c>
      <c r="L2015">
        <v>0</v>
      </c>
      <c r="M2015">
        <v>0</v>
      </c>
      <c r="N2015">
        <v>0</v>
      </c>
      <c r="O2015">
        <v>-0.77489034004038326</v>
      </c>
      <c r="P2015">
        <v>160506.3621183098</v>
      </c>
    </row>
    <row r="2016" spans="1:16" x14ac:dyDescent="0.25">
      <c r="A2016" s="10">
        <v>40576</v>
      </c>
      <c r="B2016">
        <v>1479.805910060008</v>
      </c>
      <c r="C2016">
        <v>156.3485</v>
      </c>
      <c r="D2016">
        <v>0</v>
      </c>
      <c r="E2016">
        <v>0</v>
      </c>
      <c r="F2016">
        <v>0</v>
      </c>
      <c r="G2016">
        <v>716.70254309999984</v>
      </c>
      <c r="H2016">
        <v>1580.1917409</v>
      </c>
      <c r="I2016">
        <v>0</v>
      </c>
      <c r="J2016">
        <v>0</v>
      </c>
      <c r="K2016">
        <v>3.9784080799999999</v>
      </c>
      <c r="L2016">
        <v>-929.70000000000016</v>
      </c>
      <c r="M2016">
        <v>0</v>
      </c>
      <c r="N2016">
        <v>0</v>
      </c>
      <c r="O2016">
        <v>-47.715282019991719</v>
      </c>
      <c r="P2016">
        <v>161986.1680283699</v>
      </c>
    </row>
    <row r="2017" spans="1:16" x14ac:dyDescent="0.25">
      <c r="A2017" s="10">
        <v>40577</v>
      </c>
      <c r="B2017">
        <v>-218.9389837197663</v>
      </c>
      <c r="C2017">
        <v>150.52431999999999</v>
      </c>
      <c r="D2017">
        <v>0</v>
      </c>
      <c r="E2017">
        <v>0</v>
      </c>
      <c r="F2017">
        <v>0</v>
      </c>
      <c r="G2017">
        <v>-450.40327753999998</v>
      </c>
      <c r="H2017">
        <v>69.440613220000159</v>
      </c>
      <c r="I2017">
        <v>0</v>
      </c>
      <c r="J2017">
        <v>0</v>
      </c>
      <c r="K2017">
        <v>5.1675337199999998</v>
      </c>
      <c r="L2017">
        <v>0</v>
      </c>
      <c r="M2017">
        <v>0</v>
      </c>
      <c r="N2017">
        <v>0</v>
      </c>
      <c r="O2017">
        <v>6.3318268802335176</v>
      </c>
      <c r="P2017">
        <v>161767.2290446501</v>
      </c>
    </row>
    <row r="2018" spans="1:16" x14ac:dyDescent="0.25">
      <c r="A2018" s="10">
        <v>40578</v>
      </c>
      <c r="B2018">
        <v>-830.73367443031736</v>
      </c>
      <c r="C2018">
        <v>173.91200000000001</v>
      </c>
      <c r="D2018">
        <v>0</v>
      </c>
      <c r="E2018">
        <v>1750</v>
      </c>
      <c r="F2018">
        <v>0</v>
      </c>
      <c r="G2018">
        <v>-2203.26075167</v>
      </c>
      <c r="H2018">
        <v>-497.85141517000011</v>
      </c>
      <c r="I2018">
        <v>0</v>
      </c>
      <c r="J2018">
        <v>0</v>
      </c>
      <c r="K2018">
        <v>3.0029151199999999</v>
      </c>
      <c r="L2018">
        <v>0</v>
      </c>
      <c r="M2018">
        <v>0</v>
      </c>
      <c r="N2018">
        <v>0</v>
      </c>
      <c r="O2018">
        <v>-56.536422710316828</v>
      </c>
      <c r="P2018">
        <v>160936.49537021969</v>
      </c>
    </row>
    <row r="2019" spans="1:16" x14ac:dyDescent="0.25">
      <c r="A2019" s="10">
        <v>40581</v>
      </c>
      <c r="B2019">
        <v>1716.313776180265</v>
      </c>
      <c r="C2019">
        <v>88.4191</v>
      </c>
      <c r="D2019">
        <v>0</v>
      </c>
      <c r="E2019">
        <v>0</v>
      </c>
      <c r="F2019">
        <v>0</v>
      </c>
      <c r="G2019">
        <v>488.51961187000001</v>
      </c>
      <c r="H2019">
        <v>1137.63604725</v>
      </c>
      <c r="I2019">
        <v>0</v>
      </c>
      <c r="J2019">
        <v>0</v>
      </c>
      <c r="K2019">
        <v>5.1513288500000014</v>
      </c>
      <c r="L2019">
        <v>0</v>
      </c>
      <c r="M2019">
        <v>0</v>
      </c>
      <c r="N2019">
        <v>0</v>
      </c>
      <c r="O2019">
        <v>-3.4123117897348041</v>
      </c>
      <c r="P2019">
        <v>162652.80914639999</v>
      </c>
    </row>
    <row r="2020" spans="1:16" x14ac:dyDescent="0.25">
      <c r="A2020" s="10">
        <v>40582</v>
      </c>
      <c r="B2020">
        <v>-61.851723930304189</v>
      </c>
      <c r="C2020">
        <v>206.4573</v>
      </c>
      <c r="D2020">
        <v>0</v>
      </c>
      <c r="E2020">
        <v>0</v>
      </c>
      <c r="F2020">
        <v>0</v>
      </c>
      <c r="G2020">
        <v>171.92709569999991</v>
      </c>
      <c r="H2020">
        <v>-440.79554486000052</v>
      </c>
      <c r="I2020">
        <v>0</v>
      </c>
      <c r="J2020">
        <v>0</v>
      </c>
      <c r="K2020">
        <v>2.7735943199999999</v>
      </c>
      <c r="L2020">
        <v>0</v>
      </c>
      <c r="M2020">
        <v>0</v>
      </c>
      <c r="N2020">
        <v>0</v>
      </c>
      <c r="O2020">
        <v>-2.214169090303582</v>
      </c>
      <c r="P2020">
        <v>162590.95742246971</v>
      </c>
    </row>
    <row r="2021" spans="1:16" x14ac:dyDescent="0.25">
      <c r="A2021" s="10">
        <v>40583</v>
      </c>
      <c r="B2021">
        <v>931.4363809800127</v>
      </c>
      <c r="C2021">
        <v>269.50900000000001</v>
      </c>
      <c r="D2021">
        <v>0</v>
      </c>
      <c r="E2021">
        <v>0</v>
      </c>
      <c r="F2021">
        <v>0</v>
      </c>
      <c r="G2021">
        <v>406.91311905999999</v>
      </c>
      <c r="H2021">
        <v>1312.70463857</v>
      </c>
      <c r="I2021">
        <v>0</v>
      </c>
      <c r="J2021">
        <v>0</v>
      </c>
      <c r="K2021">
        <v>3.56029865</v>
      </c>
      <c r="L2021">
        <v>-1018.8</v>
      </c>
      <c r="M2021">
        <v>0</v>
      </c>
      <c r="N2021">
        <v>0</v>
      </c>
      <c r="O2021">
        <v>-42.450675299986983</v>
      </c>
      <c r="P2021">
        <v>163522.3938034497</v>
      </c>
    </row>
    <row r="2022" spans="1:16" x14ac:dyDescent="0.25">
      <c r="A2022" s="10">
        <v>40584</v>
      </c>
      <c r="B2022">
        <v>165.42711612032201</v>
      </c>
      <c r="C2022">
        <v>287.73725000000002</v>
      </c>
      <c r="D2022">
        <v>0</v>
      </c>
      <c r="E2022">
        <v>0</v>
      </c>
      <c r="F2022">
        <v>0</v>
      </c>
      <c r="G2022">
        <v>-557.21352609999997</v>
      </c>
      <c r="H2022">
        <v>457.11248836000232</v>
      </c>
      <c r="I2022">
        <v>0</v>
      </c>
      <c r="J2022">
        <v>0</v>
      </c>
      <c r="K2022">
        <v>3.9846858599999999</v>
      </c>
      <c r="L2022">
        <v>58</v>
      </c>
      <c r="M2022">
        <v>0</v>
      </c>
      <c r="N2022">
        <v>0</v>
      </c>
      <c r="O2022">
        <v>-84.193781999680425</v>
      </c>
      <c r="P2022">
        <v>163687.82091956999</v>
      </c>
    </row>
    <row r="2023" spans="1:16" x14ac:dyDescent="0.25">
      <c r="A2023" s="10">
        <v>40585</v>
      </c>
      <c r="B2023">
        <v>117.4168533996848</v>
      </c>
      <c r="C2023">
        <v>214.3715</v>
      </c>
      <c r="D2023">
        <v>0</v>
      </c>
      <c r="E2023">
        <v>0</v>
      </c>
      <c r="F2023">
        <v>0</v>
      </c>
      <c r="G2023">
        <v>-493.75012333000018</v>
      </c>
      <c r="H2023">
        <v>417.93402270999832</v>
      </c>
      <c r="I2023">
        <v>0</v>
      </c>
      <c r="J2023">
        <v>0</v>
      </c>
      <c r="K2023">
        <v>3.0239772</v>
      </c>
      <c r="L2023">
        <v>0</v>
      </c>
      <c r="M2023">
        <v>0</v>
      </c>
      <c r="N2023">
        <v>0</v>
      </c>
      <c r="O2023">
        <v>-24.162523180313251</v>
      </c>
      <c r="P2023">
        <v>163805.2377729697</v>
      </c>
    </row>
    <row r="2024" spans="1:16" x14ac:dyDescent="0.25">
      <c r="A2024" s="10">
        <v>40588</v>
      </c>
      <c r="B2024">
        <v>533.99123553014999</v>
      </c>
      <c r="C2024">
        <v>35.813249999999996</v>
      </c>
      <c r="D2024">
        <v>0</v>
      </c>
      <c r="E2024">
        <v>0</v>
      </c>
      <c r="F2024">
        <v>0</v>
      </c>
      <c r="G2024">
        <v>335.32960965000029</v>
      </c>
      <c r="H2024">
        <v>131.96581917999899</v>
      </c>
      <c r="I2024">
        <v>0</v>
      </c>
      <c r="J2024">
        <v>0</v>
      </c>
      <c r="K2024">
        <v>3.2779965500000001</v>
      </c>
      <c r="L2024">
        <v>34</v>
      </c>
      <c r="M2024">
        <v>0</v>
      </c>
      <c r="N2024">
        <v>0</v>
      </c>
      <c r="O2024">
        <v>-6.3954398498493221</v>
      </c>
      <c r="P2024">
        <v>164339.22900849991</v>
      </c>
    </row>
    <row r="2025" spans="1:16" x14ac:dyDescent="0.25">
      <c r="A2025" s="10">
        <v>40589</v>
      </c>
      <c r="B2025">
        <v>-344.9062902798758</v>
      </c>
      <c r="C2025">
        <v>193.55844999999999</v>
      </c>
      <c r="D2025">
        <v>-350</v>
      </c>
      <c r="E2025">
        <v>0</v>
      </c>
      <c r="F2025">
        <v>0</v>
      </c>
      <c r="G2025">
        <v>-13.1268846400003</v>
      </c>
      <c r="H2025">
        <v>-157.91126279999659</v>
      </c>
      <c r="I2025">
        <v>0</v>
      </c>
      <c r="J2025">
        <v>0</v>
      </c>
      <c r="K2025">
        <v>2.21541232</v>
      </c>
      <c r="L2025">
        <v>0</v>
      </c>
      <c r="M2025">
        <v>0</v>
      </c>
      <c r="N2025">
        <v>0</v>
      </c>
      <c r="O2025">
        <v>-19.64200515987887</v>
      </c>
      <c r="P2025">
        <v>163994.32271822001</v>
      </c>
    </row>
    <row r="2026" spans="1:16" x14ac:dyDescent="0.25">
      <c r="A2026" s="10">
        <v>40590</v>
      </c>
      <c r="B2026">
        <v>-1016.849033679929</v>
      </c>
      <c r="C2026">
        <v>338.33692000000002</v>
      </c>
      <c r="D2026">
        <v>0</v>
      </c>
      <c r="E2026">
        <v>0</v>
      </c>
      <c r="F2026">
        <v>0</v>
      </c>
      <c r="G2026">
        <v>-614.96731585999976</v>
      </c>
      <c r="H2026">
        <v>-139.08380123000279</v>
      </c>
      <c r="I2026">
        <v>0</v>
      </c>
      <c r="J2026">
        <v>0</v>
      </c>
      <c r="K2026">
        <v>2.6658934799999998</v>
      </c>
      <c r="L2026">
        <v>-647.5</v>
      </c>
      <c r="M2026">
        <v>0</v>
      </c>
      <c r="N2026">
        <v>0</v>
      </c>
      <c r="O2026">
        <v>43.699269930073193</v>
      </c>
      <c r="P2026">
        <v>162977.47368454011</v>
      </c>
    </row>
    <row r="2027" spans="1:16" x14ac:dyDescent="0.25">
      <c r="A2027" s="10">
        <v>40591</v>
      </c>
      <c r="B2027">
        <v>383.3040084896777</v>
      </c>
      <c r="C2027">
        <v>199.1875</v>
      </c>
      <c r="D2027">
        <v>0</v>
      </c>
      <c r="E2027">
        <v>0</v>
      </c>
      <c r="F2027">
        <v>0</v>
      </c>
      <c r="G2027">
        <v>55.152493109999803</v>
      </c>
      <c r="H2027">
        <v>40.340536020001309</v>
      </c>
      <c r="I2027">
        <v>0</v>
      </c>
      <c r="J2027">
        <v>10</v>
      </c>
      <c r="K2027">
        <v>3.3329153599999999</v>
      </c>
      <c r="L2027">
        <v>77.3</v>
      </c>
      <c r="M2027">
        <v>0</v>
      </c>
      <c r="N2027">
        <v>0</v>
      </c>
      <c r="O2027">
        <v>-2.0094360003234439</v>
      </c>
      <c r="P2027">
        <v>163360.77769302981</v>
      </c>
    </row>
    <row r="2028" spans="1:16" x14ac:dyDescent="0.25">
      <c r="A2028" s="10">
        <v>40592</v>
      </c>
      <c r="B2028">
        <v>-1279.245766409615</v>
      </c>
      <c r="C2028">
        <v>122.2855</v>
      </c>
      <c r="D2028">
        <v>0</v>
      </c>
      <c r="E2028">
        <v>0</v>
      </c>
      <c r="F2028">
        <v>0</v>
      </c>
      <c r="G2028">
        <v>19.468774290000059</v>
      </c>
      <c r="H2028">
        <v>-1395.1360968200011</v>
      </c>
      <c r="I2028">
        <v>0</v>
      </c>
      <c r="J2028">
        <v>0</v>
      </c>
      <c r="K2028">
        <v>2.1886133000000001</v>
      </c>
      <c r="L2028">
        <v>0</v>
      </c>
      <c r="M2028">
        <v>0</v>
      </c>
      <c r="N2028">
        <v>0</v>
      </c>
      <c r="O2028">
        <v>-28.052557179614642</v>
      </c>
      <c r="P2028">
        <v>162081.5319266202</v>
      </c>
    </row>
    <row r="2029" spans="1:16" x14ac:dyDescent="0.25">
      <c r="A2029" s="10">
        <v>40595</v>
      </c>
      <c r="B2029">
        <v>141.33883727961879</v>
      </c>
      <c r="C2029">
        <v>-2.0139999999999998</v>
      </c>
      <c r="D2029">
        <v>0</v>
      </c>
      <c r="E2029">
        <v>0</v>
      </c>
      <c r="F2029">
        <v>0</v>
      </c>
      <c r="G2029">
        <v>539.70366193000007</v>
      </c>
      <c r="H2029">
        <v>-418.12552721999782</v>
      </c>
      <c r="I2029">
        <v>0</v>
      </c>
      <c r="J2029">
        <v>1.899999999999636</v>
      </c>
      <c r="K2029">
        <v>3.32594521</v>
      </c>
      <c r="L2029">
        <v>23.9</v>
      </c>
      <c r="M2029">
        <v>0</v>
      </c>
      <c r="N2029">
        <v>0</v>
      </c>
      <c r="O2029">
        <v>-7.351242640383032</v>
      </c>
      <c r="P2029">
        <v>162222.87076389979</v>
      </c>
    </row>
    <row r="2030" spans="1:16" x14ac:dyDescent="0.25">
      <c r="A2030" s="10">
        <v>40596</v>
      </c>
      <c r="B2030">
        <v>1124.457659039995</v>
      </c>
      <c r="C2030">
        <v>78.141500000000008</v>
      </c>
      <c r="D2030">
        <v>0</v>
      </c>
      <c r="E2030">
        <v>0</v>
      </c>
      <c r="F2030">
        <v>0</v>
      </c>
      <c r="G2030">
        <v>542.25693692000004</v>
      </c>
      <c r="H2030">
        <v>527.80543655999827</v>
      </c>
      <c r="I2030">
        <v>0</v>
      </c>
      <c r="J2030">
        <v>0</v>
      </c>
      <c r="K2030">
        <v>2.5570911600000001</v>
      </c>
      <c r="L2030">
        <v>0</v>
      </c>
      <c r="M2030">
        <v>0</v>
      </c>
      <c r="N2030">
        <v>0</v>
      </c>
      <c r="O2030">
        <v>-26.303305600003341</v>
      </c>
      <c r="P2030">
        <v>163347.3284229397</v>
      </c>
    </row>
    <row r="2031" spans="1:16" x14ac:dyDescent="0.25">
      <c r="A2031" s="10">
        <v>40597</v>
      </c>
      <c r="B2031">
        <v>-3028.1044886396849</v>
      </c>
      <c r="C2031">
        <v>74.137</v>
      </c>
      <c r="D2031">
        <v>0</v>
      </c>
      <c r="E2031">
        <v>0</v>
      </c>
      <c r="F2031">
        <v>0</v>
      </c>
      <c r="G2031">
        <v>-1612.00095691</v>
      </c>
      <c r="H2031">
        <v>-429.92792622999877</v>
      </c>
      <c r="I2031">
        <v>0</v>
      </c>
      <c r="J2031">
        <v>0</v>
      </c>
      <c r="K2031">
        <v>3.0200513999999998</v>
      </c>
      <c r="L2031">
        <v>-1064.5999999999999</v>
      </c>
      <c r="M2031">
        <v>0</v>
      </c>
      <c r="N2031">
        <v>0</v>
      </c>
      <c r="O2031">
        <v>1.267343100312974</v>
      </c>
      <c r="P2031">
        <v>160319.2239343001</v>
      </c>
    </row>
    <row r="2032" spans="1:16" x14ac:dyDescent="0.25">
      <c r="A2032" s="10">
        <v>40598</v>
      </c>
      <c r="B2032">
        <v>1599.8516934898221</v>
      </c>
      <c r="C2032">
        <v>323.85101999999989</v>
      </c>
      <c r="D2032">
        <v>0</v>
      </c>
      <c r="E2032">
        <v>0</v>
      </c>
      <c r="F2032">
        <v>0</v>
      </c>
      <c r="G2032">
        <v>837.18074218999959</v>
      </c>
      <c r="H2032">
        <v>419.90539657999938</v>
      </c>
      <c r="I2032">
        <v>0</v>
      </c>
      <c r="J2032">
        <v>0</v>
      </c>
      <c r="K2032">
        <v>3.4703114400000001</v>
      </c>
      <c r="L2032">
        <v>0</v>
      </c>
      <c r="M2032">
        <v>0</v>
      </c>
      <c r="N2032">
        <v>0</v>
      </c>
      <c r="O2032">
        <v>15.44422327982288</v>
      </c>
      <c r="P2032">
        <v>161919.07562778989</v>
      </c>
    </row>
    <row r="2033" spans="1:16" x14ac:dyDescent="0.25">
      <c r="A2033" s="10">
        <v>40599</v>
      </c>
      <c r="B2033">
        <v>1072.797488290292</v>
      </c>
      <c r="C2033">
        <v>409.34559999999999</v>
      </c>
      <c r="D2033">
        <v>0</v>
      </c>
      <c r="E2033">
        <v>-1650</v>
      </c>
      <c r="F2033">
        <v>0</v>
      </c>
      <c r="G2033">
        <v>1862.6851927800001</v>
      </c>
      <c r="H2033">
        <v>387.91332196999969</v>
      </c>
      <c r="I2033">
        <v>0</v>
      </c>
      <c r="J2033">
        <v>0</v>
      </c>
      <c r="K2033">
        <v>3.7186725599999999</v>
      </c>
      <c r="L2033">
        <v>104.5</v>
      </c>
      <c r="M2033">
        <v>0</v>
      </c>
      <c r="N2033">
        <v>0</v>
      </c>
      <c r="O2033">
        <v>-45.365299019707479</v>
      </c>
      <c r="P2033">
        <v>162991.87311608021</v>
      </c>
    </row>
    <row r="2034" spans="1:16" x14ac:dyDescent="0.25">
      <c r="A2034" s="10">
        <v>40602</v>
      </c>
      <c r="B2034">
        <v>-2604.613184960152</v>
      </c>
      <c r="C2034">
        <v>398.97</v>
      </c>
      <c r="D2034">
        <v>0</v>
      </c>
      <c r="E2034">
        <v>0</v>
      </c>
      <c r="F2034">
        <v>0</v>
      </c>
      <c r="G2034">
        <v>477.27825003999999</v>
      </c>
      <c r="H2034">
        <v>-3477.3098886600001</v>
      </c>
      <c r="I2034">
        <v>0</v>
      </c>
      <c r="J2034">
        <v>0</v>
      </c>
      <c r="K2034">
        <v>4.59563861</v>
      </c>
      <c r="L2034">
        <v>0</v>
      </c>
      <c r="M2034">
        <v>0</v>
      </c>
      <c r="N2034">
        <v>0</v>
      </c>
      <c r="O2034">
        <v>-8.1471849501521323</v>
      </c>
      <c r="P2034">
        <v>160387.25993112</v>
      </c>
    </row>
    <row r="2035" spans="1:16" x14ac:dyDescent="0.25">
      <c r="A2035" s="10">
        <v>40603</v>
      </c>
      <c r="B2035">
        <v>4294.0893702200838</v>
      </c>
      <c r="C2035">
        <v>-2.4195000000000002</v>
      </c>
      <c r="D2035">
        <v>0</v>
      </c>
      <c r="E2035">
        <v>0</v>
      </c>
      <c r="F2035">
        <v>0</v>
      </c>
      <c r="G2035">
        <v>-116.22295457</v>
      </c>
      <c r="H2035">
        <v>4344.0766136800012</v>
      </c>
      <c r="I2035">
        <v>0</v>
      </c>
      <c r="J2035">
        <v>0</v>
      </c>
      <c r="K2035">
        <v>3.90613615</v>
      </c>
      <c r="L2035">
        <v>96.5</v>
      </c>
      <c r="M2035">
        <v>0</v>
      </c>
      <c r="N2035">
        <v>0</v>
      </c>
      <c r="O2035">
        <v>-31.750925039916911</v>
      </c>
      <c r="P2035">
        <v>164681.34930134009</v>
      </c>
    </row>
    <row r="2036" spans="1:16" x14ac:dyDescent="0.25">
      <c r="A2036" s="10">
        <v>40604</v>
      </c>
      <c r="B2036">
        <v>1217.1327254398491</v>
      </c>
      <c r="C2036">
        <v>347.38639999999998</v>
      </c>
      <c r="D2036">
        <v>0</v>
      </c>
      <c r="E2036">
        <v>0</v>
      </c>
      <c r="F2036">
        <v>0</v>
      </c>
      <c r="G2036">
        <v>331.48383810000001</v>
      </c>
      <c r="H2036">
        <v>1272.4605690099979</v>
      </c>
      <c r="I2036">
        <v>0</v>
      </c>
      <c r="J2036">
        <v>0</v>
      </c>
      <c r="K2036">
        <v>3.5211848099999998</v>
      </c>
      <c r="L2036">
        <v>-712.8</v>
      </c>
      <c r="M2036">
        <v>0</v>
      </c>
      <c r="N2036">
        <v>0</v>
      </c>
      <c r="O2036">
        <v>-24.91926648014914</v>
      </c>
      <c r="P2036">
        <v>165898.48202678</v>
      </c>
    </row>
    <row r="2037" spans="1:16" x14ac:dyDescent="0.25">
      <c r="A2037" s="10">
        <v>40605</v>
      </c>
      <c r="B2037">
        <v>1322.447448079824</v>
      </c>
      <c r="C2037">
        <v>576.56900000000007</v>
      </c>
      <c r="D2037">
        <v>0</v>
      </c>
      <c r="E2037">
        <v>0</v>
      </c>
      <c r="F2037">
        <v>0</v>
      </c>
      <c r="G2037">
        <v>1670.1721152800001</v>
      </c>
      <c r="H2037">
        <v>-936.37036128999898</v>
      </c>
      <c r="I2037">
        <v>0</v>
      </c>
      <c r="J2037">
        <v>1.1999999999998181</v>
      </c>
      <c r="K2037">
        <v>3.1394632499999999</v>
      </c>
      <c r="L2037">
        <v>0</v>
      </c>
      <c r="M2037">
        <v>0</v>
      </c>
      <c r="N2037">
        <v>0</v>
      </c>
      <c r="O2037">
        <v>7.737230839822951</v>
      </c>
      <c r="P2037">
        <v>167220.92947485979</v>
      </c>
    </row>
    <row r="2038" spans="1:16" x14ac:dyDescent="0.25">
      <c r="A2038" s="10">
        <v>40606</v>
      </c>
      <c r="B2038">
        <v>-299.02092648006533</v>
      </c>
      <c r="C2038">
        <v>270.31470000000002</v>
      </c>
      <c r="D2038">
        <v>0</v>
      </c>
      <c r="E2038">
        <v>1700</v>
      </c>
      <c r="F2038">
        <v>0</v>
      </c>
      <c r="G2038">
        <v>-2229.77168024</v>
      </c>
      <c r="H2038">
        <v>-31.59781629999998</v>
      </c>
      <c r="I2038">
        <v>0</v>
      </c>
      <c r="J2038">
        <v>0</v>
      </c>
      <c r="K2038">
        <v>2.37701217</v>
      </c>
      <c r="L2038">
        <v>0</v>
      </c>
      <c r="M2038">
        <v>0</v>
      </c>
      <c r="N2038">
        <v>0</v>
      </c>
      <c r="O2038">
        <v>-10.343142110064729</v>
      </c>
      <c r="P2038">
        <v>166921.9085483797</v>
      </c>
    </row>
    <row r="2039" spans="1:16" x14ac:dyDescent="0.25">
      <c r="A2039" s="10">
        <v>40611</v>
      </c>
      <c r="B2039">
        <v>769.61145110023824</v>
      </c>
      <c r="C2039">
        <v>259.72662000000003</v>
      </c>
      <c r="D2039">
        <v>0</v>
      </c>
      <c r="E2039">
        <v>0</v>
      </c>
      <c r="F2039">
        <v>0</v>
      </c>
      <c r="G2039">
        <v>321.24270918000002</v>
      </c>
      <c r="H2039">
        <v>666.97006772999885</v>
      </c>
      <c r="I2039">
        <v>0</v>
      </c>
      <c r="J2039">
        <v>0</v>
      </c>
      <c r="K2039">
        <v>5.7565274100000003</v>
      </c>
      <c r="L2039">
        <v>-471.7</v>
      </c>
      <c r="M2039">
        <v>0</v>
      </c>
      <c r="N2039">
        <v>0</v>
      </c>
      <c r="O2039">
        <v>-12.384473219760499</v>
      </c>
      <c r="P2039">
        <v>167691.51999947999</v>
      </c>
    </row>
    <row r="2040" spans="1:16" x14ac:dyDescent="0.25">
      <c r="A2040" s="10">
        <v>40612</v>
      </c>
      <c r="B2040">
        <v>-970.90960526026959</v>
      </c>
      <c r="C2040">
        <v>435.053</v>
      </c>
      <c r="D2040">
        <v>0</v>
      </c>
      <c r="E2040">
        <v>0</v>
      </c>
      <c r="F2040">
        <v>0</v>
      </c>
      <c r="G2040">
        <v>409.88034406999998</v>
      </c>
      <c r="H2040">
        <v>-1816.7087665900019</v>
      </c>
      <c r="I2040">
        <v>0</v>
      </c>
      <c r="J2040">
        <v>-0.3999999999996362</v>
      </c>
      <c r="K2040">
        <v>3.411278660000181</v>
      </c>
      <c r="L2040">
        <v>0</v>
      </c>
      <c r="M2040">
        <v>0</v>
      </c>
      <c r="N2040">
        <v>0</v>
      </c>
      <c r="O2040">
        <v>-2.145461400268414</v>
      </c>
      <c r="P2040">
        <v>166720.61039421969</v>
      </c>
    </row>
    <row r="2041" spans="1:16" x14ac:dyDescent="0.25">
      <c r="A2041" s="10">
        <v>40613</v>
      </c>
      <c r="B2041">
        <v>-191.48923195979989</v>
      </c>
      <c r="C2041">
        <v>549.28899999999999</v>
      </c>
      <c r="D2041">
        <v>0</v>
      </c>
      <c r="E2041">
        <v>-1450</v>
      </c>
      <c r="F2041">
        <v>0</v>
      </c>
      <c r="G2041">
        <v>1796.59121826</v>
      </c>
      <c r="H2041">
        <v>-1057.3032958599979</v>
      </c>
      <c r="I2041">
        <v>0</v>
      </c>
      <c r="J2041">
        <v>1.899999999999636</v>
      </c>
      <c r="K2041">
        <v>4.7295245100000001</v>
      </c>
      <c r="L2041">
        <v>0</v>
      </c>
      <c r="M2041">
        <v>0</v>
      </c>
      <c r="N2041">
        <v>0</v>
      </c>
      <c r="O2041">
        <v>-36.695678869801682</v>
      </c>
      <c r="P2041">
        <v>166529.12116225989</v>
      </c>
    </row>
    <row r="2042" spans="1:16" x14ac:dyDescent="0.25">
      <c r="A2042" s="10">
        <v>40616</v>
      </c>
      <c r="B2042">
        <v>404.2986435899515</v>
      </c>
      <c r="C2042">
        <v>297.30070000000001</v>
      </c>
      <c r="D2042">
        <v>0</v>
      </c>
      <c r="E2042">
        <v>0</v>
      </c>
      <c r="F2042">
        <v>0</v>
      </c>
      <c r="G2042">
        <v>93.002807020000034</v>
      </c>
      <c r="H2042">
        <v>40.844160039998307</v>
      </c>
      <c r="I2042">
        <v>0</v>
      </c>
      <c r="J2042">
        <v>0</v>
      </c>
      <c r="K2042">
        <v>3.5284955999999998</v>
      </c>
      <c r="L2042">
        <v>0</v>
      </c>
      <c r="M2042">
        <v>0</v>
      </c>
      <c r="N2042">
        <v>0</v>
      </c>
      <c r="O2042">
        <v>-30.37751907004683</v>
      </c>
      <c r="P2042">
        <v>166933.41980584979</v>
      </c>
    </row>
    <row r="2043" spans="1:16" x14ac:dyDescent="0.25">
      <c r="A2043" s="10">
        <v>40617</v>
      </c>
      <c r="B2043">
        <v>-283.60227789997629</v>
      </c>
      <c r="C2043">
        <v>100.82386</v>
      </c>
      <c r="D2043">
        <v>0</v>
      </c>
      <c r="E2043">
        <v>0</v>
      </c>
      <c r="F2043">
        <v>0</v>
      </c>
      <c r="G2043">
        <v>-543.65907045000006</v>
      </c>
      <c r="H2043">
        <v>155.7454579999976</v>
      </c>
      <c r="I2043">
        <v>0</v>
      </c>
      <c r="J2043">
        <v>0</v>
      </c>
      <c r="K2043">
        <v>0.66338039000000004</v>
      </c>
      <c r="L2043">
        <v>0</v>
      </c>
      <c r="M2043">
        <v>0</v>
      </c>
      <c r="N2043">
        <v>0</v>
      </c>
      <c r="O2043">
        <v>2.8240941600261982</v>
      </c>
      <c r="P2043">
        <v>166649.8175279499</v>
      </c>
    </row>
    <row r="2044" spans="1:16" x14ac:dyDescent="0.25">
      <c r="A2044" s="10">
        <v>40618</v>
      </c>
      <c r="B2044">
        <v>-2631.0097926601311</v>
      </c>
      <c r="C2044">
        <v>122.727</v>
      </c>
      <c r="D2044">
        <v>0</v>
      </c>
      <c r="E2044">
        <v>0</v>
      </c>
      <c r="F2044">
        <v>0</v>
      </c>
      <c r="G2044">
        <v>-432.52436053999998</v>
      </c>
      <c r="H2044">
        <v>-1421.3905288699989</v>
      </c>
      <c r="I2044">
        <v>0</v>
      </c>
      <c r="J2044">
        <v>12.89999999999964</v>
      </c>
      <c r="K2044">
        <v>2.81918976</v>
      </c>
      <c r="L2044">
        <v>-907.29999999999973</v>
      </c>
      <c r="M2044">
        <v>0</v>
      </c>
      <c r="N2044">
        <v>0</v>
      </c>
      <c r="O2044">
        <v>-8.2410930101319533</v>
      </c>
      <c r="P2044">
        <v>164018.80773528971</v>
      </c>
    </row>
    <row r="2045" spans="1:16" x14ac:dyDescent="0.25">
      <c r="A2045" s="10">
        <v>40619</v>
      </c>
      <c r="B2045">
        <v>916.40126770030395</v>
      </c>
      <c r="C2045">
        <v>239.108</v>
      </c>
      <c r="D2045">
        <v>0</v>
      </c>
      <c r="E2045">
        <v>0</v>
      </c>
      <c r="F2045">
        <v>0</v>
      </c>
      <c r="G2045">
        <v>500.13964133000007</v>
      </c>
      <c r="H2045">
        <v>180.83689288000099</v>
      </c>
      <c r="I2045">
        <v>0</v>
      </c>
      <c r="J2045">
        <v>0</v>
      </c>
      <c r="K2045">
        <v>3.7350000699999999</v>
      </c>
      <c r="L2045">
        <v>0</v>
      </c>
      <c r="M2045">
        <v>0</v>
      </c>
      <c r="N2045">
        <v>0</v>
      </c>
      <c r="O2045">
        <v>-7.4182665796970468</v>
      </c>
      <c r="P2045">
        <v>164935.20900299001</v>
      </c>
    </row>
    <row r="2046" spans="1:16" x14ac:dyDescent="0.25">
      <c r="A2046" s="10">
        <v>40620</v>
      </c>
      <c r="B2046">
        <v>-1820.193557079939</v>
      </c>
      <c r="C2046">
        <v>527.03800000000001</v>
      </c>
      <c r="D2046">
        <v>0</v>
      </c>
      <c r="E2046">
        <v>-250</v>
      </c>
      <c r="F2046">
        <v>0</v>
      </c>
      <c r="G2046">
        <v>-135.63620753000009</v>
      </c>
      <c r="H2046">
        <v>-1954.503603779998</v>
      </c>
      <c r="I2046">
        <v>0</v>
      </c>
      <c r="J2046">
        <v>0</v>
      </c>
      <c r="K2046">
        <v>4.1063996899999999</v>
      </c>
      <c r="L2046">
        <v>0</v>
      </c>
      <c r="M2046">
        <v>0</v>
      </c>
      <c r="N2046">
        <v>0</v>
      </c>
      <c r="O2046">
        <v>-11.19814545994063</v>
      </c>
      <c r="P2046">
        <v>163115.0154459101</v>
      </c>
    </row>
    <row r="2047" spans="1:16" x14ac:dyDescent="0.25">
      <c r="A2047" s="10">
        <v>40623</v>
      </c>
      <c r="B2047">
        <v>-176.84888832000371</v>
      </c>
      <c r="C2047">
        <v>-3.2320000000000002</v>
      </c>
      <c r="D2047">
        <v>0</v>
      </c>
      <c r="E2047">
        <v>0</v>
      </c>
      <c r="F2047">
        <v>0</v>
      </c>
      <c r="G2047">
        <v>273.90318893999989</v>
      </c>
      <c r="H2047">
        <v>-455.69149795999869</v>
      </c>
      <c r="I2047">
        <v>0</v>
      </c>
      <c r="J2047">
        <v>18</v>
      </c>
      <c r="K2047">
        <v>6.9443019700000006</v>
      </c>
      <c r="L2047">
        <v>0</v>
      </c>
      <c r="M2047">
        <v>0</v>
      </c>
      <c r="N2047">
        <v>0</v>
      </c>
      <c r="O2047">
        <v>-16.77288127000487</v>
      </c>
      <c r="P2047">
        <v>162938.1665575901</v>
      </c>
    </row>
    <row r="2048" spans="1:16" x14ac:dyDescent="0.25">
      <c r="A2048" s="10">
        <v>40624</v>
      </c>
      <c r="B2048">
        <v>603.96953898997083</v>
      </c>
      <c r="C2048">
        <v>431.60669999999999</v>
      </c>
      <c r="D2048">
        <v>0</v>
      </c>
      <c r="E2048">
        <v>0</v>
      </c>
      <c r="F2048">
        <v>0</v>
      </c>
      <c r="G2048">
        <v>155.63944190000009</v>
      </c>
      <c r="H2048">
        <v>44.586009509996067</v>
      </c>
      <c r="I2048">
        <v>0</v>
      </c>
      <c r="J2048">
        <v>0</v>
      </c>
      <c r="K2048">
        <v>4.1062674499999989</v>
      </c>
      <c r="L2048">
        <v>0</v>
      </c>
      <c r="M2048">
        <v>0</v>
      </c>
      <c r="N2048">
        <v>0</v>
      </c>
      <c r="O2048">
        <v>-31.9688798700254</v>
      </c>
      <c r="P2048">
        <v>163542.1360965801</v>
      </c>
    </row>
    <row r="2049" spans="1:16" x14ac:dyDescent="0.25">
      <c r="A2049" s="10">
        <v>40625</v>
      </c>
      <c r="B2049">
        <v>-1302.1940435102149</v>
      </c>
      <c r="C2049">
        <v>456.32049999999998</v>
      </c>
      <c r="D2049">
        <v>0</v>
      </c>
      <c r="E2049">
        <v>250</v>
      </c>
      <c r="F2049">
        <v>0</v>
      </c>
      <c r="G2049">
        <v>-1850.602227970001</v>
      </c>
      <c r="H2049">
        <v>310.41336369000061</v>
      </c>
      <c r="I2049">
        <v>0</v>
      </c>
      <c r="J2049">
        <v>0</v>
      </c>
      <c r="K2049">
        <v>3.8407945200000002</v>
      </c>
      <c r="L2049">
        <v>-493.59999999999991</v>
      </c>
      <c r="M2049">
        <v>0</v>
      </c>
      <c r="N2049">
        <v>0</v>
      </c>
      <c r="O2049">
        <v>21.4335262497857</v>
      </c>
      <c r="P2049">
        <v>162239.94205306991</v>
      </c>
    </row>
    <row r="2050" spans="1:16" x14ac:dyDescent="0.25">
      <c r="A2050" s="10">
        <v>40630</v>
      </c>
      <c r="B2050">
        <v>1320.15172139986</v>
      </c>
      <c r="C2050">
        <v>321.09320000000002</v>
      </c>
      <c r="D2050">
        <v>-450</v>
      </c>
      <c r="E2050">
        <v>0</v>
      </c>
      <c r="F2050">
        <v>0</v>
      </c>
      <c r="G2050">
        <v>1259.72357827</v>
      </c>
      <c r="H2050">
        <v>199.77661985999839</v>
      </c>
      <c r="I2050">
        <v>0</v>
      </c>
      <c r="J2050">
        <v>0.6499999999996362</v>
      </c>
      <c r="K2050">
        <v>15.315059979999999</v>
      </c>
      <c r="L2050">
        <v>0</v>
      </c>
      <c r="M2050">
        <v>0</v>
      </c>
      <c r="N2050">
        <v>0</v>
      </c>
      <c r="O2050">
        <v>-26.40673671013797</v>
      </c>
      <c r="P2050">
        <v>163560.09377446969</v>
      </c>
    </row>
    <row r="2051" spans="1:16" x14ac:dyDescent="0.25">
      <c r="A2051" s="10">
        <v>40631</v>
      </c>
      <c r="B2051">
        <v>-2001.211604679557</v>
      </c>
      <c r="C2051">
        <v>281.24900000000002</v>
      </c>
      <c r="D2051">
        <v>0</v>
      </c>
      <c r="E2051">
        <v>0</v>
      </c>
      <c r="F2051">
        <v>0</v>
      </c>
      <c r="G2051">
        <v>401.08842349999998</v>
      </c>
      <c r="H2051">
        <v>-2742.390319630003</v>
      </c>
      <c r="I2051">
        <v>0</v>
      </c>
      <c r="J2051">
        <v>0</v>
      </c>
      <c r="K2051">
        <v>5.0046990900000017</v>
      </c>
      <c r="L2051">
        <v>40.5</v>
      </c>
      <c r="M2051">
        <v>0</v>
      </c>
      <c r="N2051">
        <v>0</v>
      </c>
      <c r="O2051">
        <v>13.336592360446049</v>
      </c>
      <c r="P2051">
        <v>161558.8821697901</v>
      </c>
    </row>
    <row r="2052" spans="1:16" x14ac:dyDescent="0.25">
      <c r="A2052" s="10">
        <v>40632</v>
      </c>
      <c r="B2052">
        <v>-4159.4215189801189</v>
      </c>
      <c r="C2052">
        <v>157.95099999999999</v>
      </c>
      <c r="D2052">
        <v>0</v>
      </c>
      <c r="E2052">
        <v>0</v>
      </c>
      <c r="F2052">
        <v>2000</v>
      </c>
      <c r="G2052">
        <v>-1336.16593517</v>
      </c>
      <c r="H2052">
        <v>-4249.7490925499987</v>
      </c>
      <c r="I2052">
        <v>0</v>
      </c>
      <c r="J2052">
        <v>0</v>
      </c>
      <c r="K2052">
        <v>8.0734155099999985</v>
      </c>
      <c r="L2052">
        <v>-715.90000000000009</v>
      </c>
      <c r="M2052">
        <v>0</v>
      </c>
      <c r="N2052">
        <v>0</v>
      </c>
      <c r="O2052">
        <v>-23.630906770119331</v>
      </c>
      <c r="P2052">
        <v>157399.46065081001</v>
      </c>
    </row>
    <row r="2053" spans="1:16" x14ac:dyDescent="0.25">
      <c r="A2053" s="10">
        <v>40633</v>
      </c>
      <c r="B2053">
        <v>1890.3985431299659</v>
      </c>
      <c r="C2053">
        <v>233.91900000000001</v>
      </c>
      <c r="D2053">
        <v>0</v>
      </c>
      <c r="E2053">
        <v>0</v>
      </c>
      <c r="F2053">
        <v>0</v>
      </c>
      <c r="G2053">
        <v>1179.57622064</v>
      </c>
      <c r="H2053">
        <v>489.37409551999741</v>
      </c>
      <c r="I2053">
        <v>0</v>
      </c>
      <c r="J2053">
        <v>0</v>
      </c>
      <c r="K2053">
        <v>3.5152225700000002</v>
      </c>
      <c r="L2053">
        <v>0</v>
      </c>
      <c r="M2053">
        <v>0</v>
      </c>
      <c r="N2053">
        <v>0</v>
      </c>
      <c r="O2053">
        <v>-15.9859956000314</v>
      </c>
      <c r="P2053">
        <v>159289.85919394001</v>
      </c>
    </row>
    <row r="2054" spans="1:16" x14ac:dyDescent="0.25">
      <c r="A2054" s="10">
        <v>40634</v>
      </c>
      <c r="B2054">
        <v>6864.0682075001541</v>
      </c>
      <c r="C2054">
        <v>-2.839</v>
      </c>
      <c r="D2054">
        <v>0</v>
      </c>
      <c r="E2054">
        <v>1400</v>
      </c>
      <c r="F2054">
        <v>0</v>
      </c>
      <c r="G2054">
        <v>-1241.3288080100001</v>
      </c>
      <c r="H2054">
        <v>6708.7757334200051</v>
      </c>
      <c r="I2054">
        <v>0</v>
      </c>
      <c r="J2054">
        <v>7.8999999999996362</v>
      </c>
      <c r="K2054">
        <v>3.05652518</v>
      </c>
      <c r="L2054">
        <v>0</v>
      </c>
      <c r="M2054">
        <v>0</v>
      </c>
      <c r="N2054">
        <v>0</v>
      </c>
      <c r="O2054">
        <v>-11.496243089850759</v>
      </c>
      <c r="P2054">
        <v>166153.92740144019</v>
      </c>
    </row>
    <row r="2055" spans="1:16" x14ac:dyDescent="0.25">
      <c r="A2055" s="10">
        <v>40637</v>
      </c>
      <c r="B2055">
        <v>362.49574346953892</v>
      </c>
      <c r="C2055">
        <v>224.07499999999999</v>
      </c>
      <c r="D2055">
        <v>0</v>
      </c>
      <c r="E2055">
        <v>0</v>
      </c>
      <c r="F2055">
        <v>0</v>
      </c>
      <c r="G2055">
        <v>219.13739578000019</v>
      </c>
      <c r="H2055">
        <v>-150.4955794899997</v>
      </c>
      <c r="I2055">
        <v>0</v>
      </c>
      <c r="J2055">
        <v>16.10000000000036</v>
      </c>
      <c r="K2055">
        <v>5.0752343400000006</v>
      </c>
      <c r="L2055">
        <v>52.2</v>
      </c>
      <c r="M2055">
        <v>0</v>
      </c>
      <c r="N2055">
        <v>0</v>
      </c>
      <c r="O2055">
        <v>-3.5963071604620271</v>
      </c>
      <c r="P2055">
        <v>166516.4231449097</v>
      </c>
    </row>
    <row r="2056" spans="1:16" x14ac:dyDescent="0.25">
      <c r="A2056" s="10">
        <v>40638</v>
      </c>
      <c r="B2056">
        <v>1039.646704730141</v>
      </c>
      <c r="C2056">
        <v>503.7937</v>
      </c>
      <c r="D2056">
        <v>0</v>
      </c>
      <c r="E2056">
        <v>-2600</v>
      </c>
      <c r="F2056">
        <v>0</v>
      </c>
      <c r="G2056">
        <v>1867.19179399</v>
      </c>
      <c r="H2056">
        <v>1164.039470979998</v>
      </c>
      <c r="I2056">
        <v>0</v>
      </c>
      <c r="J2056">
        <v>0</v>
      </c>
      <c r="K2056">
        <v>4.5519903899999994</v>
      </c>
      <c r="L2056">
        <v>99.100000000000009</v>
      </c>
      <c r="M2056">
        <v>0</v>
      </c>
      <c r="N2056">
        <v>0</v>
      </c>
      <c r="O2056">
        <v>0.96974937014274509</v>
      </c>
      <c r="P2056">
        <v>167556.06984963981</v>
      </c>
    </row>
    <row r="2057" spans="1:16" x14ac:dyDescent="0.25">
      <c r="A2057" s="10">
        <v>40639</v>
      </c>
      <c r="B2057">
        <v>29.73004440998147</v>
      </c>
      <c r="C2057">
        <v>520.88660000000004</v>
      </c>
      <c r="D2057">
        <v>0</v>
      </c>
      <c r="E2057">
        <v>0</v>
      </c>
      <c r="F2057">
        <v>0</v>
      </c>
      <c r="G2057">
        <v>-282.73503984000001</v>
      </c>
      <c r="H2057">
        <v>505.79124548000249</v>
      </c>
      <c r="I2057">
        <v>0</v>
      </c>
      <c r="J2057">
        <v>3.8999999999996362</v>
      </c>
      <c r="K2057">
        <v>4.9050542899999998</v>
      </c>
      <c r="L2057">
        <v>-710.30000000000007</v>
      </c>
      <c r="M2057">
        <v>0</v>
      </c>
      <c r="N2057">
        <v>0</v>
      </c>
      <c r="O2057">
        <v>-12.71781552002062</v>
      </c>
      <c r="P2057">
        <v>167585.79989404979</v>
      </c>
    </row>
    <row r="2058" spans="1:16" x14ac:dyDescent="0.25">
      <c r="A2058" s="10">
        <v>40640</v>
      </c>
      <c r="B2058">
        <v>-590.20363995982927</v>
      </c>
      <c r="C2058">
        <v>502.57060000000001</v>
      </c>
      <c r="D2058">
        <v>0</v>
      </c>
      <c r="E2058">
        <v>0</v>
      </c>
      <c r="F2058">
        <v>0</v>
      </c>
      <c r="G2058">
        <v>246.02094803000011</v>
      </c>
      <c r="H2058">
        <v>-1309.5039117700021</v>
      </c>
      <c r="I2058">
        <v>0</v>
      </c>
      <c r="J2058">
        <v>0</v>
      </c>
      <c r="K2058">
        <v>3.2978958199999999</v>
      </c>
      <c r="L2058">
        <v>0</v>
      </c>
      <c r="M2058">
        <v>0</v>
      </c>
      <c r="N2058">
        <v>0</v>
      </c>
      <c r="O2058">
        <v>-32.589172039827687</v>
      </c>
      <c r="P2058">
        <v>166995.59625408999</v>
      </c>
    </row>
    <row r="2059" spans="1:16" x14ac:dyDescent="0.25">
      <c r="A2059" s="10">
        <v>40641</v>
      </c>
      <c r="B2059">
        <v>-601.01370542010409</v>
      </c>
      <c r="C2059">
        <v>352.79450000000003</v>
      </c>
      <c r="D2059">
        <v>0</v>
      </c>
      <c r="E2059">
        <v>0</v>
      </c>
      <c r="F2059">
        <v>0</v>
      </c>
      <c r="G2059">
        <v>167.11416822999999</v>
      </c>
      <c r="H2059">
        <v>-1128.8815295299989</v>
      </c>
      <c r="I2059">
        <v>0</v>
      </c>
      <c r="J2059">
        <v>0</v>
      </c>
      <c r="K2059">
        <v>2.6722329399999998</v>
      </c>
      <c r="L2059">
        <v>0</v>
      </c>
      <c r="M2059">
        <v>0</v>
      </c>
      <c r="N2059">
        <v>0</v>
      </c>
      <c r="O2059">
        <v>5.2869229398950663</v>
      </c>
      <c r="P2059">
        <v>166394.58254866989</v>
      </c>
    </row>
    <row r="2060" spans="1:16" x14ac:dyDescent="0.25">
      <c r="A2060" s="10">
        <v>40644</v>
      </c>
      <c r="B2060">
        <v>2240.964219670248</v>
      </c>
      <c r="C2060">
        <v>442.46003999999999</v>
      </c>
      <c r="D2060">
        <v>0</v>
      </c>
      <c r="E2060">
        <v>0</v>
      </c>
      <c r="F2060">
        <v>0</v>
      </c>
      <c r="G2060">
        <v>479.81433825999989</v>
      </c>
      <c r="H2060">
        <v>1339.6073020199999</v>
      </c>
      <c r="I2060">
        <v>0</v>
      </c>
      <c r="J2060">
        <v>0</v>
      </c>
      <c r="K2060">
        <v>5.3766680499999993</v>
      </c>
      <c r="L2060">
        <v>0</v>
      </c>
      <c r="M2060">
        <v>0</v>
      </c>
      <c r="N2060">
        <v>0</v>
      </c>
      <c r="O2060">
        <v>-26.294128659751639</v>
      </c>
      <c r="P2060">
        <v>168635.54676834011</v>
      </c>
    </row>
    <row r="2061" spans="1:16" x14ac:dyDescent="0.25">
      <c r="A2061" s="10">
        <v>40645</v>
      </c>
      <c r="B2061">
        <v>-197.53887581024981</v>
      </c>
      <c r="C2061">
        <v>183.511</v>
      </c>
      <c r="D2061">
        <v>0</v>
      </c>
      <c r="E2061">
        <v>0</v>
      </c>
      <c r="F2061">
        <v>0</v>
      </c>
      <c r="G2061">
        <v>-477.89984784000001</v>
      </c>
      <c r="H2061">
        <v>75.252566299999671</v>
      </c>
      <c r="I2061">
        <v>0</v>
      </c>
      <c r="J2061">
        <v>62.800000000000182</v>
      </c>
      <c r="K2061">
        <v>3.1421363900000001</v>
      </c>
      <c r="L2061">
        <v>0</v>
      </c>
      <c r="M2061">
        <v>0</v>
      </c>
      <c r="N2061">
        <v>0</v>
      </c>
      <c r="O2061">
        <v>-44.344730660249638</v>
      </c>
      <c r="P2061">
        <v>168438.00789252989</v>
      </c>
    </row>
    <row r="2062" spans="1:16" x14ac:dyDescent="0.25">
      <c r="A2062" s="10">
        <v>40646</v>
      </c>
      <c r="B2062">
        <v>-82.239743220096301</v>
      </c>
      <c r="C2062">
        <v>189.77858000000001</v>
      </c>
      <c r="D2062">
        <v>0</v>
      </c>
      <c r="E2062">
        <v>0</v>
      </c>
      <c r="F2062">
        <v>0</v>
      </c>
      <c r="G2062">
        <v>128.55912051000001</v>
      </c>
      <c r="H2062">
        <v>650.55329931000233</v>
      </c>
      <c r="I2062">
        <v>0</v>
      </c>
      <c r="J2062">
        <v>0</v>
      </c>
      <c r="K2062">
        <v>6.1795202099999997</v>
      </c>
      <c r="L2062">
        <v>-1064.2</v>
      </c>
      <c r="M2062">
        <v>0</v>
      </c>
      <c r="N2062">
        <v>0</v>
      </c>
      <c r="O2062">
        <v>6.8897367499012248</v>
      </c>
      <c r="P2062">
        <v>168355.76814930979</v>
      </c>
    </row>
    <row r="2063" spans="1:16" x14ac:dyDescent="0.25">
      <c r="A2063" s="10">
        <v>40647</v>
      </c>
      <c r="B2063">
        <v>1764.405162530282</v>
      </c>
      <c r="C2063">
        <v>297.76166000000001</v>
      </c>
      <c r="D2063">
        <v>0</v>
      </c>
      <c r="E2063">
        <v>2650</v>
      </c>
      <c r="F2063">
        <v>0</v>
      </c>
      <c r="G2063">
        <v>-2712.0127767899999</v>
      </c>
      <c r="H2063">
        <v>1525.1409432599989</v>
      </c>
      <c r="I2063">
        <v>0</v>
      </c>
      <c r="J2063">
        <v>0</v>
      </c>
      <c r="K2063">
        <v>5.4104343899999998</v>
      </c>
      <c r="L2063">
        <v>0</v>
      </c>
      <c r="M2063">
        <v>0</v>
      </c>
      <c r="N2063">
        <v>0</v>
      </c>
      <c r="O2063">
        <v>-1.8950983297173021</v>
      </c>
      <c r="P2063">
        <v>170120.17331183999</v>
      </c>
    </row>
    <row r="2064" spans="1:16" x14ac:dyDescent="0.25">
      <c r="A2064" s="10">
        <v>40648</v>
      </c>
      <c r="B2064">
        <v>-868.80724220003981</v>
      </c>
      <c r="C2064">
        <v>-2.4317999999999991</v>
      </c>
      <c r="D2064">
        <v>0</v>
      </c>
      <c r="E2064">
        <v>0</v>
      </c>
      <c r="F2064">
        <v>0</v>
      </c>
      <c r="G2064">
        <v>-199.25659182000021</v>
      </c>
      <c r="H2064">
        <v>-667.08819410000069</v>
      </c>
      <c r="I2064">
        <v>0</v>
      </c>
      <c r="J2064">
        <v>0</v>
      </c>
      <c r="K2064">
        <v>2.82323608</v>
      </c>
      <c r="L2064">
        <v>0</v>
      </c>
      <c r="M2064">
        <v>0</v>
      </c>
      <c r="N2064">
        <v>0</v>
      </c>
      <c r="O2064">
        <v>-2.853892360039072</v>
      </c>
      <c r="P2064">
        <v>169251.36606964</v>
      </c>
    </row>
    <row r="2065" spans="1:16" x14ac:dyDescent="0.25">
      <c r="A2065" s="10">
        <v>40651</v>
      </c>
      <c r="B2065">
        <v>-415.15414535021398</v>
      </c>
      <c r="C2065">
        <v>9.3507999999999978</v>
      </c>
      <c r="D2065">
        <v>0</v>
      </c>
      <c r="E2065">
        <v>0</v>
      </c>
      <c r="F2065">
        <v>0</v>
      </c>
      <c r="G2065">
        <v>-491.74329819999991</v>
      </c>
      <c r="H2065">
        <v>80.952544889998535</v>
      </c>
      <c r="I2065">
        <v>0</v>
      </c>
      <c r="J2065">
        <v>0</v>
      </c>
      <c r="K2065">
        <v>4.6509414299999996</v>
      </c>
      <c r="L2065">
        <v>0</v>
      </c>
      <c r="M2065">
        <v>0</v>
      </c>
      <c r="N2065">
        <v>0</v>
      </c>
      <c r="O2065">
        <v>-18.36513347021269</v>
      </c>
      <c r="P2065">
        <v>168836.21192428979</v>
      </c>
    </row>
    <row r="2066" spans="1:16" x14ac:dyDescent="0.25">
      <c r="A2066" s="10">
        <v>40652</v>
      </c>
      <c r="B2066">
        <v>-315.42544693971331</v>
      </c>
      <c r="C2066">
        <v>192.77799999999999</v>
      </c>
      <c r="D2066">
        <v>0</v>
      </c>
      <c r="E2066">
        <v>0</v>
      </c>
      <c r="F2066">
        <v>0</v>
      </c>
      <c r="G2066">
        <v>-1815.40518038</v>
      </c>
      <c r="H2066">
        <v>1128.8097591200001</v>
      </c>
      <c r="I2066">
        <v>0</v>
      </c>
      <c r="J2066">
        <v>10</v>
      </c>
      <c r="K2066">
        <v>2.7613020399999999</v>
      </c>
      <c r="L2066">
        <v>153.1</v>
      </c>
      <c r="M2066">
        <v>0</v>
      </c>
      <c r="N2066">
        <v>0</v>
      </c>
      <c r="O2066">
        <v>12.530672280286289</v>
      </c>
      <c r="P2066">
        <v>168520.78647735011</v>
      </c>
    </row>
    <row r="2067" spans="1:16" x14ac:dyDescent="0.25">
      <c r="A2067" s="10">
        <v>40653</v>
      </c>
      <c r="B2067">
        <v>531.63950630984664</v>
      </c>
      <c r="C2067">
        <v>340.863</v>
      </c>
      <c r="D2067">
        <v>0</v>
      </c>
      <c r="E2067">
        <v>-2500</v>
      </c>
      <c r="F2067">
        <v>0</v>
      </c>
      <c r="G2067">
        <v>3124.9238601699999</v>
      </c>
      <c r="H2067">
        <v>513.10506010999961</v>
      </c>
      <c r="I2067">
        <v>0</v>
      </c>
      <c r="J2067">
        <v>8.6999999999998181</v>
      </c>
      <c r="K2067">
        <v>4.9884689899999994</v>
      </c>
      <c r="L2067">
        <v>-991.89999999999986</v>
      </c>
      <c r="M2067">
        <v>0</v>
      </c>
      <c r="N2067">
        <v>0</v>
      </c>
      <c r="O2067">
        <v>30.9591170398473</v>
      </c>
      <c r="P2067">
        <v>169052.42598366001</v>
      </c>
    </row>
    <row r="2068" spans="1:16" x14ac:dyDescent="0.25">
      <c r="A2068" s="10">
        <v>40658</v>
      </c>
      <c r="B2068">
        <v>-1485.97740366016</v>
      </c>
      <c r="C2068">
        <v>302.54176999999999</v>
      </c>
      <c r="D2068">
        <v>0</v>
      </c>
      <c r="E2068">
        <v>0</v>
      </c>
      <c r="F2068">
        <v>0</v>
      </c>
      <c r="G2068">
        <v>809.34252930000014</v>
      </c>
      <c r="H2068">
        <v>-2576.86262046</v>
      </c>
      <c r="I2068">
        <v>0</v>
      </c>
      <c r="J2068">
        <v>0</v>
      </c>
      <c r="K2068">
        <v>11.55753867</v>
      </c>
      <c r="L2068">
        <v>0</v>
      </c>
      <c r="M2068">
        <v>0</v>
      </c>
      <c r="N2068">
        <v>0</v>
      </c>
      <c r="O2068">
        <v>-32.55662117015904</v>
      </c>
      <c r="P2068">
        <v>167566.44857999979</v>
      </c>
    </row>
    <row r="2069" spans="1:16" x14ac:dyDescent="0.25">
      <c r="A2069" s="10">
        <v>40659</v>
      </c>
      <c r="B2069">
        <v>-299.72361820997321</v>
      </c>
      <c r="C2069">
        <v>85.722000000000008</v>
      </c>
      <c r="D2069">
        <v>0</v>
      </c>
      <c r="E2069">
        <v>0</v>
      </c>
      <c r="F2069">
        <v>0</v>
      </c>
      <c r="G2069">
        <v>800.76434134999988</v>
      </c>
      <c r="H2069">
        <v>-1248.960489659999</v>
      </c>
      <c r="I2069">
        <v>0</v>
      </c>
      <c r="J2069">
        <v>0</v>
      </c>
      <c r="K2069">
        <v>2.8260184099999992</v>
      </c>
      <c r="L2069">
        <v>82.7</v>
      </c>
      <c r="M2069">
        <v>0</v>
      </c>
      <c r="N2069">
        <v>0</v>
      </c>
      <c r="O2069">
        <v>-22.775488309973561</v>
      </c>
      <c r="P2069">
        <v>167266.72496178979</v>
      </c>
    </row>
    <row r="2070" spans="1:16" x14ac:dyDescent="0.25">
      <c r="A2070" s="10">
        <v>40660</v>
      </c>
      <c r="B2070">
        <v>-367.85475984984072</v>
      </c>
      <c r="C2070">
        <v>62.933999999999997</v>
      </c>
      <c r="D2070">
        <v>0</v>
      </c>
      <c r="E2070">
        <v>0</v>
      </c>
      <c r="F2070">
        <v>0</v>
      </c>
      <c r="G2070">
        <v>-490.53193319000019</v>
      </c>
      <c r="H2070">
        <v>-885.70263474000603</v>
      </c>
      <c r="I2070">
        <v>0</v>
      </c>
      <c r="J2070">
        <v>0</v>
      </c>
      <c r="K2070">
        <v>5.335547309999999</v>
      </c>
      <c r="L2070">
        <v>945.99999999999989</v>
      </c>
      <c r="M2070">
        <v>0</v>
      </c>
      <c r="N2070">
        <v>0</v>
      </c>
      <c r="O2070">
        <v>-5.8897392298343476</v>
      </c>
      <c r="P2070">
        <v>166898.87020194001</v>
      </c>
    </row>
    <row r="2071" spans="1:16" x14ac:dyDescent="0.25">
      <c r="A2071" s="10">
        <v>40661</v>
      </c>
      <c r="B2071">
        <v>-265.38608236008503</v>
      </c>
      <c r="C2071">
        <v>-329.12299999999999</v>
      </c>
      <c r="D2071">
        <v>0</v>
      </c>
      <c r="E2071">
        <v>0</v>
      </c>
      <c r="F2071">
        <v>0</v>
      </c>
      <c r="G2071">
        <v>310.23974884000017</v>
      </c>
      <c r="H2071">
        <v>-365.05428481000132</v>
      </c>
      <c r="I2071">
        <v>0</v>
      </c>
      <c r="J2071">
        <v>0</v>
      </c>
      <c r="K2071">
        <v>2.52654595</v>
      </c>
      <c r="L2071">
        <v>138.6</v>
      </c>
      <c r="M2071">
        <v>0</v>
      </c>
      <c r="N2071">
        <v>0</v>
      </c>
      <c r="O2071">
        <v>-22.57509234008397</v>
      </c>
      <c r="P2071">
        <v>166633.48411957989</v>
      </c>
    </row>
    <row r="2072" spans="1:16" x14ac:dyDescent="0.25">
      <c r="A2072" s="10">
        <v>40662</v>
      </c>
      <c r="B2072">
        <v>659.42445872986013</v>
      </c>
      <c r="C2072">
        <v>-108.20921</v>
      </c>
      <c r="D2072">
        <v>0</v>
      </c>
      <c r="E2072">
        <v>2450</v>
      </c>
      <c r="F2072">
        <v>500</v>
      </c>
      <c r="G2072">
        <v>-1851.9582876699999</v>
      </c>
      <c r="H2072">
        <v>-276.50463064999889</v>
      </c>
      <c r="I2072">
        <v>0</v>
      </c>
      <c r="J2072">
        <v>0</v>
      </c>
      <c r="K2072">
        <v>2.1356870200000002</v>
      </c>
      <c r="L2072">
        <v>0</v>
      </c>
      <c r="M2072">
        <v>0</v>
      </c>
      <c r="N2072">
        <v>0</v>
      </c>
      <c r="O2072">
        <v>-56.039099970140747</v>
      </c>
      <c r="P2072">
        <v>167292.90857830981</v>
      </c>
    </row>
    <row r="2073" spans="1:16" x14ac:dyDescent="0.25">
      <c r="A2073" s="10">
        <v>40665</v>
      </c>
      <c r="B2073">
        <v>3117.1883144900489</v>
      </c>
      <c r="C2073">
        <v>-259.13490000000002</v>
      </c>
      <c r="D2073">
        <v>0</v>
      </c>
      <c r="E2073">
        <v>0</v>
      </c>
      <c r="F2073">
        <v>0</v>
      </c>
      <c r="G2073">
        <v>-231.11146758999999</v>
      </c>
      <c r="H2073">
        <v>3566.624200780001</v>
      </c>
      <c r="I2073">
        <v>0</v>
      </c>
      <c r="J2073">
        <v>-0.1999999999998181</v>
      </c>
      <c r="K2073">
        <v>7.9159748199999997</v>
      </c>
      <c r="L2073">
        <v>36.700000000000003</v>
      </c>
      <c r="M2073">
        <v>0</v>
      </c>
      <c r="N2073">
        <v>0</v>
      </c>
      <c r="O2073">
        <v>-3.6054935199515969</v>
      </c>
      <c r="P2073">
        <v>170410.0968927998</v>
      </c>
    </row>
    <row r="2074" spans="1:16" x14ac:dyDescent="0.25">
      <c r="A2074" s="10">
        <v>40666</v>
      </c>
      <c r="B2074">
        <v>837.2736625301776</v>
      </c>
      <c r="C2074">
        <v>442.05500000000001</v>
      </c>
      <c r="D2074">
        <v>0</v>
      </c>
      <c r="E2074">
        <v>0</v>
      </c>
      <c r="F2074">
        <v>0</v>
      </c>
      <c r="G2074">
        <v>567.69684703000007</v>
      </c>
      <c r="H2074">
        <v>-166.35618798999889</v>
      </c>
      <c r="I2074">
        <v>0</v>
      </c>
      <c r="J2074">
        <v>0</v>
      </c>
      <c r="K2074">
        <v>2.8112306999999999</v>
      </c>
      <c r="L2074">
        <v>0</v>
      </c>
      <c r="M2074">
        <v>0</v>
      </c>
      <c r="N2074">
        <v>0</v>
      </c>
      <c r="O2074">
        <v>-8.933227209823599</v>
      </c>
      <c r="P2074">
        <v>171247.37055533001</v>
      </c>
    </row>
    <row r="2075" spans="1:16" x14ac:dyDescent="0.25">
      <c r="A2075" s="10">
        <v>40667</v>
      </c>
      <c r="B2075">
        <v>482.74082036977109</v>
      </c>
      <c r="C2075">
        <v>98.873000000000019</v>
      </c>
      <c r="D2075">
        <v>0</v>
      </c>
      <c r="E2075">
        <v>0</v>
      </c>
      <c r="F2075">
        <v>0</v>
      </c>
      <c r="G2075">
        <v>208.14600632</v>
      </c>
      <c r="H2075">
        <v>270.91554440000073</v>
      </c>
      <c r="I2075">
        <v>0</v>
      </c>
      <c r="J2075">
        <v>0</v>
      </c>
      <c r="K2075">
        <v>2.4082558500000002</v>
      </c>
      <c r="L2075">
        <v>-74.899999999999977</v>
      </c>
      <c r="M2075">
        <v>0</v>
      </c>
      <c r="N2075">
        <v>0</v>
      </c>
      <c r="O2075">
        <v>-22.70198620022968</v>
      </c>
      <c r="P2075">
        <v>171730.11137569969</v>
      </c>
    </row>
    <row r="2076" spans="1:16" x14ac:dyDescent="0.25">
      <c r="A2076" s="10">
        <v>40668</v>
      </c>
      <c r="B2076">
        <v>-1306.4958352898841</v>
      </c>
      <c r="C2076">
        <v>-46.927500000000002</v>
      </c>
      <c r="D2076">
        <v>0</v>
      </c>
      <c r="E2076">
        <v>0</v>
      </c>
      <c r="F2076">
        <v>0</v>
      </c>
      <c r="G2076">
        <v>-770.27157589000001</v>
      </c>
      <c r="H2076">
        <v>-532.88138715000241</v>
      </c>
      <c r="I2076">
        <v>0</v>
      </c>
      <c r="J2076">
        <v>0</v>
      </c>
      <c r="K2076">
        <v>4.4167780700000003</v>
      </c>
      <c r="L2076">
        <v>0</v>
      </c>
      <c r="M2076">
        <v>0</v>
      </c>
      <c r="N2076">
        <v>0</v>
      </c>
      <c r="O2076">
        <v>39.167849680118557</v>
      </c>
      <c r="P2076">
        <v>170423.6155404099</v>
      </c>
    </row>
    <row r="2077" spans="1:16" x14ac:dyDescent="0.25">
      <c r="A2077" s="10">
        <v>40669</v>
      </c>
      <c r="B2077">
        <v>-1228.490143629838</v>
      </c>
      <c r="C2077">
        <v>37.944000000000003</v>
      </c>
      <c r="D2077">
        <v>0</v>
      </c>
      <c r="E2077">
        <v>-2450</v>
      </c>
      <c r="F2077">
        <v>0</v>
      </c>
      <c r="G2077">
        <v>2222.57230192</v>
      </c>
      <c r="H2077">
        <v>-1162.096661339998</v>
      </c>
      <c r="I2077">
        <v>0</v>
      </c>
      <c r="J2077">
        <v>0</v>
      </c>
      <c r="K2077">
        <v>4.2239915699999999</v>
      </c>
      <c r="L2077">
        <v>0</v>
      </c>
      <c r="M2077">
        <v>0</v>
      </c>
      <c r="N2077">
        <v>0</v>
      </c>
      <c r="O2077">
        <v>118.86622422015991</v>
      </c>
      <c r="P2077">
        <v>169195.12539678</v>
      </c>
    </row>
    <row r="2078" spans="1:16" x14ac:dyDescent="0.25">
      <c r="A2078" s="10">
        <v>40672</v>
      </c>
      <c r="B2078">
        <v>758.2045771998238</v>
      </c>
      <c r="C2078">
        <v>-2.4493</v>
      </c>
      <c r="D2078">
        <v>0</v>
      </c>
      <c r="E2078">
        <v>0</v>
      </c>
      <c r="F2078">
        <v>0</v>
      </c>
      <c r="G2078">
        <v>178.46535076000001</v>
      </c>
      <c r="H2078">
        <v>446.56820291000082</v>
      </c>
      <c r="I2078">
        <v>0</v>
      </c>
      <c r="J2078">
        <v>-0.5</v>
      </c>
      <c r="K2078">
        <v>2.6124147500000898</v>
      </c>
      <c r="L2078">
        <v>141.9</v>
      </c>
      <c r="M2078">
        <v>0</v>
      </c>
      <c r="N2078">
        <v>0</v>
      </c>
      <c r="O2078">
        <v>-8.3920912201769848</v>
      </c>
      <c r="P2078">
        <v>169953.32997397979</v>
      </c>
    </row>
    <row r="2079" spans="1:16" x14ac:dyDescent="0.25">
      <c r="A2079" s="10">
        <v>40673</v>
      </c>
      <c r="B2079">
        <v>-1297.5273644997801</v>
      </c>
      <c r="C2079">
        <v>569.87135000000001</v>
      </c>
      <c r="D2079">
        <v>0</v>
      </c>
      <c r="E2079">
        <v>0</v>
      </c>
      <c r="F2079">
        <v>0</v>
      </c>
      <c r="G2079">
        <v>546.77587087000006</v>
      </c>
      <c r="H2079">
        <v>-2414.6507143200001</v>
      </c>
      <c r="I2079">
        <v>0</v>
      </c>
      <c r="J2079">
        <v>0</v>
      </c>
      <c r="K2079">
        <v>2.7532537399999999</v>
      </c>
      <c r="L2079">
        <v>0</v>
      </c>
      <c r="M2079">
        <v>0</v>
      </c>
      <c r="N2079">
        <v>0</v>
      </c>
      <c r="O2079">
        <v>-2.2771247897804661</v>
      </c>
      <c r="P2079">
        <v>168655.8026094801</v>
      </c>
    </row>
    <row r="2080" spans="1:16" x14ac:dyDescent="0.25">
      <c r="A2080" s="10">
        <v>40674</v>
      </c>
      <c r="B2080">
        <v>819.85586712002907</v>
      </c>
      <c r="C2080">
        <v>-246.9803</v>
      </c>
      <c r="D2080">
        <v>0</v>
      </c>
      <c r="E2080">
        <v>0</v>
      </c>
      <c r="F2080">
        <v>0</v>
      </c>
      <c r="G2080">
        <v>-181.84777537000011</v>
      </c>
      <c r="H2080">
        <v>904.14749964000112</v>
      </c>
      <c r="I2080">
        <v>0</v>
      </c>
      <c r="J2080">
        <v>19.39999999999964</v>
      </c>
      <c r="K2080">
        <v>4.2053418599999999</v>
      </c>
      <c r="L2080">
        <v>318.3</v>
      </c>
      <c r="M2080">
        <v>0</v>
      </c>
      <c r="N2080">
        <v>0</v>
      </c>
      <c r="O2080">
        <v>2.6311009900285618</v>
      </c>
      <c r="P2080">
        <v>169475.6584766001</v>
      </c>
    </row>
    <row r="2081" spans="1:16" x14ac:dyDescent="0.25">
      <c r="A2081" s="10">
        <v>40675</v>
      </c>
      <c r="B2081">
        <v>1294.798969529686</v>
      </c>
      <c r="C2081">
        <v>555.55919999999992</v>
      </c>
      <c r="D2081">
        <v>0</v>
      </c>
      <c r="E2081">
        <v>0</v>
      </c>
      <c r="F2081">
        <v>0</v>
      </c>
      <c r="G2081">
        <v>-146.66543830000001</v>
      </c>
      <c r="H2081">
        <v>868.41187340999932</v>
      </c>
      <c r="I2081">
        <v>0</v>
      </c>
      <c r="J2081">
        <v>35.399999999999643</v>
      </c>
      <c r="K2081">
        <v>4.3944072199999997</v>
      </c>
      <c r="L2081">
        <v>46</v>
      </c>
      <c r="M2081">
        <v>0</v>
      </c>
      <c r="N2081">
        <v>0</v>
      </c>
      <c r="O2081">
        <v>-68.30107280031261</v>
      </c>
      <c r="P2081">
        <v>170770.45744612979</v>
      </c>
    </row>
    <row r="2082" spans="1:16" x14ac:dyDescent="0.25">
      <c r="A2082" s="10">
        <v>40676</v>
      </c>
      <c r="B2082">
        <v>1545.520227070054</v>
      </c>
      <c r="C2082">
        <v>832.7636</v>
      </c>
      <c r="D2082">
        <v>0</v>
      </c>
      <c r="E2082">
        <v>2500</v>
      </c>
      <c r="F2082">
        <v>0</v>
      </c>
      <c r="G2082">
        <v>-2421.97171729</v>
      </c>
      <c r="H2082">
        <v>635.84668437000073</v>
      </c>
      <c r="I2082">
        <v>0</v>
      </c>
      <c r="J2082">
        <v>0</v>
      </c>
      <c r="K2082">
        <v>5.11981704</v>
      </c>
      <c r="L2082">
        <v>0</v>
      </c>
      <c r="M2082">
        <v>0</v>
      </c>
      <c r="N2082">
        <v>0</v>
      </c>
      <c r="O2082">
        <v>-6.2381570499473584</v>
      </c>
      <c r="P2082">
        <v>172315.97767319981</v>
      </c>
    </row>
    <row r="2083" spans="1:16" x14ac:dyDescent="0.25">
      <c r="A2083" s="10">
        <v>40679</v>
      </c>
      <c r="B2083">
        <v>1071.047021679871</v>
      </c>
      <c r="C2083">
        <v>-35.530999999999999</v>
      </c>
      <c r="D2083">
        <v>0</v>
      </c>
      <c r="E2083">
        <v>0</v>
      </c>
      <c r="F2083">
        <v>0</v>
      </c>
      <c r="G2083">
        <v>-483.3656382800001</v>
      </c>
      <c r="H2083">
        <v>1273.902923220001</v>
      </c>
      <c r="I2083">
        <v>0</v>
      </c>
      <c r="J2083">
        <v>208.64099999999959</v>
      </c>
      <c r="K2083">
        <v>3.7986694999999999</v>
      </c>
      <c r="L2083">
        <v>55.099999999999987</v>
      </c>
      <c r="M2083">
        <v>0</v>
      </c>
      <c r="N2083">
        <v>0</v>
      </c>
      <c r="O2083">
        <v>48.50106723987092</v>
      </c>
      <c r="P2083">
        <v>173387.02469487971</v>
      </c>
    </row>
    <row r="2084" spans="1:16" x14ac:dyDescent="0.25">
      <c r="A2084" s="10">
        <v>40680</v>
      </c>
      <c r="B2084">
        <v>-430.21805797994517</v>
      </c>
      <c r="C2084">
        <v>-2.8597999999999999</v>
      </c>
      <c r="D2084">
        <v>0</v>
      </c>
      <c r="E2084">
        <v>0</v>
      </c>
      <c r="F2084">
        <v>0</v>
      </c>
      <c r="G2084">
        <v>101.08633159999999</v>
      </c>
      <c r="H2084">
        <v>-608.81439964000128</v>
      </c>
      <c r="I2084">
        <v>0</v>
      </c>
      <c r="J2084">
        <v>0</v>
      </c>
      <c r="K2084">
        <v>4.6431675299999986</v>
      </c>
      <c r="L2084">
        <v>75.399999999999991</v>
      </c>
      <c r="M2084">
        <v>0</v>
      </c>
      <c r="N2084">
        <v>0</v>
      </c>
      <c r="O2084">
        <v>0.32664253005616573</v>
      </c>
      <c r="P2084">
        <v>172956.8066368998</v>
      </c>
    </row>
    <row r="2085" spans="1:16" x14ac:dyDescent="0.25">
      <c r="A2085" s="10">
        <v>40681</v>
      </c>
      <c r="B2085">
        <v>-182.56759965981391</v>
      </c>
      <c r="C2085">
        <v>-55.569000000000003</v>
      </c>
      <c r="D2085">
        <v>0</v>
      </c>
      <c r="E2085">
        <v>0</v>
      </c>
      <c r="F2085">
        <v>0</v>
      </c>
      <c r="G2085">
        <v>-225.1791018599998</v>
      </c>
      <c r="H2085">
        <v>954.66534280999986</v>
      </c>
      <c r="I2085">
        <v>0</v>
      </c>
      <c r="J2085">
        <v>0</v>
      </c>
      <c r="K2085">
        <v>4.9758675200000004</v>
      </c>
      <c r="L2085">
        <v>-825.4</v>
      </c>
      <c r="M2085">
        <v>0</v>
      </c>
      <c r="N2085">
        <v>0</v>
      </c>
      <c r="O2085">
        <v>-36.060708129813818</v>
      </c>
      <c r="P2085">
        <v>172774.23903724001</v>
      </c>
    </row>
    <row r="2086" spans="1:16" x14ac:dyDescent="0.25">
      <c r="A2086" s="10">
        <v>40682</v>
      </c>
      <c r="B2086">
        <v>720.64125786014461</v>
      </c>
      <c r="C2086">
        <v>-90.335499999999996</v>
      </c>
      <c r="D2086">
        <v>0</v>
      </c>
      <c r="E2086">
        <v>0</v>
      </c>
      <c r="F2086">
        <v>0</v>
      </c>
      <c r="G2086">
        <v>189.6440519799998</v>
      </c>
      <c r="H2086">
        <v>620.96975247000228</v>
      </c>
      <c r="I2086">
        <v>0</v>
      </c>
      <c r="J2086">
        <v>0</v>
      </c>
      <c r="K2086">
        <v>3.7660541200000002</v>
      </c>
      <c r="L2086">
        <v>0</v>
      </c>
      <c r="M2086">
        <v>0</v>
      </c>
      <c r="N2086">
        <v>0</v>
      </c>
      <c r="O2086">
        <v>-3.4031007098575188</v>
      </c>
      <c r="P2086">
        <v>173494.8802951001</v>
      </c>
    </row>
    <row r="2087" spans="1:16" x14ac:dyDescent="0.25">
      <c r="A2087" s="10">
        <v>40683</v>
      </c>
      <c r="B2087">
        <v>-1140.321014040238</v>
      </c>
      <c r="C2087">
        <v>-146.37465</v>
      </c>
      <c r="D2087">
        <v>0</v>
      </c>
      <c r="E2087">
        <v>0</v>
      </c>
      <c r="F2087">
        <v>0</v>
      </c>
      <c r="G2087">
        <v>-596.70151861999989</v>
      </c>
      <c r="H2087">
        <v>-435.34704850000338</v>
      </c>
      <c r="I2087">
        <v>0</v>
      </c>
      <c r="J2087">
        <v>11.80000000000018</v>
      </c>
      <c r="K2087">
        <v>4.2085096599999998</v>
      </c>
      <c r="L2087">
        <v>44.3</v>
      </c>
      <c r="M2087">
        <v>0</v>
      </c>
      <c r="N2087">
        <v>0</v>
      </c>
      <c r="O2087">
        <v>-22.206306580234148</v>
      </c>
      <c r="P2087">
        <v>172354.55928105989</v>
      </c>
    </row>
    <row r="2088" spans="1:16" x14ac:dyDescent="0.25">
      <c r="A2088" s="10">
        <v>40686</v>
      </c>
      <c r="B2088">
        <v>392.44112946008738</v>
      </c>
      <c r="C2088">
        <v>169.53450000000001</v>
      </c>
      <c r="D2088">
        <v>0</v>
      </c>
      <c r="E2088">
        <v>0</v>
      </c>
      <c r="F2088">
        <v>0</v>
      </c>
      <c r="G2088">
        <v>544.70388778999984</v>
      </c>
      <c r="H2088">
        <v>-335.36314269999639</v>
      </c>
      <c r="I2088">
        <v>0</v>
      </c>
      <c r="J2088">
        <v>11.5</v>
      </c>
      <c r="K2088">
        <v>4.3071397999999999</v>
      </c>
      <c r="L2088">
        <v>23.1</v>
      </c>
      <c r="M2088">
        <v>0</v>
      </c>
      <c r="N2088">
        <v>0</v>
      </c>
      <c r="O2088">
        <v>-25.341255429916028</v>
      </c>
      <c r="P2088">
        <v>172747.00041051989</v>
      </c>
    </row>
    <row r="2089" spans="1:16" x14ac:dyDescent="0.25">
      <c r="A2089" s="10">
        <v>40687</v>
      </c>
      <c r="B2089">
        <v>969.38773503983987</v>
      </c>
      <c r="C2089">
        <v>503.80340000000001</v>
      </c>
      <c r="D2089">
        <v>0</v>
      </c>
      <c r="E2089">
        <v>0</v>
      </c>
      <c r="F2089">
        <v>0</v>
      </c>
      <c r="G2089">
        <v>517.67352897000001</v>
      </c>
      <c r="H2089">
        <v>-26.9051201300008</v>
      </c>
      <c r="I2089">
        <v>0</v>
      </c>
      <c r="J2089">
        <v>0</v>
      </c>
      <c r="K2089">
        <v>3.6744050700000002</v>
      </c>
      <c r="L2089">
        <v>0</v>
      </c>
      <c r="M2089">
        <v>0</v>
      </c>
      <c r="N2089">
        <v>0</v>
      </c>
      <c r="O2089">
        <v>-28.85847887015937</v>
      </c>
      <c r="P2089">
        <v>173716.38814555979</v>
      </c>
    </row>
    <row r="2090" spans="1:16" x14ac:dyDescent="0.25">
      <c r="A2090" s="10">
        <v>40689</v>
      </c>
      <c r="B2090">
        <v>-329.79420821976868</v>
      </c>
      <c r="C2090">
        <v>714.23149999999998</v>
      </c>
      <c r="D2090">
        <v>0</v>
      </c>
      <c r="E2090">
        <v>0</v>
      </c>
      <c r="F2090">
        <v>0</v>
      </c>
      <c r="G2090">
        <v>251.52561307000011</v>
      </c>
      <c r="H2090">
        <v>-1674.1225314499991</v>
      </c>
      <c r="I2090">
        <v>0</v>
      </c>
      <c r="J2090">
        <v>0</v>
      </c>
      <c r="K2090">
        <v>6.7559098099999977</v>
      </c>
      <c r="L2090">
        <v>392.00000000000011</v>
      </c>
      <c r="M2090">
        <v>0</v>
      </c>
      <c r="N2090">
        <v>0</v>
      </c>
      <c r="O2090">
        <v>-20.184699649770121</v>
      </c>
      <c r="P2090">
        <v>173386.59393733999</v>
      </c>
    </row>
    <row r="2091" spans="1:16" x14ac:dyDescent="0.25">
      <c r="A2091" s="10">
        <v>40690</v>
      </c>
      <c r="B2091">
        <v>-1323.0664427002771</v>
      </c>
      <c r="C2091">
        <v>1119.155</v>
      </c>
      <c r="D2091">
        <v>0</v>
      </c>
      <c r="E2091">
        <v>0</v>
      </c>
      <c r="F2091">
        <v>0</v>
      </c>
      <c r="G2091">
        <v>-337.38763797000001</v>
      </c>
      <c r="H2091">
        <v>-2065.2489951400021</v>
      </c>
      <c r="I2091">
        <v>0</v>
      </c>
      <c r="J2091">
        <v>0</v>
      </c>
      <c r="K2091">
        <v>4.5154978000000003</v>
      </c>
      <c r="L2091">
        <v>0</v>
      </c>
      <c r="M2091">
        <v>0</v>
      </c>
      <c r="N2091">
        <v>0</v>
      </c>
      <c r="O2091">
        <v>-44.100307390274608</v>
      </c>
      <c r="P2091">
        <v>172063.52749463971</v>
      </c>
    </row>
    <row r="2092" spans="1:16" x14ac:dyDescent="0.25">
      <c r="A2092" s="10">
        <v>40693</v>
      </c>
      <c r="B2092">
        <v>-2641.8356460898358</v>
      </c>
      <c r="C2092">
        <v>-2.657999999999999</v>
      </c>
      <c r="D2092">
        <v>0</v>
      </c>
      <c r="E2092">
        <v>0</v>
      </c>
      <c r="F2092">
        <v>0</v>
      </c>
      <c r="G2092">
        <v>-379.80174235999999</v>
      </c>
      <c r="H2092">
        <v>-2285.3478309899979</v>
      </c>
      <c r="I2092">
        <v>0</v>
      </c>
      <c r="J2092">
        <v>11.30000000000018</v>
      </c>
      <c r="K2092">
        <v>9.5464676399999959</v>
      </c>
      <c r="L2092">
        <v>0</v>
      </c>
      <c r="M2092">
        <v>0</v>
      </c>
      <c r="N2092">
        <v>0</v>
      </c>
      <c r="O2092">
        <v>5.1254596201616547</v>
      </c>
      <c r="P2092">
        <v>169421.6918485499</v>
      </c>
    </row>
    <row r="2093" spans="1:16" x14ac:dyDescent="0.25">
      <c r="A2093" s="10">
        <v>40694</v>
      </c>
      <c r="B2093">
        <v>3263.7819865701022</v>
      </c>
      <c r="C2093">
        <v>-638.90659999999991</v>
      </c>
      <c r="D2093">
        <v>0</v>
      </c>
      <c r="E2093">
        <v>0</v>
      </c>
      <c r="F2093">
        <v>0</v>
      </c>
      <c r="G2093">
        <v>604.45324039000002</v>
      </c>
      <c r="H2093">
        <v>3299.4639589500021</v>
      </c>
      <c r="I2093">
        <v>0</v>
      </c>
      <c r="J2093">
        <v>1.3000000000001819</v>
      </c>
      <c r="K2093">
        <v>4.0666762699999994</v>
      </c>
      <c r="L2093">
        <v>0</v>
      </c>
      <c r="M2093">
        <v>0</v>
      </c>
      <c r="N2093">
        <v>0</v>
      </c>
      <c r="O2093">
        <v>-6.5952890399003987</v>
      </c>
      <c r="P2093">
        <v>172685.47383512001</v>
      </c>
    </row>
    <row r="2094" spans="1:16" x14ac:dyDescent="0.25">
      <c r="A2094" s="10">
        <v>40695</v>
      </c>
      <c r="B2094">
        <v>5254.7136285499719</v>
      </c>
      <c r="C2094">
        <v>190.953</v>
      </c>
      <c r="D2094">
        <v>0</v>
      </c>
      <c r="E2094">
        <v>0</v>
      </c>
      <c r="F2094">
        <v>0</v>
      </c>
      <c r="G2094">
        <v>152.90763643999989</v>
      </c>
      <c r="H2094">
        <v>5312.9409678300017</v>
      </c>
      <c r="I2094">
        <v>0</v>
      </c>
      <c r="J2094">
        <v>47.699999999999818</v>
      </c>
      <c r="K2094">
        <v>1.9459970600000911</v>
      </c>
      <c r="L2094">
        <v>-439.3</v>
      </c>
      <c r="M2094">
        <v>0</v>
      </c>
      <c r="N2094">
        <v>0</v>
      </c>
      <c r="O2094">
        <v>-12.433972780029761</v>
      </c>
      <c r="P2094">
        <v>177940.18746367001</v>
      </c>
    </row>
    <row r="2095" spans="1:16" x14ac:dyDescent="0.25">
      <c r="A2095" s="10">
        <v>40696</v>
      </c>
      <c r="B2095">
        <v>-457.35568965016807</v>
      </c>
      <c r="C2095">
        <v>243.76300000000001</v>
      </c>
      <c r="D2095">
        <v>0</v>
      </c>
      <c r="E2095">
        <v>0</v>
      </c>
      <c r="F2095">
        <v>0</v>
      </c>
      <c r="G2095">
        <v>-140.67658936000001</v>
      </c>
      <c r="H2095">
        <v>-573.33339451000211</v>
      </c>
      <c r="I2095">
        <v>0</v>
      </c>
      <c r="J2095">
        <v>0</v>
      </c>
      <c r="K2095">
        <v>2.47803927</v>
      </c>
      <c r="L2095">
        <v>43.6</v>
      </c>
      <c r="M2095">
        <v>0</v>
      </c>
      <c r="N2095">
        <v>0</v>
      </c>
      <c r="O2095">
        <v>-33.186745050166088</v>
      </c>
      <c r="P2095">
        <v>177482.83177401981</v>
      </c>
    </row>
    <row r="2096" spans="1:16" x14ac:dyDescent="0.25">
      <c r="A2096" s="10">
        <v>40697</v>
      </c>
      <c r="B2096">
        <v>556.47797336996791</v>
      </c>
      <c r="C2096">
        <v>119.8663</v>
      </c>
      <c r="D2096">
        <v>0</v>
      </c>
      <c r="E2096">
        <v>0</v>
      </c>
      <c r="F2096">
        <v>0</v>
      </c>
      <c r="G2096">
        <v>-213.53193590000001</v>
      </c>
      <c r="H2096">
        <v>656.62913157000003</v>
      </c>
      <c r="I2096">
        <v>0</v>
      </c>
      <c r="J2096">
        <v>0</v>
      </c>
      <c r="K2096">
        <v>3.5777179600000002</v>
      </c>
      <c r="L2096">
        <v>0</v>
      </c>
      <c r="M2096">
        <v>0</v>
      </c>
      <c r="N2096">
        <v>0</v>
      </c>
      <c r="O2096">
        <v>-10.063240260032151</v>
      </c>
      <c r="P2096">
        <v>178039.30974738981</v>
      </c>
    </row>
    <row r="2097" spans="1:16" x14ac:dyDescent="0.25">
      <c r="A2097" s="10">
        <v>40700</v>
      </c>
      <c r="B2097">
        <v>-68.632267729816064</v>
      </c>
      <c r="C2097">
        <v>-9.0105000000000022</v>
      </c>
      <c r="D2097">
        <v>0</v>
      </c>
      <c r="E2097">
        <v>0</v>
      </c>
      <c r="F2097">
        <v>0</v>
      </c>
      <c r="G2097">
        <v>-258.01709928999998</v>
      </c>
      <c r="H2097">
        <v>270.68874085000061</v>
      </c>
      <c r="I2097">
        <v>0</v>
      </c>
      <c r="J2097">
        <v>0</v>
      </c>
      <c r="K2097">
        <v>4.9865976699999992</v>
      </c>
      <c r="L2097">
        <v>0</v>
      </c>
      <c r="M2097">
        <v>0</v>
      </c>
      <c r="N2097">
        <v>0</v>
      </c>
      <c r="O2097">
        <v>-77.28000695981666</v>
      </c>
      <c r="P2097">
        <v>177970.67747965999</v>
      </c>
    </row>
    <row r="2098" spans="1:16" x14ac:dyDescent="0.25">
      <c r="A2098" s="10">
        <v>40701</v>
      </c>
      <c r="B2098">
        <v>-205.36456027018659</v>
      </c>
      <c r="C2098">
        <v>175.54759999999999</v>
      </c>
      <c r="D2098">
        <v>0</v>
      </c>
      <c r="E2098">
        <v>0</v>
      </c>
      <c r="F2098">
        <v>0</v>
      </c>
      <c r="G2098">
        <v>482.18655883999998</v>
      </c>
      <c r="H2098">
        <v>-916.71923751000213</v>
      </c>
      <c r="I2098">
        <v>0</v>
      </c>
      <c r="J2098">
        <v>9.6999999999998181</v>
      </c>
      <c r="K2098">
        <v>1.8298449000000001</v>
      </c>
      <c r="L2098">
        <v>0</v>
      </c>
      <c r="M2098">
        <v>0</v>
      </c>
      <c r="N2098">
        <v>0</v>
      </c>
      <c r="O2098">
        <v>42.090673499815694</v>
      </c>
      <c r="P2098">
        <v>177765.31291938981</v>
      </c>
    </row>
    <row r="2099" spans="1:16" x14ac:dyDescent="0.25">
      <c r="A2099" s="10">
        <v>40702</v>
      </c>
      <c r="B2099">
        <v>-1262.295677649643</v>
      </c>
      <c r="C2099">
        <v>-2.4550000000000001</v>
      </c>
      <c r="D2099">
        <v>0</v>
      </c>
      <c r="E2099">
        <v>0</v>
      </c>
      <c r="F2099">
        <v>0</v>
      </c>
      <c r="G2099">
        <v>-367.07190729000001</v>
      </c>
      <c r="H2099">
        <v>-160.83577718999911</v>
      </c>
      <c r="I2099">
        <v>0</v>
      </c>
      <c r="J2099">
        <v>-0.6000000000003638</v>
      </c>
      <c r="K2099">
        <v>-0.43050602000000021</v>
      </c>
      <c r="L2099">
        <v>-718.79999999999984</v>
      </c>
      <c r="M2099">
        <v>0</v>
      </c>
      <c r="N2099">
        <v>0</v>
      </c>
      <c r="O2099">
        <v>-12.102487149643411</v>
      </c>
      <c r="P2099">
        <v>176503.0172417401</v>
      </c>
    </row>
    <row r="2100" spans="1:16" x14ac:dyDescent="0.25">
      <c r="A2100" s="10">
        <v>40703</v>
      </c>
      <c r="B2100">
        <v>-255.4307470901993</v>
      </c>
      <c r="C2100">
        <v>328.61700000000002</v>
      </c>
      <c r="D2100">
        <v>0</v>
      </c>
      <c r="E2100">
        <v>0</v>
      </c>
      <c r="F2100">
        <v>0</v>
      </c>
      <c r="G2100">
        <v>317.40476792999988</v>
      </c>
      <c r="H2100">
        <v>-937.91792842999894</v>
      </c>
      <c r="I2100">
        <v>0</v>
      </c>
      <c r="J2100">
        <v>0</v>
      </c>
      <c r="K2100">
        <v>3.03436291</v>
      </c>
      <c r="L2100">
        <v>51.2</v>
      </c>
      <c r="M2100">
        <v>0</v>
      </c>
      <c r="N2100">
        <v>0</v>
      </c>
      <c r="O2100">
        <v>-17.768949500200311</v>
      </c>
      <c r="P2100">
        <v>176247.58649464999</v>
      </c>
    </row>
    <row r="2101" spans="1:16" x14ac:dyDescent="0.25">
      <c r="A2101" s="10">
        <v>40704</v>
      </c>
      <c r="B2101">
        <v>1127.107291220163</v>
      </c>
      <c r="C2101">
        <v>419.38650000000001</v>
      </c>
      <c r="D2101">
        <v>0</v>
      </c>
      <c r="E2101">
        <v>-2450</v>
      </c>
      <c r="F2101">
        <v>0</v>
      </c>
      <c r="G2101">
        <v>2443.0598713499999</v>
      </c>
      <c r="H2101">
        <v>752.39690653999787</v>
      </c>
      <c r="I2101">
        <v>0</v>
      </c>
      <c r="J2101">
        <v>10</v>
      </c>
      <c r="K2101">
        <v>2.8997740599999999</v>
      </c>
      <c r="L2101">
        <v>0</v>
      </c>
      <c r="M2101">
        <v>0</v>
      </c>
      <c r="N2101">
        <v>0</v>
      </c>
      <c r="O2101">
        <v>-50.635760729835063</v>
      </c>
      <c r="P2101">
        <v>177374.6937858701</v>
      </c>
    </row>
    <row r="2102" spans="1:16" x14ac:dyDescent="0.25">
      <c r="A2102" s="10">
        <v>40707</v>
      </c>
      <c r="B2102">
        <v>725.16690588989923</v>
      </c>
      <c r="C2102">
        <v>623.69654000000003</v>
      </c>
      <c r="D2102">
        <v>0</v>
      </c>
      <c r="E2102">
        <v>0</v>
      </c>
      <c r="F2102">
        <v>0</v>
      </c>
      <c r="G2102">
        <v>-102.0613016300001</v>
      </c>
      <c r="H2102">
        <v>207.36396697000049</v>
      </c>
      <c r="I2102">
        <v>0</v>
      </c>
      <c r="J2102">
        <v>0</v>
      </c>
      <c r="K2102">
        <v>3.4442628200000001</v>
      </c>
      <c r="L2102">
        <v>0</v>
      </c>
      <c r="M2102">
        <v>0</v>
      </c>
      <c r="N2102">
        <v>0</v>
      </c>
      <c r="O2102">
        <v>-7.2765622701012713</v>
      </c>
      <c r="P2102">
        <v>178099.86069176</v>
      </c>
    </row>
    <row r="2103" spans="1:16" x14ac:dyDescent="0.25">
      <c r="A2103" s="10">
        <v>40708</v>
      </c>
      <c r="B2103">
        <v>-229.8805877799465</v>
      </c>
      <c r="C2103">
        <v>394.46899999999999</v>
      </c>
      <c r="D2103">
        <v>0</v>
      </c>
      <c r="E2103">
        <v>0</v>
      </c>
      <c r="F2103">
        <v>0</v>
      </c>
      <c r="G2103">
        <v>-542.7644366799999</v>
      </c>
      <c r="H2103">
        <v>-83.091966439998941</v>
      </c>
      <c r="I2103">
        <v>0</v>
      </c>
      <c r="J2103">
        <v>0</v>
      </c>
      <c r="K2103">
        <v>1.9754241400000001</v>
      </c>
      <c r="L2103">
        <v>0</v>
      </c>
      <c r="M2103">
        <v>0</v>
      </c>
      <c r="N2103">
        <v>0</v>
      </c>
      <c r="O2103">
        <v>-0.46860879994763849</v>
      </c>
      <c r="P2103">
        <v>177869.98010397999</v>
      </c>
    </row>
    <row r="2104" spans="1:16" x14ac:dyDescent="0.25">
      <c r="A2104" s="10">
        <v>40709</v>
      </c>
      <c r="B2104">
        <v>1352.5197915498279</v>
      </c>
      <c r="C2104">
        <v>-11.055</v>
      </c>
      <c r="D2104">
        <v>0</v>
      </c>
      <c r="E2104">
        <v>0</v>
      </c>
      <c r="F2104">
        <v>0</v>
      </c>
      <c r="G2104">
        <v>612.78388002000008</v>
      </c>
      <c r="H2104">
        <v>1336.4787872599991</v>
      </c>
      <c r="I2104">
        <v>0</v>
      </c>
      <c r="J2104">
        <v>8.3999999999996362</v>
      </c>
      <c r="K2104">
        <v>2.7686317800000002</v>
      </c>
      <c r="L2104">
        <v>-651.4</v>
      </c>
      <c r="M2104">
        <v>0</v>
      </c>
      <c r="N2104">
        <v>0</v>
      </c>
      <c r="O2104">
        <v>54.543492489829532</v>
      </c>
      <c r="P2104">
        <v>179222.49989552991</v>
      </c>
    </row>
    <row r="2105" spans="1:16" x14ac:dyDescent="0.25">
      <c r="A2105" s="10">
        <v>40710</v>
      </c>
      <c r="B2105">
        <v>-2644.290177759744</v>
      </c>
      <c r="C2105">
        <v>155.1619</v>
      </c>
      <c r="D2105">
        <v>0</v>
      </c>
      <c r="E2105">
        <v>0</v>
      </c>
      <c r="F2105">
        <v>0</v>
      </c>
      <c r="G2105">
        <v>-1190.33109792</v>
      </c>
      <c r="H2105">
        <v>-1759.7604996099999</v>
      </c>
      <c r="I2105">
        <v>0</v>
      </c>
      <c r="J2105">
        <v>0</v>
      </c>
      <c r="K2105">
        <v>3.4368660000000002</v>
      </c>
      <c r="L2105">
        <v>161.9</v>
      </c>
      <c r="M2105">
        <v>0</v>
      </c>
      <c r="N2105">
        <v>0</v>
      </c>
      <c r="O2105">
        <v>-14.697346229743919</v>
      </c>
      <c r="P2105">
        <v>176578.20971777011</v>
      </c>
    </row>
    <row r="2106" spans="1:16" x14ac:dyDescent="0.25">
      <c r="A2106" s="10">
        <v>40711</v>
      </c>
      <c r="B2106">
        <v>440.47714310989159</v>
      </c>
      <c r="C2106">
        <v>155.19550000000001</v>
      </c>
      <c r="D2106">
        <v>0</v>
      </c>
      <c r="E2106">
        <v>2400</v>
      </c>
      <c r="F2106">
        <v>0</v>
      </c>
      <c r="G2106">
        <v>-2728.0570377200002</v>
      </c>
      <c r="H2106">
        <v>607.1389226400006</v>
      </c>
      <c r="I2106">
        <v>0</v>
      </c>
      <c r="J2106">
        <v>0</v>
      </c>
      <c r="K2106">
        <v>3.8578029100000002</v>
      </c>
      <c r="L2106">
        <v>0</v>
      </c>
      <c r="M2106">
        <v>0</v>
      </c>
      <c r="N2106">
        <v>0</v>
      </c>
      <c r="O2106">
        <v>2.3419552798914198</v>
      </c>
      <c r="P2106">
        <v>177018.68686088</v>
      </c>
    </row>
    <row r="2107" spans="1:16" x14ac:dyDescent="0.25">
      <c r="A2107" s="10">
        <v>40715</v>
      </c>
      <c r="B2107">
        <v>498.21348559009442</v>
      </c>
      <c r="C2107">
        <v>5.3280999999999992</v>
      </c>
      <c r="D2107">
        <v>0</v>
      </c>
      <c r="E2107">
        <v>0</v>
      </c>
      <c r="F2107">
        <v>0</v>
      </c>
      <c r="G2107">
        <v>283.95865127999991</v>
      </c>
      <c r="H2107">
        <v>175.42626781000041</v>
      </c>
      <c r="I2107">
        <v>0</v>
      </c>
      <c r="J2107">
        <v>0</v>
      </c>
      <c r="K2107">
        <v>6.2449076600000009</v>
      </c>
      <c r="L2107">
        <v>0</v>
      </c>
      <c r="M2107">
        <v>0</v>
      </c>
      <c r="N2107">
        <v>0</v>
      </c>
      <c r="O2107">
        <v>27.255558840094139</v>
      </c>
      <c r="P2107">
        <v>177516.90034647009</v>
      </c>
    </row>
    <row r="2108" spans="1:16" x14ac:dyDescent="0.25">
      <c r="A2108" s="10">
        <v>40716</v>
      </c>
      <c r="B2108">
        <v>137.98951489967251</v>
      </c>
      <c r="C2108">
        <v>148.37299999999999</v>
      </c>
      <c r="D2108">
        <v>0</v>
      </c>
      <c r="E2108">
        <v>0</v>
      </c>
      <c r="F2108">
        <v>0</v>
      </c>
      <c r="G2108">
        <v>1071.09975057</v>
      </c>
      <c r="H2108">
        <v>-86.471067060001587</v>
      </c>
      <c r="I2108">
        <v>0</v>
      </c>
      <c r="J2108">
        <v>4.6000000000003638</v>
      </c>
      <c r="K2108">
        <v>2.6224953499999999</v>
      </c>
      <c r="L2108">
        <v>-973.8</v>
      </c>
      <c r="M2108">
        <v>0</v>
      </c>
      <c r="N2108">
        <v>0</v>
      </c>
      <c r="O2108">
        <v>-28.434663960326588</v>
      </c>
      <c r="P2108">
        <v>177654.8898613698</v>
      </c>
    </row>
    <row r="2109" spans="1:16" x14ac:dyDescent="0.25">
      <c r="A2109" s="10">
        <v>40717</v>
      </c>
      <c r="B2109">
        <v>16.43900122013342</v>
      </c>
      <c r="C2109">
        <v>55.164999999999999</v>
      </c>
      <c r="D2109">
        <v>0</v>
      </c>
      <c r="E2109">
        <v>0</v>
      </c>
      <c r="F2109">
        <v>0</v>
      </c>
      <c r="G2109">
        <v>556.44179049999991</v>
      </c>
      <c r="H2109">
        <v>-658.24394607999966</v>
      </c>
      <c r="I2109">
        <v>0</v>
      </c>
      <c r="J2109">
        <v>0</v>
      </c>
      <c r="K2109">
        <v>3.5279084900000002</v>
      </c>
      <c r="L2109">
        <v>68.099999999999994</v>
      </c>
      <c r="M2109">
        <v>0</v>
      </c>
      <c r="N2109">
        <v>0</v>
      </c>
      <c r="O2109">
        <v>-8.5517516898667907</v>
      </c>
      <c r="P2109">
        <v>177671.3288625899</v>
      </c>
    </row>
    <row r="2110" spans="1:16" x14ac:dyDescent="0.25">
      <c r="A2110" s="10">
        <v>40718</v>
      </c>
      <c r="B2110">
        <v>-2667.5349202300422</v>
      </c>
      <c r="C2110">
        <v>-63.189600000000013</v>
      </c>
      <c r="D2110">
        <v>0</v>
      </c>
      <c r="E2110">
        <v>0</v>
      </c>
      <c r="F2110">
        <v>0</v>
      </c>
      <c r="G2110">
        <v>-3083.8788276700002</v>
      </c>
      <c r="H2110">
        <v>444.62191602000172</v>
      </c>
      <c r="I2110">
        <v>0</v>
      </c>
      <c r="J2110">
        <v>1.3000000000001819</v>
      </c>
      <c r="K2110">
        <v>3.7744692500000001</v>
      </c>
      <c r="L2110">
        <v>8.9</v>
      </c>
      <c r="M2110">
        <v>0</v>
      </c>
      <c r="N2110">
        <v>0</v>
      </c>
      <c r="O2110">
        <v>20.937122169955821</v>
      </c>
      <c r="P2110">
        <v>175003.79394235989</v>
      </c>
    </row>
    <row r="2111" spans="1:16" x14ac:dyDescent="0.25">
      <c r="A2111" s="10">
        <v>40721</v>
      </c>
      <c r="B2111">
        <v>333.8142767201652</v>
      </c>
      <c r="C2111">
        <v>-51.686</v>
      </c>
      <c r="D2111">
        <v>0</v>
      </c>
      <c r="E2111">
        <v>0</v>
      </c>
      <c r="F2111">
        <v>0</v>
      </c>
      <c r="G2111">
        <v>770.44464814999981</v>
      </c>
      <c r="H2111">
        <v>-344.11831747000002</v>
      </c>
      <c r="I2111">
        <v>0</v>
      </c>
      <c r="J2111">
        <v>0</v>
      </c>
      <c r="K2111">
        <v>4.5818309499999996</v>
      </c>
      <c r="L2111">
        <v>2</v>
      </c>
      <c r="M2111">
        <v>0</v>
      </c>
      <c r="N2111">
        <v>0</v>
      </c>
      <c r="O2111">
        <v>-47.407884909834571</v>
      </c>
      <c r="P2111">
        <v>175337.60821908011</v>
      </c>
    </row>
    <row r="2112" spans="1:16" x14ac:dyDescent="0.25">
      <c r="A2112" s="10">
        <v>40722</v>
      </c>
      <c r="B2112">
        <v>-538.84961584996131</v>
      </c>
      <c r="C2112">
        <v>110.3935</v>
      </c>
      <c r="D2112">
        <v>0</v>
      </c>
      <c r="E2112">
        <v>0</v>
      </c>
      <c r="F2112">
        <v>0</v>
      </c>
      <c r="G2112">
        <v>160.38123651000001</v>
      </c>
      <c r="H2112">
        <v>-833.74524395000117</v>
      </c>
      <c r="I2112">
        <v>0</v>
      </c>
      <c r="J2112">
        <v>0</v>
      </c>
      <c r="K2112">
        <v>3.491287947</v>
      </c>
      <c r="L2112">
        <v>1.3000000000000009</v>
      </c>
      <c r="M2112">
        <v>0</v>
      </c>
      <c r="N2112">
        <v>0</v>
      </c>
      <c r="O2112">
        <v>19.329603643039881</v>
      </c>
      <c r="P2112">
        <v>174798.75860323009</v>
      </c>
    </row>
    <row r="2113" spans="1:16" x14ac:dyDescent="0.25">
      <c r="A2113" s="10">
        <v>40723</v>
      </c>
      <c r="B2113">
        <v>-1553.8055876103181</v>
      </c>
      <c r="C2113">
        <v>-23.828499999999998</v>
      </c>
      <c r="D2113">
        <v>0</v>
      </c>
      <c r="E2113">
        <v>0</v>
      </c>
      <c r="F2113">
        <v>1000</v>
      </c>
      <c r="G2113">
        <v>-1001.38439145</v>
      </c>
      <c r="H2113">
        <v>-1672.559196679998</v>
      </c>
      <c r="I2113">
        <v>0</v>
      </c>
      <c r="J2113">
        <v>0</v>
      </c>
      <c r="K2113">
        <v>3.148938877</v>
      </c>
      <c r="L2113">
        <v>171.1</v>
      </c>
      <c r="M2113">
        <v>0</v>
      </c>
      <c r="N2113">
        <v>0</v>
      </c>
      <c r="O2113">
        <v>-30.282438357319279</v>
      </c>
      <c r="P2113">
        <v>173244.9530156198</v>
      </c>
    </row>
    <row r="2114" spans="1:16" x14ac:dyDescent="0.25">
      <c r="A2114" s="10">
        <v>40724</v>
      </c>
      <c r="B2114">
        <v>3438.59667929035</v>
      </c>
      <c r="C2114">
        <v>-434.09989999999999</v>
      </c>
      <c r="D2114">
        <v>0</v>
      </c>
      <c r="E2114">
        <v>0</v>
      </c>
      <c r="F2114">
        <v>0</v>
      </c>
      <c r="G2114">
        <v>1730.3655408</v>
      </c>
      <c r="H2114">
        <v>2180.8540172699982</v>
      </c>
      <c r="I2114">
        <v>0</v>
      </c>
      <c r="J2114">
        <v>0</v>
      </c>
      <c r="K2114">
        <v>2.9068203869999998</v>
      </c>
      <c r="L2114">
        <v>0</v>
      </c>
      <c r="M2114">
        <v>0</v>
      </c>
      <c r="N2114">
        <v>0</v>
      </c>
      <c r="O2114">
        <v>-41.429799166648081</v>
      </c>
      <c r="P2114">
        <v>176683.54969491009</v>
      </c>
    </row>
    <row r="2115" spans="1:16" x14ac:dyDescent="0.25">
      <c r="A2115" s="10">
        <v>40725</v>
      </c>
      <c r="B2115">
        <v>6204.7048738697486</v>
      </c>
      <c r="C2115">
        <v>256.37430000000001</v>
      </c>
      <c r="D2115">
        <v>0</v>
      </c>
      <c r="E2115">
        <v>0</v>
      </c>
      <c r="F2115">
        <v>0</v>
      </c>
      <c r="G2115">
        <v>-428.46604762999999</v>
      </c>
      <c r="H2115">
        <v>6356.6701552200002</v>
      </c>
      <c r="I2115">
        <v>0</v>
      </c>
      <c r="J2115">
        <v>25.099999999999451</v>
      </c>
      <c r="K2115">
        <v>2.6762449070000911</v>
      </c>
      <c r="L2115">
        <v>0</v>
      </c>
      <c r="M2115">
        <v>0</v>
      </c>
      <c r="N2115">
        <v>0</v>
      </c>
      <c r="O2115">
        <v>-7.649778627250452</v>
      </c>
      <c r="P2115">
        <v>182888.2545687799</v>
      </c>
    </row>
    <row r="2116" spans="1:16" x14ac:dyDescent="0.25">
      <c r="A2116" s="10">
        <v>40728</v>
      </c>
      <c r="B2116">
        <v>-889.13911717006681</v>
      </c>
      <c r="C2116">
        <v>-4.5256500000000006</v>
      </c>
      <c r="D2116">
        <v>0</v>
      </c>
      <c r="E2116">
        <v>0</v>
      </c>
      <c r="F2116">
        <v>0</v>
      </c>
      <c r="G2116">
        <v>489.73276851999998</v>
      </c>
      <c r="H2116">
        <v>-1362.3866438</v>
      </c>
      <c r="I2116">
        <v>0</v>
      </c>
      <c r="J2116">
        <v>0</v>
      </c>
      <c r="K2116">
        <v>2.0816447</v>
      </c>
      <c r="L2116">
        <v>53.100000000000009</v>
      </c>
      <c r="M2116">
        <v>0</v>
      </c>
      <c r="N2116">
        <v>0</v>
      </c>
      <c r="O2116">
        <v>-67.141236590067209</v>
      </c>
      <c r="P2116">
        <v>181999.1154516098</v>
      </c>
    </row>
    <row r="2117" spans="1:16" x14ac:dyDescent="0.25">
      <c r="A2117" s="10">
        <v>40729</v>
      </c>
      <c r="B2117">
        <v>-419.84435306978389</v>
      </c>
      <c r="C2117">
        <v>-723.6816</v>
      </c>
      <c r="D2117">
        <v>0</v>
      </c>
      <c r="E2117">
        <v>0</v>
      </c>
      <c r="F2117">
        <v>0</v>
      </c>
      <c r="G2117">
        <v>-206.8261024</v>
      </c>
      <c r="H2117">
        <v>472.06989160000012</v>
      </c>
      <c r="I2117">
        <v>0</v>
      </c>
      <c r="J2117">
        <v>0.1999999999998181</v>
      </c>
      <c r="K2117">
        <v>0.91692291000000015</v>
      </c>
      <c r="L2117">
        <v>33.200000000000003</v>
      </c>
      <c r="M2117">
        <v>0</v>
      </c>
      <c r="N2117">
        <v>0</v>
      </c>
      <c r="O2117">
        <v>4.2765348202161144</v>
      </c>
      <c r="P2117">
        <v>181579.27109853999</v>
      </c>
    </row>
    <row r="2118" spans="1:16" x14ac:dyDescent="0.25">
      <c r="A2118" s="10">
        <v>40730</v>
      </c>
      <c r="B2118">
        <v>2718.9290701597351</v>
      </c>
      <c r="C2118">
        <v>-198.08081999999999</v>
      </c>
      <c r="D2118">
        <v>0</v>
      </c>
      <c r="E2118">
        <v>0</v>
      </c>
      <c r="F2118">
        <v>0</v>
      </c>
      <c r="G2118">
        <v>1896.76908024</v>
      </c>
      <c r="H2118">
        <v>-368.01812129000058</v>
      </c>
      <c r="I2118">
        <v>0</v>
      </c>
      <c r="J2118">
        <v>30.5</v>
      </c>
      <c r="K2118">
        <v>1.32985208</v>
      </c>
      <c r="L2118">
        <v>1294.3</v>
      </c>
      <c r="M2118">
        <v>0</v>
      </c>
      <c r="N2118">
        <v>0</v>
      </c>
      <c r="O2118">
        <v>62.129079129735509</v>
      </c>
      <c r="P2118">
        <v>184298.20016869981</v>
      </c>
    </row>
    <row r="2119" spans="1:16" x14ac:dyDescent="0.25">
      <c r="A2119" s="10">
        <v>40731</v>
      </c>
      <c r="B2119">
        <v>-377.69882247960737</v>
      </c>
      <c r="C2119">
        <v>-153.98486</v>
      </c>
      <c r="D2119">
        <v>0</v>
      </c>
      <c r="E2119">
        <v>0</v>
      </c>
      <c r="F2119">
        <v>0</v>
      </c>
      <c r="G2119">
        <v>-12.221318300000011</v>
      </c>
      <c r="H2119">
        <v>-231.64670058999951</v>
      </c>
      <c r="I2119">
        <v>0</v>
      </c>
      <c r="J2119">
        <v>0</v>
      </c>
      <c r="K2119">
        <v>0.71349331000000005</v>
      </c>
      <c r="L2119">
        <v>0</v>
      </c>
      <c r="M2119">
        <v>0</v>
      </c>
      <c r="N2119">
        <v>0</v>
      </c>
      <c r="O2119">
        <v>19.440563100392058</v>
      </c>
      <c r="P2119">
        <v>183920.50134622009</v>
      </c>
    </row>
    <row r="2120" spans="1:16" x14ac:dyDescent="0.25">
      <c r="A2120" s="10">
        <v>40732</v>
      </c>
      <c r="B2120">
        <v>-74.741504870064318</v>
      </c>
      <c r="C2120">
        <v>257.09649999999999</v>
      </c>
      <c r="D2120">
        <v>0</v>
      </c>
      <c r="E2120">
        <v>0</v>
      </c>
      <c r="F2120">
        <v>0</v>
      </c>
      <c r="G2120">
        <v>-108.54912518</v>
      </c>
      <c r="H2120">
        <v>-228.4297294700018</v>
      </c>
      <c r="I2120">
        <v>0</v>
      </c>
      <c r="J2120">
        <v>-2</v>
      </c>
      <c r="K2120">
        <v>-3.69932309</v>
      </c>
      <c r="L2120">
        <v>0</v>
      </c>
      <c r="M2120">
        <v>0</v>
      </c>
      <c r="N2120">
        <v>0</v>
      </c>
      <c r="O2120">
        <v>10.84017286993754</v>
      </c>
      <c r="P2120">
        <v>183845.75984135011</v>
      </c>
    </row>
    <row r="2121" spans="1:16" x14ac:dyDescent="0.25">
      <c r="A2121" s="10">
        <v>40735</v>
      </c>
      <c r="B2121">
        <v>3674.3591517698369</v>
      </c>
      <c r="C2121">
        <v>90.474499999999992</v>
      </c>
      <c r="D2121">
        <v>0</v>
      </c>
      <c r="E2121">
        <v>0</v>
      </c>
      <c r="F2121">
        <v>0</v>
      </c>
      <c r="G2121">
        <v>1624.3273199600001</v>
      </c>
      <c r="H2121">
        <v>1957.7911677100001</v>
      </c>
      <c r="I2121">
        <v>0</v>
      </c>
      <c r="J2121">
        <v>0</v>
      </c>
      <c r="K2121">
        <v>2.73254017</v>
      </c>
      <c r="L2121">
        <v>0</v>
      </c>
      <c r="M2121">
        <v>0</v>
      </c>
      <c r="N2121">
        <v>0</v>
      </c>
      <c r="O2121">
        <v>-0.96637607016346028</v>
      </c>
      <c r="P2121">
        <v>187520.11899311989</v>
      </c>
    </row>
    <row r="2122" spans="1:16" x14ac:dyDescent="0.25">
      <c r="A2122" s="10">
        <v>40736</v>
      </c>
      <c r="B2122">
        <v>233.371309680049</v>
      </c>
      <c r="C2122">
        <v>339.97070000000002</v>
      </c>
      <c r="D2122">
        <v>0</v>
      </c>
      <c r="E2122">
        <v>0</v>
      </c>
      <c r="F2122">
        <v>0</v>
      </c>
      <c r="G2122">
        <v>-294.62291765999998</v>
      </c>
      <c r="H2122">
        <v>196.75246828000039</v>
      </c>
      <c r="I2122">
        <v>0</v>
      </c>
      <c r="J2122">
        <v>0</v>
      </c>
      <c r="K2122">
        <v>0.55926598999999999</v>
      </c>
      <c r="L2122">
        <v>0</v>
      </c>
      <c r="M2122">
        <v>0</v>
      </c>
      <c r="N2122">
        <v>0</v>
      </c>
      <c r="O2122">
        <v>-9.2882069299513379</v>
      </c>
      <c r="P2122">
        <v>187753.4903028</v>
      </c>
    </row>
    <row r="2123" spans="1:16" x14ac:dyDescent="0.25">
      <c r="A2123" s="10">
        <v>40737</v>
      </c>
      <c r="B2123">
        <v>2464.9798933498678</v>
      </c>
      <c r="C2123">
        <v>720.9375</v>
      </c>
      <c r="D2123">
        <v>0</v>
      </c>
      <c r="E2123">
        <v>0</v>
      </c>
      <c r="F2123">
        <v>0</v>
      </c>
      <c r="G2123">
        <v>276.85769672999987</v>
      </c>
      <c r="H2123">
        <v>761.77948615999958</v>
      </c>
      <c r="I2123">
        <v>0</v>
      </c>
      <c r="J2123">
        <v>0</v>
      </c>
      <c r="K2123">
        <v>1.3143668799999999</v>
      </c>
      <c r="L2123">
        <v>759.60000000000014</v>
      </c>
      <c r="M2123">
        <v>0</v>
      </c>
      <c r="N2123">
        <v>0</v>
      </c>
      <c r="O2123">
        <v>-55.509156420131781</v>
      </c>
      <c r="P2123">
        <v>190218.47019614981</v>
      </c>
    </row>
    <row r="2124" spans="1:16" x14ac:dyDescent="0.25">
      <c r="A2124" s="10">
        <v>40738</v>
      </c>
      <c r="B2124">
        <v>1069.429877330055</v>
      </c>
      <c r="C2124">
        <v>557.70583999999997</v>
      </c>
      <c r="D2124">
        <v>0</v>
      </c>
      <c r="E2124">
        <v>0</v>
      </c>
      <c r="F2124">
        <v>0</v>
      </c>
      <c r="G2124">
        <v>-315.84118412999999</v>
      </c>
      <c r="H2124">
        <v>523.09649557000012</v>
      </c>
      <c r="I2124">
        <v>0</v>
      </c>
      <c r="J2124">
        <v>0</v>
      </c>
      <c r="K2124">
        <v>1.36584387</v>
      </c>
      <c r="L2124">
        <v>313</v>
      </c>
      <c r="M2124">
        <v>0</v>
      </c>
      <c r="N2124">
        <v>0</v>
      </c>
      <c r="O2124">
        <v>-9.8971179799455964</v>
      </c>
      <c r="P2124">
        <v>191287.90007347989</v>
      </c>
    </row>
    <row r="2125" spans="1:16" x14ac:dyDescent="0.25">
      <c r="A2125" s="10">
        <v>40739</v>
      </c>
      <c r="B2125">
        <v>-2186.1550268898418</v>
      </c>
      <c r="C2125">
        <v>-8.6557500000000047</v>
      </c>
      <c r="D2125">
        <v>0</v>
      </c>
      <c r="E2125">
        <v>0</v>
      </c>
      <c r="F2125">
        <v>0</v>
      </c>
      <c r="G2125">
        <v>-94.61664073999998</v>
      </c>
      <c r="H2125">
        <v>-2235.3902210699998</v>
      </c>
      <c r="I2125">
        <v>0</v>
      </c>
      <c r="J2125">
        <v>0</v>
      </c>
      <c r="K2125">
        <v>0.51381257999999996</v>
      </c>
      <c r="L2125">
        <v>101.3</v>
      </c>
      <c r="M2125">
        <v>0</v>
      </c>
      <c r="N2125">
        <v>0</v>
      </c>
      <c r="O2125">
        <v>50.693772340157281</v>
      </c>
      <c r="P2125">
        <v>189101.74504659011</v>
      </c>
    </row>
    <row r="2126" spans="1:16" x14ac:dyDescent="0.25">
      <c r="A2126" s="10">
        <v>40742</v>
      </c>
      <c r="B2126">
        <v>-148.7773489802785</v>
      </c>
      <c r="C2126">
        <v>-4.9501999999999988</v>
      </c>
      <c r="D2126">
        <v>0</v>
      </c>
      <c r="E2126">
        <v>0</v>
      </c>
      <c r="F2126">
        <v>0</v>
      </c>
      <c r="G2126">
        <v>380.31763676000003</v>
      </c>
      <c r="H2126">
        <v>-499.10444093000018</v>
      </c>
      <c r="I2126">
        <v>0</v>
      </c>
      <c r="J2126">
        <v>0</v>
      </c>
      <c r="K2126">
        <v>2.326994940000001</v>
      </c>
      <c r="L2126">
        <v>5.2</v>
      </c>
      <c r="M2126">
        <v>0</v>
      </c>
      <c r="N2126">
        <v>0</v>
      </c>
      <c r="O2126">
        <v>-32.567339750278279</v>
      </c>
      <c r="P2126">
        <v>188952.9676976098</v>
      </c>
    </row>
    <row r="2127" spans="1:16" x14ac:dyDescent="0.25">
      <c r="A2127" s="10">
        <v>40743</v>
      </c>
      <c r="B2127">
        <v>-238.12695626998931</v>
      </c>
      <c r="C2127">
        <v>-94.920999999999992</v>
      </c>
      <c r="D2127">
        <v>0</v>
      </c>
      <c r="E2127">
        <v>0</v>
      </c>
      <c r="F2127">
        <v>0</v>
      </c>
      <c r="G2127">
        <v>-159.56270384999991</v>
      </c>
      <c r="H2127">
        <v>-108.43882774000031</v>
      </c>
      <c r="I2127">
        <v>0</v>
      </c>
      <c r="J2127">
        <v>0</v>
      </c>
      <c r="K2127">
        <v>1.3493268</v>
      </c>
      <c r="L2127">
        <v>136.4</v>
      </c>
      <c r="M2127">
        <v>0</v>
      </c>
      <c r="N2127">
        <v>0</v>
      </c>
      <c r="O2127">
        <v>-12.95375147998905</v>
      </c>
      <c r="P2127">
        <v>188714.84074133981</v>
      </c>
    </row>
    <row r="2128" spans="1:16" x14ac:dyDescent="0.25">
      <c r="A2128" s="10">
        <v>40744</v>
      </c>
      <c r="B2128">
        <v>-393.05309071991343</v>
      </c>
      <c r="C2128">
        <v>-694.14</v>
      </c>
      <c r="D2128">
        <v>0</v>
      </c>
      <c r="E2128">
        <v>0</v>
      </c>
      <c r="F2128">
        <v>0</v>
      </c>
      <c r="G2128">
        <v>-234.90797735999999</v>
      </c>
      <c r="H2128">
        <v>-807.38110032999975</v>
      </c>
      <c r="I2128">
        <v>0</v>
      </c>
      <c r="J2128">
        <v>0</v>
      </c>
      <c r="K2128">
        <v>0.64759522999999997</v>
      </c>
      <c r="L2128">
        <v>1329</v>
      </c>
      <c r="M2128">
        <v>0</v>
      </c>
      <c r="N2128">
        <v>0</v>
      </c>
      <c r="O2128">
        <v>13.72839174008641</v>
      </c>
      <c r="P2128">
        <v>188321.78765061981</v>
      </c>
    </row>
    <row r="2129" spans="1:16" x14ac:dyDescent="0.25">
      <c r="A2129" s="10">
        <v>40745</v>
      </c>
      <c r="B2129">
        <v>-726.31801218993485</v>
      </c>
      <c r="C2129">
        <v>-4.1377499999999996</v>
      </c>
      <c r="D2129">
        <v>0</v>
      </c>
      <c r="E2129">
        <v>0</v>
      </c>
      <c r="F2129">
        <v>0</v>
      </c>
      <c r="G2129">
        <v>643.6126262099998</v>
      </c>
      <c r="H2129">
        <v>-1367.101086129999</v>
      </c>
      <c r="I2129">
        <v>0</v>
      </c>
      <c r="J2129">
        <v>0</v>
      </c>
      <c r="K2129">
        <v>0.85143273999999991</v>
      </c>
      <c r="L2129">
        <v>0</v>
      </c>
      <c r="M2129">
        <v>0</v>
      </c>
      <c r="N2129">
        <v>0</v>
      </c>
      <c r="O2129">
        <v>0.45676499006453941</v>
      </c>
      <c r="P2129">
        <v>187595.4696384299</v>
      </c>
    </row>
    <row r="2130" spans="1:16" x14ac:dyDescent="0.25">
      <c r="A2130" s="10">
        <v>40746</v>
      </c>
      <c r="B2130">
        <v>-1094.2217302798531</v>
      </c>
      <c r="C2130">
        <v>-4.968</v>
      </c>
      <c r="D2130">
        <v>0</v>
      </c>
      <c r="E2130">
        <v>-1950</v>
      </c>
      <c r="F2130">
        <v>0</v>
      </c>
      <c r="G2130">
        <v>1886.3409729</v>
      </c>
      <c r="H2130">
        <v>-1043.047479420002</v>
      </c>
      <c r="I2130">
        <v>0</v>
      </c>
      <c r="J2130">
        <v>18.60000000000036</v>
      </c>
      <c r="K2130">
        <v>1.12742341</v>
      </c>
      <c r="L2130">
        <v>0</v>
      </c>
      <c r="M2130">
        <v>0</v>
      </c>
      <c r="N2130">
        <v>0</v>
      </c>
      <c r="O2130">
        <v>-2.2746471698512321</v>
      </c>
      <c r="P2130">
        <v>186501.24790815011</v>
      </c>
    </row>
    <row r="2131" spans="1:16" x14ac:dyDescent="0.25">
      <c r="A2131" s="10">
        <v>40749</v>
      </c>
      <c r="B2131">
        <v>-86.812736420105779</v>
      </c>
      <c r="C2131">
        <v>-95.198300000000046</v>
      </c>
      <c r="D2131">
        <v>0</v>
      </c>
      <c r="E2131">
        <v>0</v>
      </c>
      <c r="F2131">
        <v>0</v>
      </c>
      <c r="G2131">
        <v>-159.40753211000001</v>
      </c>
      <c r="H2131">
        <v>172.10290363000061</v>
      </c>
      <c r="I2131">
        <v>0</v>
      </c>
      <c r="J2131">
        <v>14.80000000000018</v>
      </c>
      <c r="K2131">
        <v>3.8924189500000002</v>
      </c>
      <c r="L2131">
        <v>0</v>
      </c>
      <c r="M2131">
        <v>0</v>
      </c>
      <c r="N2131">
        <v>0</v>
      </c>
      <c r="O2131">
        <v>-23.002226890106499</v>
      </c>
      <c r="P2131">
        <v>186414.43517173</v>
      </c>
    </row>
    <row r="2132" spans="1:16" x14ac:dyDescent="0.25">
      <c r="A2132" s="10">
        <v>40750</v>
      </c>
      <c r="B2132">
        <v>-1205.0206911001289</v>
      </c>
      <c r="C2132">
        <v>187.34559999999999</v>
      </c>
      <c r="D2132">
        <v>0</v>
      </c>
      <c r="E2132">
        <v>0</v>
      </c>
      <c r="F2132">
        <v>0</v>
      </c>
      <c r="G2132">
        <v>-1112.6484816300001</v>
      </c>
      <c r="H2132">
        <v>-426.25107686000052</v>
      </c>
      <c r="I2132">
        <v>0</v>
      </c>
      <c r="J2132">
        <v>0</v>
      </c>
      <c r="K2132">
        <v>1.89953094</v>
      </c>
      <c r="L2132">
        <v>63.7</v>
      </c>
      <c r="M2132">
        <v>0</v>
      </c>
      <c r="N2132">
        <v>0</v>
      </c>
      <c r="O2132">
        <v>80.933736449870736</v>
      </c>
      <c r="P2132">
        <v>185209.41448062981</v>
      </c>
    </row>
    <row r="2133" spans="1:16" x14ac:dyDescent="0.25">
      <c r="A2133" s="10">
        <v>40751</v>
      </c>
      <c r="B2133">
        <v>1118.647690050014</v>
      </c>
      <c r="C2133">
        <v>246.21152000000001</v>
      </c>
      <c r="D2133">
        <v>0</v>
      </c>
      <c r="E2133">
        <v>0</v>
      </c>
      <c r="F2133">
        <v>0</v>
      </c>
      <c r="G2133">
        <v>350.54010337999989</v>
      </c>
      <c r="H2133">
        <v>-1341.36279214</v>
      </c>
      <c r="I2133">
        <v>0</v>
      </c>
      <c r="J2133">
        <v>0</v>
      </c>
      <c r="K2133">
        <v>1.9794470399999999</v>
      </c>
      <c r="L2133">
        <v>1854.4</v>
      </c>
      <c r="M2133">
        <v>0</v>
      </c>
      <c r="N2133">
        <v>0</v>
      </c>
      <c r="O2133">
        <v>6.8794117700138493</v>
      </c>
      <c r="P2133">
        <v>186328.06217067991</v>
      </c>
    </row>
    <row r="2134" spans="1:16" x14ac:dyDescent="0.25">
      <c r="A2134" s="10">
        <v>40752</v>
      </c>
      <c r="B2134">
        <v>-1717.164818420016</v>
      </c>
      <c r="C2134">
        <v>-409.89800000000002</v>
      </c>
      <c r="D2134">
        <v>0</v>
      </c>
      <c r="E2134">
        <v>0</v>
      </c>
      <c r="F2134">
        <v>0</v>
      </c>
      <c r="G2134">
        <v>-191.3515377599999</v>
      </c>
      <c r="H2134">
        <v>-1187.6985375399979</v>
      </c>
      <c r="I2134">
        <v>0</v>
      </c>
      <c r="J2134">
        <v>14.5</v>
      </c>
      <c r="K2134">
        <v>1.9201215700000001</v>
      </c>
      <c r="L2134">
        <v>102.7</v>
      </c>
      <c r="M2134">
        <v>0</v>
      </c>
      <c r="N2134">
        <v>0</v>
      </c>
      <c r="O2134">
        <v>-47.336864690018373</v>
      </c>
      <c r="P2134">
        <v>184610.89735225981</v>
      </c>
    </row>
    <row r="2135" spans="1:16" x14ac:dyDescent="0.25">
      <c r="A2135" s="10">
        <v>40753</v>
      </c>
      <c r="B2135">
        <v>399.7481383401896</v>
      </c>
      <c r="C2135">
        <v>-217.4015</v>
      </c>
      <c r="D2135">
        <v>0</v>
      </c>
      <c r="E2135">
        <v>2000</v>
      </c>
      <c r="F2135">
        <v>1350</v>
      </c>
      <c r="G2135">
        <v>-2741.93536847</v>
      </c>
      <c r="H2135">
        <v>30.8021674499978</v>
      </c>
      <c r="I2135">
        <v>0</v>
      </c>
      <c r="J2135">
        <v>0.1999999999998181</v>
      </c>
      <c r="K2135">
        <v>3.66419447</v>
      </c>
      <c r="L2135">
        <v>0</v>
      </c>
      <c r="M2135">
        <v>0</v>
      </c>
      <c r="N2135">
        <v>0</v>
      </c>
      <c r="O2135">
        <v>-25.581355109808079</v>
      </c>
      <c r="P2135">
        <v>185010.6454906</v>
      </c>
    </row>
    <row r="2136" spans="1:16" x14ac:dyDescent="0.25">
      <c r="A2136" s="10">
        <v>40756</v>
      </c>
      <c r="B2136">
        <v>7822.7036357597672</v>
      </c>
      <c r="C2136">
        <v>-172.846</v>
      </c>
      <c r="D2136">
        <v>0</v>
      </c>
      <c r="E2136">
        <v>0</v>
      </c>
      <c r="F2136">
        <v>0</v>
      </c>
      <c r="G2136">
        <v>3366.3115209900002</v>
      </c>
      <c r="H2136">
        <v>4617.121911340002</v>
      </c>
      <c r="I2136">
        <v>0</v>
      </c>
      <c r="J2136">
        <v>12.30000000000018</v>
      </c>
      <c r="K2136">
        <v>7.3177911700000902</v>
      </c>
      <c r="L2136">
        <v>0</v>
      </c>
      <c r="M2136">
        <v>0</v>
      </c>
      <c r="N2136">
        <v>0</v>
      </c>
      <c r="O2136">
        <v>-7.5015877402351183</v>
      </c>
      <c r="P2136">
        <v>192833.3491263598</v>
      </c>
    </row>
    <row r="2137" spans="1:16" x14ac:dyDescent="0.25">
      <c r="A2137" s="10">
        <v>40757</v>
      </c>
      <c r="B2137">
        <v>178.57336469035371</v>
      </c>
      <c r="C2137">
        <v>-342.26949999999999</v>
      </c>
      <c r="D2137">
        <v>0</v>
      </c>
      <c r="E2137">
        <v>0</v>
      </c>
      <c r="F2137">
        <v>0</v>
      </c>
      <c r="G2137">
        <v>204.40632202</v>
      </c>
      <c r="H2137">
        <v>332.56137489999952</v>
      </c>
      <c r="I2137">
        <v>0</v>
      </c>
      <c r="J2137">
        <v>0</v>
      </c>
      <c r="K2137">
        <v>1.359312600000091</v>
      </c>
      <c r="L2137">
        <v>0</v>
      </c>
      <c r="M2137">
        <v>0</v>
      </c>
      <c r="N2137">
        <v>0</v>
      </c>
      <c r="O2137">
        <v>-17.48414482964591</v>
      </c>
      <c r="P2137">
        <v>193011.92249105009</v>
      </c>
    </row>
    <row r="2138" spans="1:16" x14ac:dyDescent="0.25">
      <c r="A2138" s="10">
        <v>40758</v>
      </c>
      <c r="B2138">
        <v>-152.68434166026441</v>
      </c>
      <c r="C2138">
        <v>-2.904300000000001</v>
      </c>
      <c r="D2138">
        <v>0</v>
      </c>
      <c r="E2138">
        <v>0</v>
      </c>
      <c r="F2138">
        <v>0</v>
      </c>
      <c r="G2138">
        <v>-18.61176763999902</v>
      </c>
      <c r="H2138">
        <v>-1176.74493366</v>
      </c>
      <c r="I2138">
        <v>0</v>
      </c>
      <c r="J2138">
        <v>-67.800000000000182</v>
      </c>
      <c r="K2138">
        <v>1.350658110000091</v>
      </c>
      <c r="L2138">
        <v>1117.2</v>
      </c>
      <c r="M2138">
        <v>0</v>
      </c>
      <c r="N2138">
        <v>0</v>
      </c>
      <c r="O2138">
        <v>-5.1739984702651327</v>
      </c>
      <c r="P2138">
        <v>192859.23814938989</v>
      </c>
    </row>
    <row r="2139" spans="1:16" x14ac:dyDescent="0.25">
      <c r="A2139" s="10">
        <v>40759</v>
      </c>
      <c r="B2139">
        <v>-1186.9332407201571</v>
      </c>
      <c r="C2139">
        <v>-423.54700000000003</v>
      </c>
      <c r="D2139">
        <v>0</v>
      </c>
      <c r="E2139">
        <v>0</v>
      </c>
      <c r="F2139">
        <v>0</v>
      </c>
      <c r="G2139">
        <v>-223.05605628999999</v>
      </c>
      <c r="H2139">
        <v>-531.0420425400016</v>
      </c>
      <c r="I2139">
        <v>0</v>
      </c>
      <c r="J2139">
        <v>0</v>
      </c>
      <c r="K2139">
        <v>2.1163531099999999</v>
      </c>
      <c r="L2139">
        <v>0</v>
      </c>
      <c r="M2139">
        <v>0</v>
      </c>
      <c r="N2139">
        <v>0</v>
      </c>
      <c r="O2139">
        <v>-11.404495000155841</v>
      </c>
      <c r="P2139">
        <v>191672.3049086697</v>
      </c>
    </row>
    <row r="2140" spans="1:16" x14ac:dyDescent="0.25">
      <c r="A2140" s="10">
        <v>40760</v>
      </c>
      <c r="B2140">
        <v>-1529.003741029738</v>
      </c>
      <c r="C2140">
        <v>-44.041200000000003</v>
      </c>
      <c r="D2140">
        <v>0</v>
      </c>
      <c r="E2140">
        <v>0</v>
      </c>
      <c r="F2140">
        <v>0</v>
      </c>
      <c r="G2140">
        <v>722.18678533999991</v>
      </c>
      <c r="H2140">
        <v>-2269.0003592700009</v>
      </c>
      <c r="I2140">
        <v>0</v>
      </c>
      <c r="J2140">
        <v>7.3000000000001819</v>
      </c>
      <c r="K2140">
        <v>1.2901384499999999</v>
      </c>
      <c r="L2140">
        <v>0</v>
      </c>
      <c r="M2140">
        <v>0</v>
      </c>
      <c r="N2140">
        <v>0</v>
      </c>
      <c r="O2140">
        <v>53.260894450263677</v>
      </c>
      <c r="P2140">
        <v>190143.30116763999</v>
      </c>
    </row>
    <row r="2141" spans="1:16" x14ac:dyDescent="0.25">
      <c r="A2141" s="10">
        <v>40763</v>
      </c>
      <c r="B2141">
        <v>284.00344791996798</v>
      </c>
      <c r="C2141">
        <v>-953.05330000000004</v>
      </c>
      <c r="D2141">
        <v>0</v>
      </c>
      <c r="E2141">
        <v>0</v>
      </c>
      <c r="F2141">
        <v>0</v>
      </c>
      <c r="G2141">
        <v>428.27827795000002</v>
      </c>
      <c r="H2141">
        <v>812.50401718000103</v>
      </c>
      <c r="I2141">
        <v>0</v>
      </c>
      <c r="J2141">
        <v>-1.100000000000364</v>
      </c>
      <c r="K2141">
        <v>-0.61175966000018178</v>
      </c>
      <c r="L2141">
        <v>0</v>
      </c>
      <c r="M2141">
        <v>0</v>
      </c>
      <c r="N2141">
        <v>0</v>
      </c>
      <c r="O2141">
        <v>-2.0137875500323732</v>
      </c>
      <c r="P2141">
        <v>190427.30461555999</v>
      </c>
    </row>
    <row r="2142" spans="1:16" x14ac:dyDescent="0.25">
      <c r="A2142" s="10">
        <v>40764</v>
      </c>
      <c r="B2142">
        <v>-116.47397064990879</v>
      </c>
      <c r="C2142">
        <v>-360.74396000000002</v>
      </c>
      <c r="D2142">
        <v>0</v>
      </c>
      <c r="E2142">
        <v>0</v>
      </c>
      <c r="F2142">
        <v>0</v>
      </c>
      <c r="G2142">
        <v>103.51239345</v>
      </c>
      <c r="H2142">
        <v>44.321564430003491</v>
      </c>
      <c r="I2142">
        <v>0</v>
      </c>
      <c r="J2142">
        <v>0</v>
      </c>
      <c r="K2142">
        <v>2.0395876799999999</v>
      </c>
      <c r="L2142">
        <v>82.3</v>
      </c>
      <c r="M2142">
        <v>0</v>
      </c>
      <c r="N2142">
        <v>0</v>
      </c>
      <c r="O2142">
        <v>12.09644379008763</v>
      </c>
      <c r="P2142">
        <v>190310.83064490999</v>
      </c>
    </row>
    <row r="2143" spans="1:16" x14ac:dyDescent="0.25">
      <c r="A2143" s="10">
        <v>40765</v>
      </c>
      <c r="B2143">
        <v>-43.848675859975039</v>
      </c>
      <c r="C2143">
        <v>177.45949999999999</v>
      </c>
      <c r="D2143">
        <v>0</v>
      </c>
      <c r="E2143">
        <v>0</v>
      </c>
      <c r="F2143">
        <v>0</v>
      </c>
      <c r="G2143">
        <v>-825.79821000999993</v>
      </c>
      <c r="H2143">
        <v>-691.44207701999949</v>
      </c>
      <c r="I2143">
        <v>0</v>
      </c>
      <c r="J2143">
        <v>0</v>
      </c>
      <c r="K2143">
        <v>2.0395876799999999</v>
      </c>
      <c r="L2143">
        <v>1295.2</v>
      </c>
      <c r="M2143">
        <v>0</v>
      </c>
      <c r="N2143">
        <v>0</v>
      </c>
      <c r="O2143">
        <v>-1.3074765099755501</v>
      </c>
      <c r="P2143">
        <v>190266.9819690501</v>
      </c>
    </row>
    <row r="2144" spans="1:16" x14ac:dyDescent="0.25">
      <c r="A2144" s="10">
        <v>40766</v>
      </c>
      <c r="B2144">
        <v>1125.492863529915</v>
      </c>
      <c r="C2144">
        <v>97.713000000000008</v>
      </c>
      <c r="D2144">
        <v>0</v>
      </c>
      <c r="E2144">
        <v>0</v>
      </c>
      <c r="F2144">
        <v>0</v>
      </c>
      <c r="G2144">
        <v>406.25440596999988</v>
      </c>
      <c r="H2144">
        <v>562.66972696000084</v>
      </c>
      <c r="I2144">
        <v>0</v>
      </c>
      <c r="J2144">
        <v>5</v>
      </c>
      <c r="K2144">
        <v>2.79460636</v>
      </c>
      <c r="L2144">
        <v>38.099999999999987</v>
      </c>
      <c r="M2144">
        <v>0</v>
      </c>
      <c r="N2144">
        <v>0</v>
      </c>
      <c r="O2144">
        <v>12.9611242399149</v>
      </c>
      <c r="P2144">
        <v>191392.47483257999</v>
      </c>
    </row>
    <row r="2145" spans="1:16" x14ac:dyDescent="0.25">
      <c r="A2145" s="10">
        <v>40767</v>
      </c>
      <c r="B2145">
        <v>-906.13025359026494</v>
      </c>
      <c r="C2145">
        <v>11.6447</v>
      </c>
      <c r="D2145">
        <v>0</v>
      </c>
      <c r="E2145">
        <v>0</v>
      </c>
      <c r="F2145">
        <v>0</v>
      </c>
      <c r="G2145">
        <v>97.714549329999954</v>
      </c>
      <c r="H2145">
        <v>-997.58110910999858</v>
      </c>
      <c r="I2145">
        <v>0</v>
      </c>
      <c r="J2145">
        <v>4.8000000000001819</v>
      </c>
      <c r="K2145">
        <v>2.35273866</v>
      </c>
      <c r="L2145">
        <v>48.5</v>
      </c>
      <c r="M2145">
        <v>0</v>
      </c>
      <c r="N2145">
        <v>0</v>
      </c>
      <c r="O2145">
        <v>-73.5611324702666</v>
      </c>
      <c r="P2145">
        <v>190486.34457898969</v>
      </c>
    </row>
    <row r="2146" spans="1:16" x14ac:dyDescent="0.25">
      <c r="A2146" s="10">
        <v>40770</v>
      </c>
      <c r="B2146">
        <v>486.61023706998151</v>
      </c>
      <c r="C2146">
        <v>-2.4940000000000002</v>
      </c>
      <c r="D2146">
        <v>0</v>
      </c>
      <c r="E2146">
        <v>0</v>
      </c>
      <c r="F2146">
        <v>0</v>
      </c>
      <c r="G2146">
        <v>244.45670375</v>
      </c>
      <c r="H2146">
        <v>289.03291848999652</v>
      </c>
      <c r="I2146">
        <v>0</v>
      </c>
      <c r="J2146">
        <v>0</v>
      </c>
      <c r="K2146">
        <v>5.4880215000000003</v>
      </c>
      <c r="L2146">
        <v>0</v>
      </c>
      <c r="M2146">
        <v>0</v>
      </c>
      <c r="N2146">
        <v>0</v>
      </c>
      <c r="O2146">
        <v>-49.873406670014923</v>
      </c>
      <c r="P2146">
        <v>190972.9548160597</v>
      </c>
    </row>
    <row r="2147" spans="1:16" x14ac:dyDescent="0.25">
      <c r="A2147" s="10">
        <v>40771</v>
      </c>
      <c r="B2147">
        <v>-3030.5231214498349</v>
      </c>
      <c r="C2147">
        <v>-430.24515000000002</v>
      </c>
      <c r="D2147">
        <v>0</v>
      </c>
      <c r="E2147">
        <v>0</v>
      </c>
      <c r="F2147">
        <v>0</v>
      </c>
      <c r="G2147">
        <v>-170.84402807999999</v>
      </c>
      <c r="H2147">
        <v>-2579.9891354900028</v>
      </c>
      <c r="I2147">
        <v>0</v>
      </c>
      <c r="J2147">
        <v>33.699999999999818</v>
      </c>
      <c r="K2147">
        <v>2.1341918799999999</v>
      </c>
      <c r="L2147">
        <v>58.4</v>
      </c>
      <c r="M2147">
        <v>0</v>
      </c>
      <c r="N2147">
        <v>0</v>
      </c>
      <c r="O2147">
        <v>56.321000240167812</v>
      </c>
      <c r="P2147">
        <v>187942.4316946099</v>
      </c>
    </row>
    <row r="2148" spans="1:16" x14ac:dyDescent="0.25">
      <c r="A2148" s="10">
        <v>40772</v>
      </c>
      <c r="B2148">
        <v>-41.482961319736837</v>
      </c>
      <c r="C2148">
        <v>-63.322529999999993</v>
      </c>
      <c r="D2148">
        <v>0</v>
      </c>
      <c r="E2148">
        <v>0</v>
      </c>
      <c r="F2148">
        <v>0</v>
      </c>
      <c r="G2148">
        <v>-304.95367408999999</v>
      </c>
      <c r="H2148">
        <v>-170.5405296499994</v>
      </c>
      <c r="I2148">
        <v>0</v>
      </c>
      <c r="J2148">
        <v>0</v>
      </c>
      <c r="K2148">
        <v>2.7349266299999999</v>
      </c>
      <c r="L2148">
        <v>497.1</v>
      </c>
      <c r="M2148">
        <v>0</v>
      </c>
      <c r="N2148">
        <v>0</v>
      </c>
      <c r="O2148">
        <v>-2.501154209737547</v>
      </c>
      <c r="P2148">
        <v>187900.94873329019</v>
      </c>
    </row>
    <row r="2149" spans="1:16" x14ac:dyDescent="0.25">
      <c r="A2149" s="10">
        <v>40773</v>
      </c>
      <c r="B2149">
        <v>-81.757277799974361</v>
      </c>
      <c r="C2149">
        <v>-218.04175000000001</v>
      </c>
      <c r="D2149">
        <v>0</v>
      </c>
      <c r="E2149">
        <v>0</v>
      </c>
      <c r="F2149">
        <v>0</v>
      </c>
      <c r="G2149">
        <v>41.298346880000047</v>
      </c>
      <c r="H2149">
        <v>75.564914450000288</v>
      </c>
      <c r="I2149">
        <v>0</v>
      </c>
      <c r="J2149">
        <v>0</v>
      </c>
      <c r="K2149">
        <v>3.2227543399999998</v>
      </c>
      <c r="L2149">
        <v>0</v>
      </c>
      <c r="M2149">
        <v>0</v>
      </c>
      <c r="N2149">
        <v>0</v>
      </c>
      <c r="O2149">
        <v>16.198456530025279</v>
      </c>
      <c r="P2149">
        <v>187819.19145549019</v>
      </c>
    </row>
    <row r="2150" spans="1:16" x14ac:dyDescent="0.25">
      <c r="A2150" s="10">
        <v>40774</v>
      </c>
      <c r="B2150">
        <v>1320.380595699738</v>
      </c>
      <c r="C2150">
        <v>-2.5033500000000002</v>
      </c>
      <c r="D2150">
        <v>0</v>
      </c>
      <c r="E2150">
        <v>0</v>
      </c>
      <c r="F2150">
        <v>0</v>
      </c>
      <c r="G2150">
        <v>489.97063152999988</v>
      </c>
      <c r="H2150">
        <v>793.53400893000253</v>
      </c>
      <c r="I2150">
        <v>0</v>
      </c>
      <c r="J2150">
        <v>30.2440000000006</v>
      </c>
      <c r="K2150">
        <v>3.2227543399999998</v>
      </c>
      <c r="L2150">
        <v>0</v>
      </c>
      <c r="M2150">
        <v>0</v>
      </c>
      <c r="N2150">
        <v>0</v>
      </c>
      <c r="O2150">
        <v>5.9125508997348781</v>
      </c>
      <c r="P2150">
        <v>189139.5720511899</v>
      </c>
    </row>
    <row r="2151" spans="1:16" x14ac:dyDescent="0.25">
      <c r="A2151" s="10">
        <v>40778</v>
      </c>
      <c r="B2151">
        <v>932.61097900985703</v>
      </c>
      <c r="C2151">
        <v>-194.89519999999999</v>
      </c>
      <c r="D2151">
        <v>0</v>
      </c>
      <c r="E2151">
        <v>0</v>
      </c>
      <c r="F2151">
        <v>0</v>
      </c>
      <c r="G2151">
        <v>116.48249687000001</v>
      </c>
      <c r="H2151">
        <v>785.66035881000062</v>
      </c>
      <c r="I2151">
        <v>0</v>
      </c>
      <c r="J2151">
        <v>10</v>
      </c>
      <c r="K2151">
        <v>8.1635992000000002</v>
      </c>
      <c r="L2151">
        <v>192.9</v>
      </c>
      <c r="M2151">
        <v>0</v>
      </c>
      <c r="N2151">
        <v>0</v>
      </c>
      <c r="O2151">
        <v>14.29972412985637</v>
      </c>
      <c r="P2151">
        <v>190072.18303019981</v>
      </c>
    </row>
    <row r="2152" spans="1:16" x14ac:dyDescent="0.25">
      <c r="A2152" s="10">
        <v>40779</v>
      </c>
      <c r="B2152">
        <v>-2682.041680539638</v>
      </c>
      <c r="C2152">
        <v>-406.10394000000002</v>
      </c>
      <c r="D2152">
        <v>0</v>
      </c>
      <c r="E2152">
        <v>0</v>
      </c>
      <c r="F2152">
        <v>0</v>
      </c>
      <c r="G2152">
        <v>-1930.21587535</v>
      </c>
      <c r="H2152">
        <v>-975.40013652000016</v>
      </c>
      <c r="I2152">
        <v>0</v>
      </c>
      <c r="J2152">
        <v>6.7160000000003492</v>
      </c>
      <c r="K2152">
        <v>3.8752308900000001</v>
      </c>
      <c r="L2152">
        <v>624.30000000000007</v>
      </c>
      <c r="M2152">
        <v>0</v>
      </c>
      <c r="N2152">
        <v>0</v>
      </c>
      <c r="O2152">
        <v>-5.212959559638966</v>
      </c>
      <c r="P2152">
        <v>187390.14134966009</v>
      </c>
    </row>
    <row r="2153" spans="1:16" x14ac:dyDescent="0.25">
      <c r="A2153" s="10">
        <v>40780</v>
      </c>
      <c r="B2153">
        <v>-1548.0853925302511</v>
      </c>
      <c r="C2153">
        <v>-236.57300000000001</v>
      </c>
      <c r="D2153">
        <v>0</v>
      </c>
      <c r="E2153">
        <v>0</v>
      </c>
      <c r="F2153">
        <v>0</v>
      </c>
      <c r="G2153">
        <v>820.14496897000004</v>
      </c>
      <c r="H2153">
        <v>-1932.894154170001</v>
      </c>
      <c r="I2153">
        <v>0</v>
      </c>
      <c r="J2153">
        <v>9.3999999999996362</v>
      </c>
      <c r="K2153">
        <v>3.9463265999999999</v>
      </c>
      <c r="L2153">
        <v>-160.69999999999999</v>
      </c>
      <c r="M2153">
        <v>0</v>
      </c>
      <c r="N2153">
        <v>0</v>
      </c>
      <c r="O2153">
        <v>-51.409533930250163</v>
      </c>
      <c r="P2153">
        <v>185842.05595712989</v>
      </c>
    </row>
    <row r="2154" spans="1:16" x14ac:dyDescent="0.25">
      <c r="A2154" s="10">
        <v>40781</v>
      </c>
      <c r="B2154">
        <v>-868.65538565011309</v>
      </c>
      <c r="C2154">
        <v>-2.93</v>
      </c>
      <c r="D2154">
        <v>0</v>
      </c>
      <c r="E2154">
        <v>0</v>
      </c>
      <c r="F2154">
        <v>0</v>
      </c>
      <c r="G2154">
        <v>312.89537083999983</v>
      </c>
      <c r="H2154">
        <v>-1172.691764300002</v>
      </c>
      <c r="I2154">
        <v>0</v>
      </c>
      <c r="J2154">
        <v>12.10000000000036</v>
      </c>
      <c r="K2154">
        <v>4.1554505499999994</v>
      </c>
      <c r="L2154">
        <v>0</v>
      </c>
      <c r="M2154">
        <v>0</v>
      </c>
      <c r="N2154">
        <v>0</v>
      </c>
      <c r="O2154">
        <v>-22.18444274011172</v>
      </c>
      <c r="P2154">
        <v>184973.40057147981</v>
      </c>
    </row>
    <row r="2155" spans="1:16" x14ac:dyDescent="0.25">
      <c r="A2155" s="10">
        <v>40784</v>
      </c>
      <c r="B2155">
        <v>-605.21535730996254</v>
      </c>
      <c r="C2155">
        <v>-37.69</v>
      </c>
      <c r="D2155">
        <v>0</v>
      </c>
      <c r="E2155">
        <v>0</v>
      </c>
      <c r="F2155">
        <v>0</v>
      </c>
      <c r="G2155">
        <v>8.1107984400000532</v>
      </c>
      <c r="H2155">
        <v>-564.94353342000068</v>
      </c>
      <c r="I2155">
        <v>0</v>
      </c>
      <c r="J2155">
        <v>0</v>
      </c>
      <c r="K2155">
        <v>5.5498647900000009</v>
      </c>
      <c r="L2155">
        <v>0</v>
      </c>
      <c r="M2155">
        <v>0</v>
      </c>
      <c r="N2155">
        <v>0</v>
      </c>
      <c r="O2155">
        <v>-16.242487119961918</v>
      </c>
      <c r="P2155">
        <v>184368.18521416979</v>
      </c>
    </row>
    <row r="2156" spans="1:16" x14ac:dyDescent="0.25">
      <c r="A2156" s="10">
        <v>40785</v>
      </c>
      <c r="B2156">
        <v>-466.88693047978381</v>
      </c>
      <c r="C2156">
        <v>-415.33510000000001</v>
      </c>
      <c r="D2156">
        <v>0</v>
      </c>
      <c r="E2156">
        <v>0</v>
      </c>
      <c r="F2156">
        <v>0</v>
      </c>
      <c r="G2156">
        <v>32.400696390000007</v>
      </c>
      <c r="H2156">
        <v>-69.426926259999163</v>
      </c>
      <c r="I2156">
        <v>0</v>
      </c>
      <c r="J2156">
        <v>0</v>
      </c>
      <c r="K2156">
        <v>3.6591289499999999</v>
      </c>
      <c r="L2156">
        <v>0</v>
      </c>
      <c r="M2156">
        <v>0</v>
      </c>
      <c r="N2156">
        <v>0</v>
      </c>
      <c r="O2156">
        <v>-18.184729559784621</v>
      </c>
      <c r="P2156">
        <v>183901.29828369</v>
      </c>
    </row>
    <row r="2157" spans="1:16" x14ac:dyDescent="0.25">
      <c r="A2157" s="10">
        <v>40786</v>
      </c>
      <c r="B2157">
        <v>1923.1139437597601</v>
      </c>
      <c r="C2157">
        <v>-882.30560000000003</v>
      </c>
      <c r="D2157">
        <v>0</v>
      </c>
      <c r="E2157">
        <v>0</v>
      </c>
      <c r="F2157">
        <v>400</v>
      </c>
      <c r="G2157">
        <v>1274.81278167</v>
      </c>
      <c r="H2157">
        <v>97.731973560003098</v>
      </c>
      <c r="I2157">
        <v>0</v>
      </c>
      <c r="J2157">
        <v>0</v>
      </c>
      <c r="K2157">
        <v>5.3682709600000003</v>
      </c>
      <c r="L2157">
        <v>1039.7</v>
      </c>
      <c r="M2157">
        <v>0</v>
      </c>
      <c r="N2157">
        <v>0</v>
      </c>
      <c r="O2157">
        <v>-12.193482430243691</v>
      </c>
      <c r="P2157">
        <v>185824.41222744979</v>
      </c>
    </row>
    <row r="2158" spans="1:16" x14ac:dyDescent="0.25">
      <c r="A2158" s="10">
        <v>40787</v>
      </c>
      <c r="B2158">
        <v>6296.110970209993</v>
      </c>
      <c r="C2158">
        <v>-2.1015000000000001</v>
      </c>
      <c r="D2158">
        <v>0</v>
      </c>
      <c r="E2158">
        <v>0</v>
      </c>
      <c r="F2158">
        <v>0</v>
      </c>
      <c r="G2158">
        <v>143.78321133</v>
      </c>
      <c r="H2158">
        <v>6059.1779637499994</v>
      </c>
      <c r="I2158">
        <v>0</v>
      </c>
      <c r="J2158">
        <v>9.8000000000001819</v>
      </c>
      <c r="K2158">
        <v>5.1840850000000911</v>
      </c>
      <c r="L2158">
        <v>0</v>
      </c>
      <c r="M2158">
        <v>0</v>
      </c>
      <c r="N2158">
        <v>0</v>
      </c>
      <c r="O2158">
        <v>80.26721012999387</v>
      </c>
      <c r="P2158">
        <v>192120.52319765979</v>
      </c>
    </row>
    <row r="2159" spans="1:16" x14ac:dyDescent="0.25">
      <c r="A2159" s="10">
        <v>40788</v>
      </c>
      <c r="B2159">
        <v>1889.092133360391</v>
      </c>
      <c r="C2159">
        <v>-1048.6824999999999</v>
      </c>
      <c r="D2159">
        <v>0</v>
      </c>
      <c r="E2159">
        <v>0</v>
      </c>
      <c r="F2159">
        <v>1450</v>
      </c>
      <c r="G2159">
        <v>68.537759469999912</v>
      </c>
      <c r="H2159">
        <v>1387.649990350001</v>
      </c>
      <c r="I2159">
        <v>0</v>
      </c>
      <c r="J2159">
        <v>5.6999999999998181</v>
      </c>
      <c r="K2159">
        <v>4.4003796299999998</v>
      </c>
      <c r="L2159">
        <v>45.4</v>
      </c>
      <c r="M2159">
        <v>0</v>
      </c>
      <c r="N2159">
        <v>0</v>
      </c>
      <c r="O2159">
        <v>-23.913496089609769</v>
      </c>
      <c r="P2159">
        <v>194009.61533102009</v>
      </c>
    </row>
    <row r="2160" spans="1:16" x14ac:dyDescent="0.25">
      <c r="A2160" s="10">
        <v>40791</v>
      </c>
      <c r="B2160">
        <v>410.57362430958898</v>
      </c>
      <c r="C2160">
        <v>-2.1030000000000002</v>
      </c>
      <c r="D2160">
        <v>0</v>
      </c>
      <c r="E2160">
        <v>0</v>
      </c>
      <c r="F2160">
        <v>0</v>
      </c>
      <c r="G2160">
        <v>-65.00202256</v>
      </c>
      <c r="H2160">
        <v>531.79978013000073</v>
      </c>
      <c r="I2160">
        <v>0</v>
      </c>
      <c r="J2160">
        <v>0</v>
      </c>
      <c r="K2160">
        <v>4.7469549699999991</v>
      </c>
      <c r="L2160">
        <v>0</v>
      </c>
      <c r="M2160">
        <v>0</v>
      </c>
      <c r="N2160">
        <v>0</v>
      </c>
      <c r="O2160">
        <v>-58.86808823041175</v>
      </c>
      <c r="P2160">
        <v>194420.18895532971</v>
      </c>
    </row>
    <row r="2161" spans="1:16" x14ac:dyDescent="0.25">
      <c r="A2161" s="10">
        <v>40792</v>
      </c>
      <c r="B2161">
        <v>-2592.0469303498398</v>
      </c>
      <c r="C2161">
        <v>-1328.8676499999999</v>
      </c>
      <c r="D2161">
        <v>0</v>
      </c>
      <c r="E2161">
        <v>0</v>
      </c>
      <c r="F2161">
        <v>0</v>
      </c>
      <c r="G2161">
        <v>1.4441012900000489</v>
      </c>
      <c r="H2161">
        <v>-1264.904437630003</v>
      </c>
      <c r="I2161">
        <v>0</v>
      </c>
      <c r="J2161">
        <v>5.3999999999996362</v>
      </c>
      <c r="K2161">
        <v>1.3877209699999999</v>
      </c>
      <c r="L2161">
        <v>0</v>
      </c>
      <c r="M2161">
        <v>0</v>
      </c>
      <c r="N2161">
        <v>0</v>
      </c>
      <c r="O2161">
        <v>-6.5066649798367511</v>
      </c>
      <c r="P2161">
        <v>191828.1420249799</v>
      </c>
    </row>
    <row r="2162" spans="1:16" x14ac:dyDescent="0.25">
      <c r="A2162" s="10">
        <v>40793</v>
      </c>
      <c r="B2162">
        <v>-917.02966434022585</v>
      </c>
      <c r="C2162">
        <v>-208.24600000000001</v>
      </c>
      <c r="D2162">
        <v>0</v>
      </c>
      <c r="E2162">
        <v>0</v>
      </c>
      <c r="F2162">
        <v>0</v>
      </c>
      <c r="G2162">
        <v>-204.75413838</v>
      </c>
      <c r="H2162">
        <v>-454.9010393599965</v>
      </c>
      <c r="I2162">
        <v>0</v>
      </c>
      <c r="J2162">
        <v>13.89999999999964</v>
      </c>
      <c r="K2162">
        <v>2.2030257899999999</v>
      </c>
      <c r="L2162">
        <v>-59.300000000000033</v>
      </c>
      <c r="M2162">
        <v>0</v>
      </c>
      <c r="N2162">
        <v>0</v>
      </c>
      <c r="O2162">
        <v>-5.9315123902288178</v>
      </c>
      <c r="P2162">
        <v>190911.1123606397</v>
      </c>
    </row>
    <row r="2163" spans="1:16" x14ac:dyDescent="0.25">
      <c r="A2163" s="10">
        <v>40794</v>
      </c>
      <c r="B2163">
        <v>383.20646006046388</v>
      </c>
      <c r="C2163">
        <v>-180.01599999999999</v>
      </c>
      <c r="D2163">
        <v>0</v>
      </c>
      <c r="E2163">
        <v>0</v>
      </c>
      <c r="F2163">
        <v>0</v>
      </c>
      <c r="G2163">
        <v>184.14507309999999</v>
      </c>
      <c r="H2163">
        <v>414.87023688000039</v>
      </c>
      <c r="I2163">
        <v>0</v>
      </c>
      <c r="J2163">
        <v>9.1999999999998181</v>
      </c>
      <c r="K2163">
        <v>-4.0684381500000733</v>
      </c>
      <c r="L2163">
        <v>0</v>
      </c>
      <c r="M2163">
        <v>0</v>
      </c>
      <c r="N2163">
        <v>0</v>
      </c>
      <c r="O2163">
        <v>-40.924411769536242</v>
      </c>
      <c r="P2163">
        <v>191294.31882070011</v>
      </c>
    </row>
    <row r="2164" spans="1:16" x14ac:dyDescent="0.25">
      <c r="A2164" s="10">
        <v>40795</v>
      </c>
      <c r="B2164">
        <v>325.3072555798862</v>
      </c>
      <c r="C2164">
        <v>-2.1019999999999999</v>
      </c>
      <c r="D2164">
        <v>0</v>
      </c>
      <c r="E2164">
        <v>0</v>
      </c>
      <c r="F2164">
        <v>0</v>
      </c>
      <c r="G2164">
        <v>-135.9621678</v>
      </c>
      <c r="H2164">
        <v>461.10829148000079</v>
      </c>
      <c r="I2164">
        <v>0</v>
      </c>
      <c r="J2164">
        <v>0</v>
      </c>
      <c r="K2164">
        <v>2.2445526099999999</v>
      </c>
      <c r="L2164">
        <v>26.2</v>
      </c>
      <c r="M2164">
        <v>0</v>
      </c>
      <c r="N2164">
        <v>0</v>
      </c>
      <c r="O2164">
        <v>-26.18142071011458</v>
      </c>
      <c r="P2164">
        <v>191619.62607627999</v>
      </c>
    </row>
    <row r="2165" spans="1:16" x14ac:dyDescent="0.25">
      <c r="A2165" s="10">
        <v>40798</v>
      </c>
      <c r="B2165">
        <v>1818.858696369949</v>
      </c>
      <c r="C2165">
        <v>1.0578000000000041</v>
      </c>
      <c r="D2165">
        <v>0</v>
      </c>
      <c r="E2165">
        <v>0</v>
      </c>
      <c r="F2165">
        <v>0</v>
      </c>
      <c r="G2165">
        <v>-622.04429564999998</v>
      </c>
      <c r="H2165">
        <v>2257.7892135199991</v>
      </c>
      <c r="I2165">
        <v>0</v>
      </c>
      <c r="J2165">
        <v>231.80000000000021</v>
      </c>
      <c r="K2165">
        <v>3.8110455999999999</v>
      </c>
      <c r="L2165">
        <v>0</v>
      </c>
      <c r="M2165">
        <v>0</v>
      </c>
      <c r="N2165">
        <v>0</v>
      </c>
      <c r="O2165">
        <v>-53.55506710005038</v>
      </c>
      <c r="P2165">
        <v>193438.48477265</v>
      </c>
    </row>
    <row r="2166" spans="1:16" x14ac:dyDescent="0.25">
      <c r="A2166" s="10">
        <v>40799</v>
      </c>
      <c r="B2166">
        <v>814.7366583602269</v>
      </c>
      <c r="C2166">
        <v>0</v>
      </c>
      <c r="D2166">
        <v>0</v>
      </c>
      <c r="E2166">
        <v>0</v>
      </c>
      <c r="F2166">
        <v>0</v>
      </c>
      <c r="G2166">
        <v>676.98513352999998</v>
      </c>
      <c r="H2166">
        <v>118.6224222599985</v>
      </c>
      <c r="I2166">
        <v>0</v>
      </c>
      <c r="J2166">
        <v>0</v>
      </c>
      <c r="K2166">
        <v>1.37855862</v>
      </c>
      <c r="L2166">
        <v>0</v>
      </c>
      <c r="M2166">
        <v>0</v>
      </c>
      <c r="N2166">
        <v>0</v>
      </c>
      <c r="O2166">
        <v>17.750543950228309</v>
      </c>
      <c r="P2166">
        <v>194253.2214310102</v>
      </c>
    </row>
    <row r="2167" spans="1:16" x14ac:dyDescent="0.25">
      <c r="A2167" s="10">
        <v>40800</v>
      </c>
      <c r="B2167">
        <v>933.26595295953985</v>
      </c>
      <c r="C2167">
        <v>0</v>
      </c>
      <c r="D2167">
        <v>0</v>
      </c>
      <c r="E2167">
        <v>0</v>
      </c>
      <c r="F2167">
        <v>0</v>
      </c>
      <c r="G2167">
        <v>-140.71166041000001</v>
      </c>
      <c r="H2167">
        <v>403.84449214000142</v>
      </c>
      <c r="I2167">
        <v>0</v>
      </c>
      <c r="J2167">
        <v>0</v>
      </c>
      <c r="K2167">
        <v>2.5320637000000001</v>
      </c>
      <c r="L2167">
        <v>673.2</v>
      </c>
      <c r="M2167">
        <v>0</v>
      </c>
      <c r="N2167">
        <v>0</v>
      </c>
      <c r="O2167">
        <v>-5.5989424704615427</v>
      </c>
      <c r="P2167">
        <v>195186.48738396971</v>
      </c>
    </row>
    <row r="2168" spans="1:16" x14ac:dyDescent="0.25">
      <c r="A2168" s="10">
        <v>40801</v>
      </c>
      <c r="B2168">
        <v>-1339.0289423996289</v>
      </c>
      <c r="C2168">
        <v>-268.279</v>
      </c>
      <c r="D2168">
        <v>0</v>
      </c>
      <c r="E2168">
        <v>0</v>
      </c>
      <c r="F2168">
        <v>0</v>
      </c>
      <c r="G2168">
        <v>-243.40062488999999</v>
      </c>
      <c r="H2168">
        <v>-811.26777796000079</v>
      </c>
      <c r="I2168">
        <v>0</v>
      </c>
      <c r="J2168">
        <v>0</v>
      </c>
      <c r="K2168">
        <v>2.3465905999999999</v>
      </c>
      <c r="L2168">
        <v>0</v>
      </c>
      <c r="M2168">
        <v>0</v>
      </c>
      <c r="N2168">
        <v>0</v>
      </c>
      <c r="O2168">
        <v>-18.42813014962849</v>
      </c>
      <c r="P2168">
        <v>193847.45844157011</v>
      </c>
    </row>
    <row r="2169" spans="1:16" x14ac:dyDescent="0.25">
      <c r="A2169" s="10">
        <v>40802</v>
      </c>
      <c r="B2169">
        <v>-3659.07480430021</v>
      </c>
      <c r="C2169">
        <v>-383.24349999999998</v>
      </c>
      <c r="D2169">
        <v>0</v>
      </c>
      <c r="E2169">
        <v>0</v>
      </c>
      <c r="F2169">
        <v>0</v>
      </c>
      <c r="G2169">
        <v>-468.29168580000032</v>
      </c>
      <c r="H2169">
        <v>-2990.0959432199979</v>
      </c>
      <c r="I2169">
        <v>0</v>
      </c>
      <c r="J2169">
        <v>28.199999999999822</v>
      </c>
      <c r="K2169">
        <v>2.3268212699999999</v>
      </c>
      <c r="L2169">
        <v>170.9</v>
      </c>
      <c r="M2169">
        <v>0</v>
      </c>
      <c r="N2169">
        <v>0</v>
      </c>
      <c r="O2169">
        <v>-18.870496550211371</v>
      </c>
      <c r="P2169">
        <v>190188.3836372699</v>
      </c>
    </row>
    <row r="2170" spans="1:16" x14ac:dyDescent="0.25">
      <c r="A2170" s="10">
        <v>40805</v>
      </c>
      <c r="B2170">
        <v>-352.43015028012502</v>
      </c>
      <c r="C2170">
        <v>-922.15650000000005</v>
      </c>
      <c r="D2170">
        <v>0</v>
      </c>
      <c r="E2170">
        <v>0</v>
      </c>
      <c r="F2170">
        <v>1995.9608909799999</v>
      </c>
      <c r="G2170">
        <v>-1723.3753629800001</v>
      </c>
      <c r="H2170">
        <v>172.5314960300002</v>
      </c>
      <c r="I2170">
        <v>0</v>
      </c>
      <c r="J2170">
        <v>50</v>
      </c>
      <c r="K2170">
        <v>4.78612328</v>
      </c>
      <c r="L2170">
        <v>42.599999999999987</v>
      </c>
      <c r="M2170">
        <v>0</v>
      </c>
      <c r="N2170">
        <v>0</v>
      </c>
      <c r="O2170">
        <v>27.223202409874759</v>
      </c>
      <c r="P2170">
        <v>189835.95348698981</v>
      </c>
    </row>
    <row r="2171" spans="1:16" x14ac:dyDescent="0.25">
      <c r="A2171" s="10">
        <v>40806</v>
      </c>
      <c r="B2171">
        <v>-1517.310735369799</v>
      </c>
      <c r="C2171">
        <v>-258.64600000000002</v>
      </c>
      <c r="D2171">
        <v>0</v>
      </c>
      <c r="E2171">
        <v>0</v>
      </c>
      <c r="F2171">
        <v>0</v>
      </c>
      <c r="G2171">
        <v>620.77629327</v>
      </c>
      <c r="H2171">
        <v>-1700.4926844299971</v>
      </c>
      <c r="I2171">
        <v>0</v>
      </c>
      <c r="J2171">
        <v>0</v>
      </c>
      <c r="K2171">
        <v>1.49247496</v>
      </c>
      <c r="L2171">
        <v>0</v>
      </c>
      <c r="M2171">
        <v>0</v>
      </c>
      <c r="N2171">
        <v>0</v>
      </c>
      <c r="O2171">
        <v>-180.4408191698021</v>
      </c>
      <c r="P2171">
        <v>188318.64275162001</v>
      </c>
    </row>
    <row r="2172" spans="1:16" x14ac:dyDescent="0.25">
      <c r="A2172" s="10">
        <v>40807</v>
      </c>
      <c r="B2172">
        <v>-1343.3834398101901</v>
      </c>
      <c r="C2172">
        <v>282.70499999999998</v>
      </c>
      <c r="D2172">
        <v>0</v>
      </c>
      <c r="E2172">
        <v>0</v>
      </c>
      <c r="F2172">
        <v>0</v>
      </c>
      <c r="G2172">
        <v>-849.43529650000005</v>
      </c>
      <c r="H2172">
        <v>-1199.683129360003</v>
      </c>
      <c r="I2172">
        <v>0</v>
      </c>
      <c r="J2172">
        <v>0</v>
      </c>
      <c r="K2172">
        <v>1.91472975</v>
      </c>
      <c r="L2172">
        <v>573.20000000000005</v>
      </c>
      <c r="M2172">
        <v>0</v>
      </c>
      <c r="N2172">
        <v>0</v>
      </c>
      <c r="O2172">
        <v>-152.08474370018769</v>
      </c>
      <c r="P2172">
        <v>186975.25931180979</v>
      </c>
    </row>
    <row r="2173" spans="1:16" x14ac:dyDescent="0.25">
      <c r="A2173" s="10">
        <v>40808</v>
      </c>
      <c r="B2173">
        <v>-219.26732704002731</v>
      </c>
      <c r="C2173">
        <v>-2.0990000000000002</v>
      </c>
      <c r="D2173">
        <v>0</v>
      </c>
      <c r="E2173">
        <v>0</v>
      </c>
      <c r="F2173">
        <v>0</v>
      </c>
      <c r="G2173">
        <v>-5.738993029999846</v>
      </c>
      <c r="H2173">
        <v>-457.19872193999981</v>
      </c>
      <c r="I2173">
        <v>0</v>
      </c>
      <c r="J2173">
        <v>0</v>
      </c>
      <c r="K2173">
        <v>2.9568374899999998</v>
      </c>
      <c r="L2173">
        <v>0</v>
      </c>
      <c r="M2173">
        <v>0</v>
      </c>
      <c r="N2173">
        <v>0</v>
      </c>
      <c r="O2173">
        <v>242.81255043997231</v>
      </c>
      <c r="P2173">
        <v>186755.99198476979</v>
      </c>
    </row>
    <row r="2174" spans="1:16" x14ac:dyDescent="0.25">
      <c r="A2174" s="10">
        <v>40809</v>
      </c>
      <c r="B2174">
        <v>-1101.27140591995</v>
      </c>
      <c r="C2174">
        <v>-8.8249999999999993</v>
      </c>
      <c r="D2174">
        <v>0</v>
      </c>
      <c r="E2174">
        <v>0</v>
      </c>
      <c r="F2174">
        <v>0</v>
      </c>
      <c r="G2174">
        <v>-3.856861440000102</v>
      </c>
      <c r="H2174">
        <v>-1075.134317119999</v>
      </c>
      <c r="I2174">
        <v>0</v>
      </c>
      <c r="J2174">
        <v>0</v>
      </c>
      <c r="K2174">
        <v>3.5219959200000002</v>
      </c>
      <c r="L2174">
        <v>79.7</v>
      </c>
      <c r="M2174">
        <v>0</v>
      </c>
      <c r="N2174">
        <v>0</v>
      </c>
      <c r="O2174">
        <v>-96.677223279951292</v>
      </c>
      <c r="P2174">
        <v>185654.72057884981</v>
      </c>
    </row>
    <row r="2175" spans="1:16" x14ac:dyDescent="0.25">
      <c r="A2175" s="10">
        <v>40812</v>
      </c>
      <c r="B2175">
        <v>2031.749198220293</v>
      </c>
      <c r="C2175">
        <v>-468.18419999999998</v>
      </c>
      <c r="D2175">
        <v>0</v>
      </c>
      <c r="E2175">
        <v>0</v>
      </c>
      <c r="F2175">
        <v>0</v>
      </c>
      <c r="G2175">
        <v>494.89203040000012</v>
      </c>
      <c r="H2175">
        <v>2043.0376893599989</v>
      </c>
      <c r="I2175">
        <v>0</v>
      </c>
      <c r="J2175">
        <v>0</v>
      </c>
      <c r="K2175">
        <v>6.2984807200000006</v>
      </c>
      <c r="L2175">
        <v>0</v>
      </c>
      <c r="M2175">
        <v>0</v>
      </c>
      <c r="N2175">
        <v>0</v>
      </c>
      <c r="O2175">
        <v>-44.294802259706103</v>
      </c>
      <c r="P2175">
        <v>187686.4697770701</v>
      </c>
    </row>
    <row r="2176" spans="1:16" x14ac:dyDescent="0.25">
      <c r="A2176" s="10">
        <v>40813</v>
      </c>
      <c r="B2176">
        <v>-977.78643160039826</v>
      </c>
      <c r="C2176">
        <v>-603.41775000000007</v>
      </c>
      <c r="D2176">
        <v>0</v>
      </c>
      <c r="E2176">
        <v>0</v>
      </c>
      <c r="F2176">
        <v>0</v>
      </c>
      <c r="G2176">
        <v>436.24064793000002</v>
      </c>
      <c r="H2176">
        <v>-778.83005645999765</v>
      </c>
      <c r="I2176">
        <v>0</v>
      </c>
      <c r="J2176">
        <v>0</v>
      </c>
      <c r="K2176">
        <v>2.7060996500000001</v>
      </c>
      <c r="L2176">
        <v>0</v>
      </c>
      <c r="M2176">
        <v>0</v>
      </c>
      <c r="N2176">
        <v>0</v>
      </c>
      <c r="O2176">
        <v>-34.48537272040064</v>
      </c>
      <c r="P2176">
        <v>186708.6833454697</v>
      </c>
    </row>
    <row r="2177" spans="1:16" x14ac:dyDescent="0.25">
      <c r="A2177" s="10">
        <v>40814</v>
      </c>
      <c r="B2177">
        <v>214.0968773602514</v>
      </c>
      <c r="C2177">
        <v>-143.47399999999999</v>
      </c>
      <c r="D2177">
        <v>0</v>
      </c>
      <c r="E2177">
        <v>0</v>
      </c>
      <c r="F2177">
        <v>0</v>
      </c>
      <c r="G2177">
        <v>8.4767120399999953</v>
      </c>
      <c r="H2177">
        <v>160.2972226699967</v>
      </c>
      <c r="I2177">
        <v>0</v>
      </c>
      <c r="J2177">
        <v>107.60000000000041</v>
      </c>
      <c r="K2177">
        <v>4.0591369000000004</v>
      </c>
      <c r="L2177">
        <v>101.3</v>
      </c>
      <c r="M2177">
        <v>0</v>
      </c>
      <c r="N2177">
        <v>0</v>
      </c>
      <c r="O2177">
        <v>-24.162194249745649</v>
      </c>
      <c r="P2177">
        <v>186922.78022283001</v>
      </c>
    </row>
    <row r="2178" spans="1:16" x14ac:dyDescent="0.25">
      <c r="A2178" s="10">
        <v>40815</v>
      </c>
      <c r="B2178">
        <v>2581.1385874799448</v>
      </c>
      <c r="C2178">
        <v>-245.74019999999999</v>
      </c>
      <c r="D2178">
        <v>0</v>
      </c>
      <c r="E2178">
        <v>4000</v>
      </c>
      <c r="F2178">
        <v>0</v>
      </c>
      <c r="G2178">
        <v>-4.1232878299997537</v>
      </c>
      <c r="H2178">
        <v>-1229.256904909997</v>
      </c>
      <c r="I2178">
        <v>0</v>
      </c>
      <c r="J2178">
        <v>31.199999999999822</v>
      </c>
      <c r="K2178">
        <v>4.1999788099999993</v>
      </c>
      <c r="L2178">
        <v>65.400000000000006</v>
      </c>
      <c r="M2178">
        <v>0</v>
      </c>
      <c r="N2178">
        <v>0</v>
      </c>
      <c r="O2178">
        <v>-40.54099859005828</v>
      </c>
      <c r="P2178">
        <v>189503.9188103099</v>
      </c>
    </row>
    <row r="2179" spans="1:16" x14ac:dyDescent="0.25">
      <c r="A2179" s="10">
        <v>40816</v>
      </c>
      <c r="B2179">
        <v>3182.1055058100319</v>
      </c>
      <c r="C2179">
        <v>-520.95835</v>
      </c>
      <c r="D2179">
        <v>0</v>
      </c>
      <c r="E2179">
        <v>0</v>
      </c>
      <c r="F2179">
        <v>0</v>
      </c>
      <c r="G2179">
        <v>-1.9802622799999769</v>
      </c>
      <c r="H2179">
        <v>3911.472872349997</v>
      </c>
      <c r="I2179">
        <v>0</v>
      </c>
      <c r="J2179">
        <v>0</v>
      </c>
      <c r="K2179">
        <v>4.4536182699999998</v>
      </c>
      <c r="L2179">
        <v>-0.29999999999999888</v>
      </c>
      <c r="M2179">
        <v>0</v>
      </c>
      <c r="N2179">
        <v>0</v>
      </c>
      <c r="O2179">
        <v>-210.5823725299652</v>
      </c>
      <c r="P2179">
        <v>192686.0243161199</v>
      </c>
    </row>
    <row r="2180" spans="1:16" x14ac:dyDescent="0.25">
      <c r="A2180" s="10">
        <v>40819</v>
      </c>
      <c r="B2180">
        <v>2532.3125987401868</v>
      </c>
      <c r="C2180">
        <v>-364.15275000000003</v>
      </c>
      <c r="D2180">
        <v>0</v>
      </c>
      <c r="E2180">
        <v>0</v>
      </c>
      <c r="F2180">
        <v>0</v>
      </c>
      <c r="G2180">
        <v>-195.15570460999999</v>
      </c>
      <c r="H2180">
        <v>3121.208792530002</v>
      </c>
      <c r="I2180">
        <v>0</v>
      </c>
      <c r="J2180">
        <v>0</v>
      </c>
      <c r="K2180">
        <v>4.5174356699999993</v>
      </c>
      <c r="L2180">
        <v>0</v>
      </c>
      <c r="M2180">
        <v>0</v>
      </c>
      <c r="N2180">
        <v>0</v>
      </c>
      <c r="O2180">
        <v>-34.105174849815008</v>
      </c>
      <c r="P2180">
        <v>195218.33691486009</v>
      </c>
    </row>
    <row r="2181" spans="1:16" x14ac:dyDescent="0.25">
      <c r="A2181" s="10">
        <v>40820</v>
      </c>
      <c r="B2181">
        <v>-505.66771279997181</v>
      </c>
      <c r="C2181">
        <v>-783.18100000000004</v>
      </c>
      <c r="D2181">
        <v>0</v>
      </c>
      <c r="E2181">
        <v>0</v>
      </c>
      <c r="F2181">
        <v>0</v>
      </c>
      <c r="G2181">
        <v>-161.05446925000001</v>
      </c>
      <c r="H2181">
        <v>387.93399677999969</v>
      </c>
      <c r="I2181">
        <v>0</v>
      </c>
      <c r="J2181">
        <v>0</v>
      </c>
      <c r="K2181">
        <v>1.73208188</v>
      </c>
      <c r="L2181">
        <v>0</v>
      </c>
      <c r="M2181">
        <v>0</v>
      </c>
      <c r="N2181">
        <v>0</v>
      </c>
      <c r="O2181">
        <v>48.901677790028522</v>
      </c>
      <c r="P2181">
        <v>194712.66920206009</v>
      </c>
    </row>
    <row r="2182" spans="1:16" x14ac:dyDescent="0.25">
      <c r="A2182" s="10">
        <v>40821</v>
      </c>
      <c r="B2182">
        <v>-175.44897772997501</v>
      </c>
      <c r="C2182">
        <v>-427.34500000000003</v>
      </c>
      <c r="D2182">
        <v>0</v>
      </c>
      <c r="E2182">
        <v>0</v>
      </c>
      <c r="F2182">
        <v>0</v>
      </c>
      <c r="G2182">
        <v>195.07768888000001</v>
      </c>
      <c r="H2182">
        <v>-565.74976704999972</v>
      </c>
      <c r="I2182">
        <v>0</v>
      </c>
      <c r="J2182">
        <v>41.399999999999643</v>
      </c>
      <c r="K2182">
        <v>2.5964024399999999</v>
      </c>
      <c r="L2182">
        <v>596.59999999999991</v>
      </c>
      <c r="M2182">
        <v>0</v>
      </c>
      <c r="N2182">
        <v>0</v>
      </c>
      <c r="O2182">
        <v>-18.028301999974879</v>
      </c>
      <c r="P2182">
        <v>194537.2202243302</v>
      </c>
    </row>
    <row r="2183" spans="1:16" x14ac:dyDescent="0.25">
      <c r="A2183" s="10">
        <v>40822</v>
      </c>
      <c r="B2183">
        <v>248.80751138998329</v>
      </c>
      <c r="C2183">
        <v>167.53923</v>
      </c>
      <c r="D2183">
        <v>0</v>
      </c>
      <c r="E2183">
        <v>0</v>
      </c>
      <c r="F2183">
        <v>0</v>
      </c>
      <c r="G2183">
        <v>-11.58773466000001</v>
      </c>
      <c r="H2183">
        <v>-62.15493060999961</v>
      </c>
      <c r="I2183">
        <v>0</v>
      </c>
      <c r="J2183">
        <v>2.1000000000003638</v>
      </c>
      <c r="K2183">
        <v>3.3120020700000001</v>
      </c>
      <c r="L2183">
        <v>80.3</v>
      </c>
      <c r="M2183">
        <v>0</v>
      </c>
      <c r="N2183">
        <v>0</v>
      </c>
      <c r="O2183">
        <v>69.298944589982568</v>
      </c>
      <c r="P2183">
        <v>194786.02773572021</v>
      </c>
    </row>
    <row r="2184" spans="1:16" x14ac:dyDescent="0.25">
      <c r="A2184" s="10">
        <v>40823</v>
      </c>
      <c r="B2184">
        <v>-1146.074293940386</v>
      </c>
      <c r="C2184">
        <v>-552.68835000000001</v>
      </c>
      <c r="D2184">
        <v>0</v>
      </c>
      <c r="E2184">
        <v>350</v>
      </c>
      <c r="F2184">
        <v>0</v>
      </c>
      <c r="G2184">
        <v>-687.25865206000014</v>
      </c>
      <c r="H2184">
        <v>-315.79109485000117</v>
      </c>
      <c r="I2184">
        <v>0</v>
      </c>
      <c r="J2184">
        <v>0</v>
      </c>
      <c r="K2184">
        <v>1.25740505</v>
      </c>
      <c r="L2184">
        <v>1</v>
      </c>
      <c r="M2184">
        <v>0</v>
      </c>
      <c r="N2184">
        <v>0</v>
      </c>
      <c r="O2184">
        <v>57.406397919615301</v>
      </c>
      <c r="P2184">
        <v>193639.9534417798</v>
      </c>
    </row>
    <row r="2185" spans="1:16" x14ac:dyDescent="0.25">
      <c r="A2185" s="10">
        <v>40827</v>
      </c>
      <c r="B2185">
        <v>-1179.5581222696931</v>
      </c>
      <c r="C2185">
        <v>-691.69915000000003</v>
      </c>
      <c r="D2185">
        <v>0</v>
      </c>
      <c r="E2185">
        <v>0</v>
      </c>
      <c r="F2185">
        <v>0</v>
      </c>
      <c r="G2185">
        <v>331.80909818999999</v>
      </c>
      <c r="H2185">
        <v>-785.23117409000224</v>
      </c>
      <c r="I2185">
        <v>0</v>
      </c>
      <c r="J2185">
        <v>-2.1000000000003638</v>
      </c>
      <c r="K2185">
        <v>-3.350051899999817</v>
      </c>
      <c r="L2185">
        <v>0</v>
      </c>
      <c r="M2185">
        <v>0</v>
      </c>
      <c r="N2185">
        <v>0</v>
      </c>
      <c r="O2185">
        <v>-28.986844469690279</v>
      </c>
      <c r="P2185">
        <v>192460.39531951011</v>
      </c>
    </row>
    <row r="2186" spans="1:16" x14ac:dyDescent="0.25">
      <c r="A2186" s="10">
        <v>40828</v>
      </c>
      <c r="B2186">
        <v>1387.4844082800839</v>
      </c>
      <c r="C2186">
        <v>-66.743350000000021</v>
      </c>
      <c r="D2186">
        <v>0</v>
      </c>
      <c r="E2186">
        <v>0</v>
      </c>
      <c r="F2186">
        <v>0</v>
      </c>
      <c r="G2186">
        <v>49.79131147999999</v>
      </c>
      <c r="H2186">
        <v>568.18001534000086</v>
      </c>
      <c r="I2186">
        <v>0</v>
      </c>
      <c r="J2186">
        <v>0</v>
      </c>
      <c r="K2186">
        <v>1.2738283399999999</v>
      </c>
      <c r="L2186">
        <v>889.7</v>
      </c>
      <c r="M2186">
        <v>0</v>
      </c>
      <c r="N2186">
        <v>0</v>
      </c>
      <c r="O2186">
        <v>-54.717396879916492</v>
      </c>
      <c r="P2186">
        <v>193847.87972779019</v>
      </c>
    </row>
    <row r="2187" spans="1:16" x14ac:dyDescent="0.25">
      <c r="A2187" s="10">
        <v>40829</v>
      </c>
      <c r="B2187">
        <v>-89.700955830106238</v>
      </c>
      <c r="C2187">
        <v>78.78609999999999</v>
      </c>
      <c r="D2187">
        <v>0</v>
      </c>
      <c r="E2187">
        <v>0</v>
      </c>
      <c r="F2187">
        <v>0</v>
      </c>
      <c r="G2187">
        <v>-75.688154729999994</v>
      </c>
      <c r="H2187">
        <v>-480.91168086000022</v>
      </c>
      <c r="I2187">
        <v>0</v>
      </c>
      <c r="J2187">
        <v>0</v>
      </c>
      <c r="K2187">
        <v>2.2166513000000001</v>
      </c>
      <c r="L2187">
        <v>362.9</v>
      </c>
      <c r="M2187">
        <v>0</v>
      </c>
      <c r="N2187">
        <v>0</v>
      </c>
      <c r="O2187">
        <v>22.996128459893949</v>
      </c>
      <c r="P2187">
        <v>193758.17877196011</v>
      </c>
    </row>
    <row r="2188" spans="1:16" x14ac:dyDescent="0.25">
      <c r="A2188" s="10">
        <v>40830</v>
      </c>
      <c r="B2188">
        <v>260.78605322973459</v>
      </c>
      <c r="C2188">
        <v>42.180000000000007</v>
      </c>
      <c r="D2188">
        <v>0</v>
      </c>
      <c r="E2188">
        <v>600</v>
      </c>
      <c r="F2188">
        <v>0</v>
      </c>
      <c r="G2188">
        <v>-619.83274091999999</v>
      </c>
      <c r="H2188">
        <v>101.08261377000051</v>
      </c>
      <c r="I2188">
        <v>0</v>
      </c>
      <c r="J2188">
        <v>0</v>
      </c>
      <c r="K2188">
        <v>2.5465988500000001</v>
      </c>
      <c r="L2188">
        <v>112.4</v>
      </c>
      <c r="M2188">
        <v>0</v>
      </c>
      <c r="N2188">
        <v>0</v>
      </c>
      <c r="O2188">
        <v>22.409581529734009</v>
      </c>
      <c r="P2188">
        <v>194018.96482518979</v>
      </c>
    </row>
    <row r="2189" spans="1:16" x14ac:dyDescent="0.25">
      <c r="A2189" s="10">
        <v>40833</v>
      </c>
      <c r="B2189">
        <v>-672.11136100982526</v>
      </c>
      <c r="C2189">
        <v>-281.46550000000002</v>
      </c>
      <c r="D2189">
        <v>0</v>
      </c>
      <c r="E2189">
        <v>0</v>
      </c>
      <c r="F2189">
        <v>0</v>
      </c>
      <c r="G2189">
        <v>-10.69657067000003</v>
      </c>
      <c r="H2189">
        <v>-804.43213129000105</v>
      </c>
      <c r="I2189">
        <v>0</v>
      </c>
      <c r="J2189">
        <v>27</v>
      </c>
      <c r="K2189">
        <v>2.99795569</v>
      </c>
      <c r="L2189">
        <v>383.7</v>
      </c>
      <c r="M2189">
        <v>0</v>
      </c>
      <c r="N2189">
        <v>0</v>
      </c>
      <c r="O2189">
        <v>10.78488526017577</v>
      </c>
      <c r="P2189">
        <v>193346.85346417999</v>
      </c>
    </row>
    <row r="2190" spans="1:16" x14ac:dyDescent="0.25">
      <c r="A2190" s="10">
        <v>40834</v>
      </c>
      <c r="B2190">
        <v>-409.76605588005577</v>
      </c>
      <c r="C2190">
        <v>-571.21949999999993</v>
      </c>
      <c r="D2190">
        <v>0</v>
      </c>
      <c r="E2190">
        <v>0</v>
      </c>
      <c r="F2190">
        <v>0</v>
      </c>
      <c r="G2190">
        <v>7.963490859999979</v>
      </c>
      <c r="H2190">
        <v>-466.35783764000013</v>
      </c>
      <c r="I2190">
        <v>0</v>
      </c>
      <c r="J2190">
        <v>0</v>
      </c>
      <c r="K2190">
        <v>2.5096468500000002</v>
      </c>
      <c r="L2190">
        <v>695.80000000000007</v>
      </c>
      <c r="M2190">
        <v>0</v>
      </c>
      <c r="N2190">
        <v>0</v>
      </c>
      <c r="O2190">
        <v>-78.461855950055792</v>
      </c>
      <c r="P2190">
        <v>192937.08740829991</v>
      </c>
    </row>
    <row r="2191" spans="1:16" x14ac:dyDescent="0.25">
      <c r="A2191" s="10">
        <v>40835</v>
      </c>
      <c r="B2191">
        <v>-1330.45204365981</v>
      </c>
      <c r="C2191">
        <v>-332.447</v>
      </c>
      <c r="D2191">
        <v>0</v>
      </c>
      <c r="E2191">
        <v>0</v>
      </c>
      <c r="F2191">
        <v>0</v>
      </c>
      <c r="G2191">
        <v>154.53797166000001</v>
      </c>
      <c r="H2191">
        <v>-2080.6341112800001</v>
      </c>
      <c r="I2191">
        <v>0</v>
      </c>
      <c r="J2191">
        <v>0</v>
      </c>
      <c r="K2191">
        <v>2.3425748799999999</v>
      </c>
      <c r="L2191">
        <v>793.1</v>
      </c>
      <c r="M2191">
        <v>0</v>
      </c>
      <c r="N2191">
        <v>0</v>
      </c>
      <c r="O2191">
        <v>132.64852108018991</v>
      </c>
      <c r="P2191">
        <v>191606.6353646401</v>
      </c>
    </row>
    <row r="2192" spans="1:16" x14ac:dyDescent="0.25">
      <c r="A2192" s="10">
        <v>40836</v>
      </c>
      <c r="B2192">
        <v>1093.3252851198481</v>
      </c>
      <c r="C2192">
        <v>-948.30320000000006</v>
      </c>
      <c r="D2192">
        <v>0</v>
      </c>
      <c r="E2192">
        <v>0</v>
      </c>
      <c r="F2192">
        <v>0</v>
      </c>
      <c r="G2192">
        <v>-144.2130607600001</v>
      </c>
      <c r="H2192">
        <v>2123.047389389998</v>
      </c>
      <c r="I2192">
        <v>0</v>
      </c>
      <c r="J2192">
        <v>0</v>
      </c>
      <c r="K2192">
        <v>3.4807430099999999</v>
      </c>
      <c r="L2192">
        <v>0</v>
      </c>
      <c r="M2192">
        <v>0</v>
      </c>
      <c r="N2192">
        <v>0</v>
      </c>
      <c r="O2192">
        <v>59.313413479849757</v>
      </c>
      <c r="P2192">
        <v>192699.96064975989</v>
      </c>
    </row>
    <row r="2193" spans="1:16" x14ac:dyDescent="0.25">
      <c r="A2193" s="10">
        <v>40837</v>
      </c>
      <c r="B2193">
        <v>-2060.9502284202299</v>
      </c>
      <c r="C2193">
        <v>-258.63144999999997</v>
      </c>
      <c r="D2193">
        <v>0</v>
      </c>
      <c r="E2193">
        <v>-1980</v>
      </c>
      <c r="F2193">
        <v>0</v>
      </c>
      <c r="G2193">
        <v>1669.4610130599999</v>
      </c>
      <c r="H2193">
        <v>-1541.4502877299999</v>
      </c>
      <c r="I2193">
        <v>0</v>
      </c>
      <c r="J2193">
        <v>6.6000000000003638</v>
      </c>
      <c r="K2193">
        <v>2.0376536999999999</v>
      </c>
      <c r="L2193">
        <v>0</v>
      </c>
      <c r="M2193">
        <v>0</v>
      </c>
      <c r="N2193">
        <v>0</v>
      </c>
      <c r="O2193">
        <v>41.032842549769342</v>
      </c>
      <c r="P2193">
        <v>190639.01042133971</v>
      </c>
    </row>
    <row r="2194" spans="1:16" x14ac:dyDescent="0.25">
      <c r="A2194" s="10">
        <v>40840</v>
      </c>
      <c r="B2194">
        <v>-848.84065300997383</v>
      </c>
      <c r="C2194">
        <v>-591.25735000000009</v>
      </c>
      <c r="D2194">
        <v>0</v>
      </c>
      <c r="E2194">
        <v>0</v>
      </c>
      <c r="F2194">
        <v>0</v>
      </c>
      <c r="G2194">
        <v>-511.74223292999989</v>
      </c>
      <c r="H2194">
        <v>208.43218553999759</v>
      </c>
      <c r="I2194">
        <v>0</v>
      </c>
      <c r="J2194">
        <v>0</v>
      </c>
      <c r="K2194">
        <v>3.91611026</v>
      </c>
      <c r="L2194">
        <v>24.1</v>
      </c>
      <c r="M2194">
        <v>0</v>
      </c>
      <c r="N2194">
        <v>0</v>
      </c>
      <c r="O2194">
        <v>17.71063412002864</v>
      </c>
      <c r="P2194">
        <v>189790.16976832971</v>
      </c>
    </row>
    <row r="2195" spans="1:16" x14ac:dyDescent="0.25">
      <c r="A2195" s="10">
        <v>40841</v>
      </c>
      <c r="B2195">
        <v>-855.76577196992093</v>
      </c>
      <c r="C2195">
        <v>-719.48460000000011</v>
      </c>
      <c r="D2195">
        <v>0</v>
      </c>
      <c r="E2195">
        <v>0</v>
      </c>
      <c r="F2195">
        <v>0</v>
      </c>
      <c r="G2195">
        <v>-17.615194990000081</v>
      </c>
      <c r="H2195">
        <v>-258.74328872999831</v>
      </c>
      <c r="I2195">
        <v>0</v>
      </c>
      <c r="J2195">
        <v>16.800000000000178</v>
      </c>
      <c r="K2195">
        <v>2.89355523</v>
      </c>
      <c r="L2195">
        <v>0</v>
      </c>
      <c r="M2195">
        <v>0</v>
      </c>
      <c r="N2195">
        <v>0</v>
      </c>
      <c r="O2195">
        <v>120.3837565200775</v>
      </c>
      <c r="P2195">
        <v>188934.40399635979</v>
      </c>
    </row>
    <row r="2196" spans="1:16" x14ac:dyDescent="0.25">
      <c r="A2196" s="10">
        <v>40842</v>
      </c>
      <c r="B2196">
        <v>-1491.352012919903</v>
      </c>
      <c r="C2196">
        <v>-726.899</v>
      </c>
      <c r="D2196">
        <v>0</v>
      </c>
      <c r="E2196">
        <v>0</v>
      </c>
      <c r="F2196">
        <v>0</v>
      </c>
      <c r="G2196">
        <v>402.85432853999998</v>
      </c>
      <c r="H2196">
        <v>-1663.2623827100001</v>
      </c>
      <c r="I2196">
        <v>0</v>
      </c>
      <c r="J2196">
        <v>0</v>
      </c>
      <c r="K2196">
        <v>3.1331439200000002</v>
      </c>
      <c r="L2196">
        <v>572.20000000000005</v>
      </c>
      <c r="M2196">
        <v>0</v>
      </c>
      <c r="N2196">
        <v>0</v>
      </c>
      <c r="O2196">
        <v>-79.378102669903001</v>
      </c>
      <c r="P2196">
        <v>187443.05198343989</v>
      </c>
    </row>
    <row r="2197" spans="1:16" x14ac:dyDescent="0.25">
      <c r="A2197" s="10">
        <v>40843</v>
      </c>
      <c r="B2197">
        <v>783.80473253995387</v>
      </c>
      <c r="C2197">
        <v>-892.44047999999998</v>
      </c>
      <c r="D2197">
        <v>0</v>
      </c>
      <c r="E2197">
        <v>0</v>
      </c>
      <c r="F2197">
        <v>0</v>
      </c>
      <c r="G2197">
        <v>535.68088424000007</v>
      </c>
      <c r="H2197">
        <v>905.74130020999837</v>
      </c>
      <c r="I2197">
        <v>0</v>
      </c>
      <c r="J2197">
        <v>63.5</v>
      </c>
      <c r="K2197">
        <v>3.93658529</v>
      </c>
      <c r="L2197">
        <v>165.9</v>
      </c>
      <c r="M2197">
        <v>0</v>
      </c>
      <c r="N2197">
        <v>0</v>
      </c>
      <c r="O2197">
        <v>1.4864427999554439</v>
      </c>
      <c r="P2197">
        <v>188226.8567159799</v>
      </c>
    </row>
    <row r="2198" spans="1:16" x14ac:dyDescent="0.25">
      <c r="A2198" s="10">
        <v>40844</v>
      </c>
      <c r="B2198">
        <v>-1441.7653529698721</v>
      </c>
      <c r="C2198">
        <v>-541.36068</v>
      </c>
      <c r="D2198">
        <v>0</v>
      </c>
      <c r="E2198">
        <v>1980</v>
      </c>
      <c r="F2198">
        <v>0</v>
      </c>
      <c r="G2198">
        <v>-1939.5071741199999</v>
      </c>
      <c r="H2198">
        <v>-1101.75208011</v>
      </c>
      <c r="I2198">
        <v>0</v>
      </c>
      <c r="J2198">
        <v>0</v>
      </c>
      <c r="K2198">
        <v>3.8053856499999998</v>
      </c>
      <c r="L2198">
        <v>180.1</v>
      </c>
      <c r="M2198">
        <v>0</v>
      </c>
      <c r="N2198">
        <v>0</v>
      </c>
      <c r="O2198">
        <v>-23.05080438987234</v>
      </c>
      <c r="P2198">
        <v>186785.09136301</v>
      </c>
    </row>
    <row r="2199" spans="1:16" x14ac:dyDescent="0.25">
      <c r="A2199" s="10">
        <v>40847</v>
      </c>
      <c r="B2199">
        <v>3462.133185219981</v>
      </c>
      <c r="C2199">
        <v>-447.15199999999999</v>
      </c>
      <c r="D2199">
        <v>0</v>
      </c>
      <c r="E2199">
        <v>0</v>
      </c>
      <c r="F2199">
        <v>0</v>
      </c>
      <c r="G2199">
        <v>1709.94992439</v>
      </c>
      <c r="H2199">
        <v>2193.231972439999</v>
      </c>
      <c r="I2199">
        <v>0</v>
      </c>
      <c r="J2199">
        <v>0</v>
      </c>
      <c r="K2199">
        <v>7.5859881199999997</v>
      </c>
      <c r="L2199">
        <v>0</v>
      </c>
      <c r="M2199">
        <v>0</v>
      </c>
      <c r="N2199">
        <v>0</v>
      </c>
      <c r="O2199">
        <v>-1.482699730017885</v>
      </c>
      <c r="P2199">
        <v>190247.22454823001</v>
      </c>
    </row>
    <row r="2200" spans="1:16" x14ac:dyDescent="0.25">
      <c r="A2200" s="10">
        <v>40848</v>
      </c>
      <c r="B2200">
        <v>6180.0136430400016</v>
      </c>
      <c r="C2200">
        <v>-273.32799999999997</v>
      </c>
      <c r="D2200">
        <v>0</v>
      </c>
      <c r="E2200">
        <v>2000</v>
      </c>
      <c r="F2200">
        <v>0</v>
      </c>
      <c r="G2200">
        <v>147.29975616999999</v>
      </c>
      <c r="H2200">
        <v>4217.8350334199986</v>
      </c>
      <c r="I2200">
        <v>0</v>
      </c>
      <c r="J2200">
        <v>54.400000000000553</v>
      </c>
      <c r="K2200">
        <v>3.1360358000000002</v>
      </c>
      <c r="L2200">
        <v>0</v>
      </c>
      <c r="M2200">
        <v>0</v>
      </c>
      <c r="N2200">
        <v>0</v>
      </c>
      <c r="O2200">
        <v>30.67081765000184</v>
      </c>
      <c r="P2200">
        <v>196427.23819127001</v>
      </c>
    </row>
    <row r="2201" spans="1:16" x14ac:dyDescent="0.25">
      <c r="A2201" s="10">
        <v>40849</v>
      </c>
      <c r="B2201">
        <v>1636.0049640202201</v>
      </c>
      <c r="C2201">
        <v>26.612999999999978</v>
      </c>
      <c r="D2201">
        <v>0</v>
      </c>
      <c r="E2201">
        <v>0</v>
      </c>
      <c r="F2201">
        <v>0</v>
      </c>
      <c r="G2201">
        <v>61.657128700000023</v>
      </c>
      <c r="H2201">
        <v>826.66324681999959</v>
      </c>
      <c r="I2201">
        <v>0</v>
      </c>
      <c r="J2201">
        <v>13</v>
      </c>
      <c r="K2201">
        <v>1.8821248399999999</v>
      </c>
      <c r="L2201">
        <v>642.9</v>
      </c>
      <c r="M2201">
        <v>0</v>
      </c>
      <c r="N2201">
        <v>0</v>
      </c>
      <c r="O2201">
        <v>63.289463660220008</v>
      </c>
      <c r="P2201">
        <v>198063.2431552902</v>
      </c>
    </row>
    <row r="2202" spans="1:16" x14ac:dyDescent="0.25">
      <c r="A2202" s="10">
        <v>40850</v>
      </c>
      <c r="B2202">
        <v>-413.83096153018431</v>
      </c>
      <c r="C2202">
        <v>-108.339</v>
      </c>
      <c r="D2202">
        <v>0</v>
      </c>
      <c r="E2202">
        <v>0</v>
      </c>
      <c r="F2202">
        <v>0</v>
      </c>
      <c r="G2202">
        <v>-54.546921600000019</v>
      </c>
      <c r="H2202">
        <v>-209.66924768999891</v>
      </c>
      <c r="I2202">
        <v>0</v>
      </c>
      <c r="J2202">
        <v>2.5</v>
      </c>
      <c r="K2202">
        <v>0.85661392999999997</v>
      </c>
      <c r="L2202">
        <v>0</v>
      </c>
      <c r="M2202">
        <v>0</v>
      </c>
      <c r="N2202">
        <v>0</v>
      </c>
      <c r="O2202">
        <v>-44.632406170185391</v>
      </c>
      <c r="P2202">
        <v>197649.41219376001</v>
      </c>
    </row>
    <row r="2203" spans="1:16" x14ac:dyDescent="0.25">
      <c r="A2203" s="10">
        <v>40851</v>
      </c>
      <c r="B2203">
        <v>-3321.60808237025</v>
      </c>
      <c r="C2203">
        <v>-280.16359999999997</v>
      </c>
      <c r="D2203">
        <v>0</v>
      </c>
      <c r="E2203">
        <v>0</v>
      </c>
      <c r="F2203">
        <v>0</v>
      </c>
      <c r="G2203">
        <v>-25.190271589999949</v>
      </c>
      <c r="H2203">
        <v>-2969.977000249999</v>
      </c>
      <c r="I2203">
        <v>0</v>
      </c>
      <c r="J2203">
        <v>0</v>
      </c>
      <c r="K2203">
        <v>1.2615419000000001</v>
      </c>
      <c r="L2203">
        <v>29.6</v>
      </c>
      <c r="M2203">
        <v>0</v>
      </c>
      <c r="N2203">
        <v>0</v>
      </c>
      <c r="O2203">
        <v>-77.138752430250861</v>
      </c>
      <c r="P2203">
        <v>194327.80411138979</v>
      </c>
    </row>
    <row r="2204" spans="1:16" x14ac:dyDescent="0.25">
      <c r="A2204" s="10">
        <v>40854</v>
      </c>
      <c r="B2204">
        <v>-1049.330453179748</v>
      </c>
      <c r="C2204">
        <v>-317.67239999999998</v>
      </c>
      <c r="D2204">
        <v>0</v>
      </c>
      <c r="E2204">
        <v>0</v>
      </c>
      <c r="F2204">
        <v>0</v>
      </c>
      <c r="G2204">
        <v>-119.4784683999999</v>
      </c>
      <c r="H2204">
        <v>-634.418074170002</v>
      </c>
      <c r="I2204">
        <v>0</v>
      </c>
      <c r="J2204">
        <v>0</v>
      </c>
      <c r="K2204">
        <v>4.3992564000000014</v>
      </c>
      <c r="L2204">
        <v>0</v>
      </c>
      <c r="M2204">
        <v>0</v>
      </c>
      <c r="N2204">
        <v>0</v>
      </c>
      <c r="O2204">
        <v>17.83923299025437</v>
      </c>
      <c r="P2204">
        <v>193278.47365820999</v>
      </c>
    </row>
    <row r="2205" spans="1:16" x14ac:dyDescent="0.25">
      <c r="A2205" s="10">
        <v>40855</v>
      </c>
      <c r="B2205">
        <v>-998.35331916008749</v>
      </c>
      <c r="C2205">
        <v>-181.15600000000001</v>
      </c>
      <c r="D2205">
        <v>0</v>
      </c>
      <c r="E2205">
        <v>0</v>
      </c>
      <c r="F2205">
        <v>0</v>
      </c>
      <c r="G2205">
        <v>-184.67078473000001</v>
      </c>
      <c r="H2205">
        <v>-644.71178359999976</v>
      </c>
      <c r="I2205">
        <v>0</v>
      </c>
      <c r="J2205">
        <v>0.3999999999996362</v>
      </c>
      <c r="K2205">
        <v>-9.1452908300000004</v>
      </c>
      <c r="L2205">
        <v>0</v>
      </c>
      <c r="M2205">
        <v>0</v>
      </c>
      <c r="N2205">
        <v>0</v>
      </c>
      <c r="O2205">
        <v>20.930539999912661</v>
      </c>
      <c r="P2205">
        <v>192280.1203390499</v>
      </c>
    </row>
    <row r="2206" spans="1:16" x14ac:dyDescent="0.25">
      <c r="A2206" s="10">
        <v>40856</v>
      </c>
      <c r="B2206">
        <v>2047.3149546398199</v>
      </c>
      <c r="C2206">
        <v>108.64100000000001</v>
      </c>
      <c r="D2206">
        <v>0</v>
      </c>
      <c r="E2206">
        <v>0</v>
      </c>
      <c r="F2206">
        <v>0</v>
      </c>
      <c r="G2206">
        <v>356.84740174000001</v>
      </c>
      <c r="H2206">
        <v>589.1249122499994</v>
      </c>
      <c r="I2206">
        <v>0</v>
      </c>
      <c r="J2206">
        <v>0</v>
      </c>
      <c r="K2206">
        <v>2.1450176700000001</v>
      </c>
      <c r="L2206">
        <v>978.19999999999993</v>
      </c>
      <c r="M2206">
        <v>0</v>
      </c>
      <c r="N2206">
        <v>0</v>
      </c>
      <c r="O2206">
        <v>12.356622979820621</v>
      </c>
      <c r="P2206">
        <v>194327.43529368969</v>
      </c>
    </row>
    <row r="2207" spans="1:16" x14ac:dyDescent="0.25">
      <c r="A2207" s="10">
        <v>40857</v>
      </c>
      <c r="B2207">
        <v>851.55159850034329</v>
      </c>
      <c r="C2207">
        <v>-291.82069999999999</v>
      </c>
      <c r="D2207">
        <v>0</v>
      </c>
      <c r="E2207">
        <v>0</v>
      </c>
      <c r="F2207">
        <v>0</v>
      </c>
      <c r="G2207">
        <v>-183.70806736</v>
      </c>
      <c r="H2207">
        <v>1332.889772029999</v>
      </c>
      <c r="I2207">
        <v>0</v>
      </c>
      <c r="J2207">
        <v>0</v>
      </c>
      <c r="K2207">
        <v>1.87389319</v>
      </c>
      <c r="L2207">
        <v>0</v>
      </c>
      <c r="M2207">
        <v>0</v>
      </c>
      <c r="N2207">
        <v>0</v>
      </c>
      <c r="O2207">
        <v>-7.683299359655825</v>
      </c>
      <c r="P2207">
        <v>195178.98689219009</v>
      </c>
    </row>
    <row r="2208" spans="1:16" x14ac:dyDescent="0.25">
      <c r="A2208" s="10">
        <v>40858</v>
      </c>
      <c r="B2208">
        <v>87.156756749754706</v>
      </c>
      <c r="C2208">
        <v>-21.761099999999999</v>
      </c>
      <c r="D2208">
        <v>0</v>
      </c>
      <c r="E2208">
        <v>0</v>
      </c>
      <c r="F2208">
        <v>0</v>
      </c>
      <c r="G2208">
        <v>-390.02316459000002</v>
      </c>
      <c r="H2208">
        <v>531.88744557000246</v>
      </c>
      <c r="I2208">
        <v>0</v>
      </c>
      <c r="J2208">
        <v>7.1000000000003638</v>
      </c>
      <c r="K2208">
        <v>2.0762161799999999</v>
      </c>
      <c r="L2208">
        <v>47.7</v>
      </c>
      <c r="M2208">
        <v>0</v>
      </c>
      <c r="N2208">
        <v>0</v>
      </c>
      <c r="O2208">
        <v>-89.822640410248155</v>
      </c>
      <c r="P2208">
        <v>195266.14364893979</v>
      </c>
    </row>
    <row r="2209" spans="1:16" x14ac:dyDescent="0.25">
      <c r="A2209" s="10">
        <v>40861</v>
      </c>
      <c r="B2209">
        <v>-1905.9246689399299</v>
      </c>
      <c r="C2209">
        <v>-167.78399999999999</v>
      </c>
      <c r="D2209">
        <v>0</v>
      </c>
      <c r="E2209">
        <v>-2750</v>
      </c>
      <c r="F2209">
        <v>0</v>
      </c>
      <c r="G2209">
        <v>-26.09524183000023</v>
      </c>
      <c r="H2209">
        <v>894.75767833999817</v>
      </c>
      <c r="I2209">
        <v>0</v>
      </c>
      <c r="J2209">
        <v>0</v>
      </c>
      <c r="K2209">
        <v>3.3717913899999998</v>
      </c>
      <c r="L2209">
        <v>58.600000000000009</v>
      </c>
      <c r="M2209">
        <v>0</v>
      </c>
      <c r="N2209">
        <v>0</v>
      </c>
      <c r="O2209">
        <v>81.225103160072734</v>
      </c>
      <c r="P2209">
        <v>193360.21897999989</v>
      </c>
    </row>
    <row r="2210" spans="1:16" x14ac:dyDescent="0.25">
      <c r="A2210" s="10">
        <v>40862</v>
      </c>
      <c r="B2210">
        <v>-140.06263776982081</v>
      </c>
      <c r="C2210">
        <v>-21.318999999999999</v>
      </c>
      <c r="D2210">
        <v>0</v>
      </c>
      <c r="E2210">
        <v>0</v>
      </c>
      <c r="F2210">
        <v>0</v>
      </c>
      <c r="G2210">
        <v>358.2474395800001</v>
      </c>
      <c r="H2210">
        <v>-537.97580681999898</v>
      </c>
      <c r="I2210">
        <v>0</v>
      </c>
      <c r="J2210">
        <v>68.5</v>
      </c>
      <c r="K2210">
        <v>1.67010149</v>
      </c>
      <c r="L2210">
        <v>0</v>
      </c>
      <c r="M2210">
        <v>0</v>
      </c>
      <c r="N2210">
        <v>0</v>
      </c>
      <c r="O2210">
        <v>-9.1853720198219477</v>
      </c>
      <c r="P2210">
        <v>193220.1563422301</v>
      </c>
    </row>
    <row r="2211" spans="1:16" x14ac:dyDescent="0.25">
      <c r="A2211" s="10">
        <v>40863</v>
      </c>
      <c r="B2211">
        <v>-511.34998692030791</v>
      </c>
      <c r="C2211">
        <v>127.7085</v>
      </c>
      <c r="D2211">
        <v>0</v>
      </c>
      <c r="E2211">
        <v>0</v>
      </c>
      <c r="F2211">
        <v>0</v>
      </c>
      <c r="G2211">
        <v>-360.25477280999991</v>
      </c>
      <c r="H2211">
        <v>-1189.7808097399991</v>
      </c>
      <c r="I2211">
        <v>0</v>
      </c>
      <c r="J2211">
        <v>0</v>
      </c>
      <c r="K2211">
        <v>1.9737013299999999</v>
      </c>
      <c r="L2211">
        <v>1026.5999999999999</v>
      </c>
      <c r="M2211">
        <v>0</v>
      </c>
      <c r="N2211">
        <v>0</v>
      </c>
      <c r="O2211">
        <v>-117.5966057003086</v>
      </c>
      <c r="P2211">
        <v>192708.80635530979</v>
      </c>
    </row>
    <row r="2212" spans="1:16" x14ac:dyDescent="0.25">
      <c r="A2212" s="10">
        <v>40864</v>
      </c>
      <c r="B2212">
        <v>363.77853271996747</v>
      </c>
      <c r="C2212">
        <v>128.065</v>
      </c>
      <c r="D2212">
        <v>0</v>
      </c>
      <c r="E2212">
        <v>0</v>
      </c>
      <c r="F2212">
        <v>0</v>
      </c>
      <c r="G2212">
        <v>-190.45435093000009</v>
      </c>
      <c r="H2212">
        <v>372.86267276999928</v>
      </c>
      <c r="I2212">
        <v>0</v>
      </c>
      <c r="J2212">
        <v>5.3999999999996362</v>
      </c>
      <c r="K2212">
        <v>2.16497552</v>
      </c>
      <c r="L2212">
        <v>63.2</v>
      </c>
      <c r="M2212">
        <v>0</v>
      </c>
      <c r="N2212">
        <v>0</v>
      </c>
      <c r="O2212">
        <v>-17.459764640031299</v>
      </c>
      <c r="P2212">
        <v>193072.58488802981</v>
      </c>
    </row>
    <row r="2213" spans="1:16" x14ac:dyDescent="0.25">
      <c r="A2213" s="10">
        <v>40865</v>
      </c>
      <c r="B2213">
        <v>3526.485804340366</v>
      </c>
      <c r="C2213">
        <v>378.62430000000001</v>
      </c>
      <c r="D2213">
        <v>0</v>
      </c>
      <c r="E2213">
        <v>1100</v>
      </c>
      <c r="F2213">
        <v>0</v>
      </c>
      <c r="G2213">
        <v>125.74255396</v>
      </c>
      <c r="H2213">
        <v>-434.84916877000069</v>
      </c>
      <c r="I2213">
        <v>0</v>
      </c>
      <c r="J2213">
        <v>0</v>
      </c>
      <c r="K2213">
        <v>1.42646585</v>
      </c>
      <c r="L2213">
        <v>2386.4</v>
      </c>
      <c r="M2213">
        <v>0</v>
      </c>
      <c r="N2213">
        <v>0</v>
      </c>
      <c r="O2213">
        <v>-30.858346699633149</v>
      </c>
      <c r="P2213">
        <v>196599.07069237009</v>
      </c>
    </row>
    <row r="2214" spans="1:16" x14ac:dyDescent="0.25">
      <c r="A2214" s="10">
        <v>40868</v>
      </c>
      <c r="B2214">
        <v>2542.6766607399318</v>
      </c>
      <c r="C2214">
        <v>238.43299999999999</v>
      </c>
      <c r="D2214">
        <v>0</v>
      </c>
      <c r="E2214">
        <v>0</v>
      </c>
      <c r="F2214">
        <v>0</v>
      </c>
      <c r="G2214">
        <v>380.20750476000001</v>
      </c>
      <c r="H2214">
        <v>-675.50329043999955</v>
      </c>
      <c r="I2214">
        <v>0</v>
      </c>
      <c r="J2214">
        <v>123.5</v>
      </c>
      <c r="K2214">
        <v>3.9908204500000002</v>
      </c>
      <c r="L2214">
        <v>2455</v>
      </c>
      <c r="M2214">
        <v>0</v>
      </c>
      <c r="N2214">
        <v>0</v>
      </c>
      <c r="O2214">
        <v>17.048625969931891</v>
      </c>
      <c r="P2214">
        <v>199141.74735311011</v>
      </c>
    </row>
    <row r="2215" spans="1:16" x14ac:dyDescent="0.25">
      <c r="A2215" s="10">
        <v>40869</v>
      </c>
      <c r="B2215">
        <v>393.55454526984198</v>
      </c>
      <c r="C2215">
        <v>340.29410000000001</v>
      </c>
      <c r="D2215">
        <v>0</v>
      </c>
      <c r="E2215">
        <v>0</v>
      </c>
      <c r="F2215">
        <v>0</v>
      </c>
      <c r="G2215">
        <v>-196.49595529999999</v>
      </c>
      <c r="H2215">
        <v>-387.60241901999871</v>
      </c>
      <c r="I2215">
        <v>0</v>
      </c>
      <c r="J2215">
        <v>11.69999999999982</v>
      </c>
      <c r="K2215">
        <v>2.0765528600000001</v>
      </c>
      <c r="L2215">
        <v>586.20000000000005</v>
      </c>
      <c r="M2215">
        <v>0</v>
      </c>
      <c r="N2215">
        <v>0</v>
      </c>
      <c r="O2215">
        <v>37.382266729840829</v>
      </c>
      <c r="P2215">
        <v>199535.3018983799</v>
      </c>
    </row>
    <row r="2216" spans="1:16" x14ac:dyDescent="0.25">
      <c r="A2216" s="10">
        <v>40870</v>
      </c>
      <c r="B2216">
        <v>69.246978450158664</v>
      </c>
      <c r="C2216">
        <v>71.159700000000001</v>
      </c>
      <c r="D2216">
        <v>0</v>
      </c>
      <c r="E2216">
        <v>0</v>
      </c>
      <c r="F2216">
        <v>0</v>
      </c>
      <c r="G2216">
        <v>-485.37003071999987</v>
      </c>
      <c r="H2216">
        <v>-1097.182596859999</v>
      </c>
      <c r="I2216">
        <v>0</v>
      </c>
      <c r="J2216">
        <v>0</v>
      </c>
      <c r="K2216">
        <v>2.16220072</v>
      </c>
      <c r="L2216">
        <v>1649.8</v>
      </c>
      <c r="M2216">
        <v>0</v>
      </c>
      <c r="N2216">
        <v>0</v>
      </c>
      <c r="O2216">
        <v>-71.322294689842423</v>
      </c>
      <c r="P2216">
        <v>199604.54887683009</v>
      </c>
    </row>
    <row r="2217" spans="1:16" x14ac:dyDescent="0.25">
      <c r="A2217" s="10">
        <v>40871</v>
      </c>
      <c r="B2217">
        <v>-828.49086563987612</v>
      </c>
      <c r="C2217">
        <v>0</v>
      </c>
      <c r="D2217">
        <v>0</v>
      </c>
      <c r="E2217">
        <v>-150</v>
      </c>
      <c r="F2217">
        <v>0</v>
      </c>
      <c r="G2217">
        <v>23.79946755999984</v>
      </c>
      <c r="H2217">
        <v>-785.20648077000442</v>
      </c>
      <c r="I2217">
        <v>0</v>
      </c>
      <c r="J2217">
        <v>17.199999999999822</v>
      </c>
      <c r="K2217">
        <v>2.0931759900000002</v>
      </c>
      <c r="L2217">
        <v>0</v>
      </c>
      <c r="M2217">
        <v>0</v>
      </c>
      <c r="N2217">
        <v>0</v>
      </c>
      <c r="O2217">
        <v>63.622971580128713</v>
      </c>
      <c r="P2217">
        <v>198776.05801119021</v>
      </c>
    </row>
    <row r="2218" spans="1:16" x14ac:dyDescent="0.25">
      <c r="A2218" s="10">
        <v>40872</v>
      </c>
      <c r="B2218">
        <v>-1063.850863420317</v>
      </c>
      <c r="C2218">
        <v>344.06299999999999</v>
      </c>
      <c r="D2218">
        <v>0</v>
      </c>
      <c r="E2218">
        <v>0</v>
      </c>
      <c r="F2218">
        <v>0</v>
      </c>
      <c r="G2218">
        <v>510.29933839000012</v>
      </c>
      <c r="H2218">
        <v>-1984.103345699999</v>
      </c>
      <c r="I2218">
        <v>0</v>
      </c>
      <c r="J2218">
        <v>0</v>
      </c>
      <c r="K2218">
        <v>2.4583721000000001</v>
      </c>
      <c r="L2218">
        <v>42</v>
      </c>
      <c r="M2218">
        <v>0</v>
      </c>
      <c r="N2218">
        <v>0</v>
      </c>
      <c r="O2218">
        <v>21.431771789682308</v>
      </c>
      <c r="P2218">
        <v>197712.20714776989</v>
      </c>
    </row>
    <row r="2219" spans="1:16" x14ac:dyDescent="0.25">
      <c r="A2219" s="10">
        <v>40876</v>
      </c>
      <c r="B2219">
        <v>-115.1934771999946</v>
      </c>
      <c r="C2219">
        <v>39.239400000000003</v>
      </c>
      <c r="D2219">
        <v>0</v>
      </c>
      <c r="E2219">
        <v>0</v>
      </c>
      <c r="F2219">
        <v>0</v>
      </c>
      <c r="G2219">
        <v>-3.4597869000001089</v>
      </c>
      <c r="H2219">
        <v>-399.86850008000152</v>
      </c>
      <c r="I2219">
        <v>0</v>
      </c>
      <c r="J2219">
        <v>0</v>
      </c>
      <c r="K2219">
        <v>11.654917790000001</v>
      </c>
      <c r="L2219">
        <v>120.1</v>
      </c>
      <c r="M2219">
        <v>0</v>
      </c>
      <c r="N2219">
        <v>0</v>
      </c>
      <c r="O2219">
        <v>117.14049199000689</v>
      </c>
      <c r="P2219">
        <v>197597.0136705699</v>
      </c>
    </row>
    <row r="2220" spans="1:16" x14ac:dyDescent="0.25">
      <c r="A2220" s="10">
        <v>40877</v>
      </c>
      <c r="B2220">
        <v>416.65758602996362</v>
      </c>
      <c r="C2220">
        <v>124.145</v>
      </c>
      <c r="D2220">
        <v>0</v>
      </c>
      <c r="E2220">
        <v>1850</v>
      </c>
      <c r="F2220">
        <v>0</v>
      </c>
      <c r="G2220">
        <v>-263.92037876000001</v>
      </c>
      <c r="H2220">
        <v>-1825.260468769997</v>
      </c>
      <c r="I2220">
        <v>0</v>
      </c>
      <c r="J2220">
        <v>0</v>
      </c>
      <c r="K2220">
        <v>2.8836964200000001</v>
      </c>
      <c r="L2220">
        <v>496.5</v>
      </c>
      <c r="M2220">
        <v>0</v>
      </c>
      <c r="N2220">
        <v>0</v>
      </c>
      <c r="O2220">
        <v>32.309737139960383</v>
      </c>
      <c r="P2220">
        <v>198013.6712565998</v>
      </c>
    </row>
    <row r="2221" spans="1:16" x14ac:dyDescent="0.25">
      <c r="A2221" s="10">
        <v>40878</v>
      </c>
      <c r="B2221">
        <v>7727.2148768802008</v>
      </c>
      <c r="C2221">
        <v>-55.642499999999998</v>
      </c>
      <c r="D2221">
        <v>0</v>
      </c>
      <c r="E2221">
        <v>0</v>
      </c>
      <c r="F2221">
        <v>0</v>
      </c>
      <c r="G2221">
        <v>48.686117629999963</v>
      </c>
      <c r="H2221">
        <v>7735.8469703099963</v>
      </c>
      <c r="I2221">
        <v>0</v>
      </c>
      <c r="J2221">
        <v>-0.1999999999998181</v>
      </c>
      <c r="K2221">
        <v>3.3888345200000911</v>
      </c>
      <c r="L2221">
        <v>0</v>
      </c>
      <c r="M2221">
        <v>0</v>
      </c>
      <c r="N2221">
        <v>0</v>
      </c>
      <c r="O2221">
        <v>-4.8645455797955943</v>
      </c>
      <c r="P2221">
        <v>205740.88613348</v>
      </c>
    </row>
    <row r="2222" spans="1:16" x14ac:dyDescent="0.25">
      <c r="A2222" s="10">
        <v>40879</v>
      </c>
      <c r="B2222">
        <v>100.54862031014621</v>
      </c>
      <c r="C2222">
        <v>23.562000000000001</v>
      </c>
      <c r="D2222">
        <v>0</v>
      </c>
      <c r="E2222">
        <v>0</v>
      </c>
      <c r="F2222">
        <v>0</v>
      </c>
      <c r="G2222">
        <v>-244.42737003999989</v>
      </c>
      <c r="H2222">
        <v>250.8608998899999</v>
      </c>
      <c r="I2222">
        <v>0</v>
      </c>
      <c r="J2222">
        <v>0</v>
      </c>
      <c r="K2222">
        <v>1.83507859</v>
      </c>
      <c r="L2222">
        <v>0</v>
      </c>
      <c r="M2222">
        <v>0</v>
      </c>
      <c r="N2222">
        <v>0</v>
      </c>
      <c r="O2222">
        <v>68.718011870146142</v>
      </c>
      <c r="P2222">
        <v>205841.43475379021</v>
      </c>
    </row>
    <row r="2223" spans="1:16" x14ac:dyDescent="0.25">
      <c r="A2223" s="10">
        <v>40882</v>
      </c>
      <c r="B2223">
        <v>-2562.129807140097</v>
      </c>
      <c r="C2223">
        <v>-210.01400000000001</v>
      </c>
      <c r="D2223">
        <v>0</v>
      </c>
      <c r="E2223">
        <v>0</v>
      </c>
      <c r="F2223">
        <v>0</v>
      </c>
      <c r="G2223">
        <v>-459.81298249000008</v>
      </c>
      <c r="H2223">
        <v>-1908.1569215699999</v>
      </c>
      <c r="I2223">
        <v>0</v>
      </c>
      <c r="J2223">
        <v>41.899999999999643</v>
      </c>
      <c r="K2223">
        <v>2.91797525</v>
      </c>
      <c r="L2223">
        <v>0</v>
      </c>
      <c r="M2223">
        <v>0</v>
      </c>
      <c r="N2223">
        <v>0</v>
      </c>
      <c r="O2223">
        <v>-28.963878330096211</v>
      </c>
      <c r="P2223">
        <v>203279.30494665011</v>
      </c>
    </row>
    <row r="2224" spans="1:16" x14ac:dyDescent="0.25">
      <c r="A2224" s="10">
        <v>40883</v>
      </c>
      <c r="B2224">
        <v>1511.1905673299041</v>
      </c>
      <c r="C2224">
        <v>383.28129999999999</v>
      </c>
      <c r="D2224">
        <v>0</v>
      </c>
      <c r="E2224">
        <v>0</v>
      </c>
      <c r="F2224">
        <v>0</v>
      </c>
      <c r="G2224">
        <v>1000.83784388</v>
      </c>
      <c r="H2224">
        <v>227.63155216000271</v>
      </c>
      <c r="I2224">
        <v>0</v>
      </c>
      <c r="J2224">
        <v>4.6999999999998181</v>
      </c>
      <c r="K2224">
        <v>3.0383970900000001</v>
      </c>
      <c r="L2224">
        <v>24</v>
      </c>
      <c r="M2224">
        <v>0</v>
      </c>
      <c r="N2224">
        <v>0</v>
      </c>
      <c r="O2224">
        <v>-132.2985258000985</v>
      </c>
      <c r="P2224">
        <v>204790.49551397999</v>
      </c>
    </row>
    <row r="2225" spans="1:16" x14ac:dyDescent="0.25">
      <c r="A2225" s="10">
        <v>40884</v>
      </c>
      <c r="B2225">
        <v>-1985.6539263802699</v>
      </c>
      <c r="C2225">
        <v>568.97400000000005</v>
      </c>
      <c r="D2225">
        <v>0</v>
      </c>
      <c r="E2225">
        <v>3550</v>
      </c>
      <c r="F2225">
        <v>0</v>
      </c>
      <c r="G2225">
        <v>-3449.6678588599998</v>
      </c>
      <c r="H2225">
        <v>-2369.63174656</v>
      </c>
      <c r="I2225">
        <v>0</v>
      </c>
      <c r="J2225">
        <v>6.3000000000001819</v>
      </c>
      <c r="K2225">
        <v>1.6793420999999999</v>
      </c>
      <c r="L2225">
        <v>-205.60000000000011</v>
      </c>
      <c r="M2225">
        <v>0</v>
      </c>
      <c r="N2225">
        <v>0</v>
      </c>
      <c r="O2225">
        <v>-87.707663060269709</v>
      </c>
      <c r="P2225">
        <v>202804.84158759969</v>
      </c>
    </row>
    <row r="2226" spans="1:16" x14ac:dyDescent="0.25">
      <c r="A2226" s="10">
        <v>40889</v>
      </c>
      <c r="B2226">
        <v>1492.577531800255</v>
      </c>
      <c r="C2226">
        <v>877.19500000000005</v>
      </c>
      <c r="D2226">
        <v>0</v>
      </c>
      <c r="E2226">
        <v>-3550</v>
      </c>
      <c r="F2226">
        <v>0</v>
      </c>
      <c r="G2226">
        <v>3155.1149912300002</v>
      </c>
      <c r="H2226">
        <v>993.7037671800008</v>
      </c>
      <c r="I2226">
        <v>0</v>
      </c>
      <c r="J2226">
        <v>38.399999999999643</v>
      </c>
      <c r="K2226">
        <v>-1.8835616399999999</v>
      </c>
      <c r="L2226">
        <v>35.5</v>
      </c>
      <c r="M2226">
        <v>0</v>
      </c>
      <c r="N2226">
        <v>0</v>
      </c>
      <c r="O2226">
        <v>-55.452664969745499</v>
      </c>
      <c r="P2226">
        <v>204297.4191194</v>
      </c>
    </row>
    <row r="2227" spans="1:16" x14ac:dyDescent="0.25">
      <c r="A2227" s="10">
        <v>40890</v>
      </c>
      <c r="B2227">
        <v>977.14864860981493</v>
      </c>
      <c r="C2227">
        <v>766.7998</v>
      </c>
      <c r="D2227">
        <v>0</v>
      </c>
      <c r="E2227">
        <v>0</v>
      </c>
      <c r="F2227">
        <v>0</v>
      </c>
      <c r="G2227">
        <v>377.25086945999999</v>
      </c>
      <c r="H2227">
        <v>20.717697399999452</v>
      </c>
      <c r="I2227">
        <v>0</v>
      </c>
      <c r="J2227">
        <v>0</v>
      </c>
      <c r="K2227">
        <v>3.0200921699999999</v>
      </c>
      <c r="L2227">
        <v>0</v>
      </c>
      <c r="M2227">
        <v>0</v>
      </c>
      <c r="N2227">
        <v>0</v>
      </c>
      <c r="O2227">
        <v>-190.63981042018449</v>
      </c>
      <c r="P2227">
        <v>205274.56776800979</v>
      </c>
    </row>
    <row r="2228" spans="1:16" x14ac:dyDescent="0.25">
      <c r="A2228" s="10">
        <v>40891</v>
      </c>
      <c r="B2228">
        <v>2273.6273272400722</v>
      </c>
      <c r="C2228">
        <v>595.87694999999997</v>
      </c>
      <c r="D2228">
        <v>-945.96</v>
      </c>
      <c r="E2228">
        <v>0</v>
      </c>
      <c r="F2228">
        <v>0</v>
      </c>
      <c r="G2228">
        <v>728.74294508000003</v>
      </c>
      <c r="H2228">
        <v>556.61588613999993</v>
      </c>
      <c r="I2228">
        <v>0</v>
      </c>
      <c r="J2228">
        <v>0</v>
      </c>
      <c r="K2228">
        <v>4.0362220400000002</v>
      </c>
      <c r="L2228">
        <v>1126.0999999999999</v>
      </c>
      <c r="M2228">
        <v>0</v>
      </c>
      <c r="N2228">
        <v>0</v>
      </c>
      <c r="O2228">
        <v>208.2153239800723</v>
      </c>
      <c r="P2228">
        <v>207548.19509524989</v>
      </c>
    </row>
    <row r="2229" spans="1:16" x14ac:dyDescent="0.25">
      <c r="A2229" s="10">
        <v>40892</v>
      </c>
      <c r="B2229">
        <v>4841.4898925402076</v>
      </c>
      <c r="C2229">
        <v>726.04600000000005</v>
      </c>
      <c r="D2229">
        <v>0</v>
      </c>
      <c r="E2229">
        <v>6900</v>
      </c>
      <c r="F2229">
        <v>0</v>
      </c>
      <c r="G2229">
        <v>-2452.79848765</v>
      </c>
      <c r="H2229">
        <v>-324.68752827999742</v>
      </c>
      <c r="I2229">
        <v>0</v>
      </c>
      <c r="J2229">
        <v>0</v>
      </c>
      <c r="K2229">
        <v>1.27069787</v>
      </c>
      <c r="L2229">
        <v>0</v>
      </c>
      <c r="M2229">
        <v>0</v>
      </c>
      <c r="N2229">
        <v>0</v>
      </c>
      <c r="O2229">
        <v>-8.3407893997953586</v>
      </c>
      <c r="P2229">
        <v>212389.6849877901</v>
      </c>
    </row>
    <row r="2230" spans="1:16" x14ac:dyDescent="0.25">
      <c r="A2230" s="10">
        <v>40893</v>
      </c>
      <c r="B2230">
        <v>-1290.8919498501939</v>
      </c>
      <c r="C2230">
        <v>407.39550000000003</v>
      </c>
      <c r="D2230">
        <v>0</v>
      </c>
      <c r="E2230">
        <v>6000</v>
      </c>
      <c r="F2230">
        <v>0</v>
      </c>
      <c r="G2230">
        <v>-6331.9114556599998</v>
      </c>
      <c r="H2230">
        <v>-1555.0792504700039</v>
      </c>
      <c r="I2230">
        <v>0</v>
      </c>
      <c r="J2230">
        <v>0</v>
      </c>
      <c r="K2230">
        <v>1.1457126900000001</v>
      </c>
      <c r="L2230">
        <v>128.6</v>
      </c>
      <c r="M2230">
        <v>0</v>
      </c>
      <c r="N2230">
        <v>0</v>
      </c>
      <c r="O2230">
        <v>58.95754358981003</v>
      </c>
      <c r="P2230">
        <v>211098.7930379399</v>
      </c>
    </row>
    <row r="2231" spans="1:16" x14ac:dyDescent="0.25">
      <c r="A2231" s="10">
        <v>40896</v>
      </c>
      <c r="B2231">
        <v>80.001541229954555</v>
      </c>
      <c r="C2231">
        <v>530.06200000000013</v>
      </c>
      <c r="D2231">
        <v>0</v>
      </c>
      <c r="E2231">
        <v>-6000</v>
      </c>
      <c r="F2231">
        <v>0</v>
      </c>
      <c r="G2231">
        <v>6817.9547728000007</v>
      </c>
      <c r="H2231">
        <v>-1305.102694969999</v>
      </c>
      <c r="I2231">
        <v>0</v>
      </c>
      <c r="J2231">
        <v>0</v>
      </c>
      <c r="K2231">
        <v>6.7030133799999998</v>
      </c>
      <c r="L2231">
        <v>61.599999999999987</v>
      </c>
      <c r="M2231">
        <v>0</v>
      </c>
      <c r="N2231">
        <v>0</v>
      </c>
      <c r="O2231">
        <v>-31.21554998004703</v>
      </c>
      <c r="P2231">
        <v>211178.79457916989</v>
      </c>
    </row>
    <row r="2232" spans="1:16" x14ac:dyDescent="0.25">
      <c r="A2232" s="10">
        <v>40897</v>
      </c>
      <c r="B2232">
        <v>-29.066307459986891</v>
      </c>
      <c r="C2232">
        <v>533.28099999999995</v>
      </c>
      <c r="D2232">
        <v>0</v>
      </c>
      <c r="E2232">
        <v>0</v>
      </c>
      <c r="F2232">
        <v>0</v>
      </c>
      <c r="G2232">
        <v>210.84989705000001</v>
      </c>
      <c r="H2232">
        <v>-754.62694444999943</v>
      </c>
      <c r="I2232">
        <v>0</v>
      </c>
      <c r="J2232">
        <v>0</v>
      </c>
      <c r="K2232">
        <v>3.6403714799999989</v>
      </c>
      <c r="L2232">
        <v>0</v>
      </c>
      <c r="M2232">
        <v>0</v>
      </c>
      <c r="N2232">
        <v>0</v>
      </c>
      <c r="O2232">
        <v>-22.210631539987389</v>
      </c>
      <c r="P2232">
        <v>211149.72827170981</v>
      </c>
    </row>
    <row r="2233" spans="1:16" x14ac:dyDescent="0.25">
      <c r="A2233" s="10">
        <v>40898</v>
      </c>
      <c r="B2233">
        <v>1140.4454743299859</v>
      </c>
      <c r="C2233">
        <v>1193.604</v>
      </c>
      <c r="D2233">
        <v>0</v>
      </c>
      <c r="E2233">
        <v>0</v>
      </c>
      <c r="F2233">
        <v>0</v>
      </c>
      <c r="G2233">
        <v>11.74192086000002</v>
      </c>
      <c r="H2233">
        <v>913.22079820999897</v>
      </c>
      <c r="I2233">
        <v>0</v>
      </c>
      <c r="J2233">
        <v>0</v>
      </c>
      <c r="K2233">
        <v>3.3288219099999998</v>
      </c>
      <c r="L2233">
        <v>-977.69999999999993</v>
      </c>
      <c r="M2233">
        <v>0</v>
      </c>
      <c r="N2233">
        <v>0</v>
      </c>
      <c r="O2233">
        <v>-3.7500666500124709</v>
      </c>
      <c r="P2233">
        <v>212290.1737460398</v>
      </c>
    </row>
    <row r="2234" spans="1:16" x14ac:dyDescent="0.25">
      <c r="A2234" s="10">
        <v>40899</v>
      </c>
      <c r="B2234">
        <v>1361.9598057600961</v>
      </c>
      <c r="C2234">
        <v>1751.136</v>
      </c>
      <c r="D2234">
        <v>0</v>
      </c>
      <c r="E2234">
        <v>0</v>
      </c>
      <c r="F2234">
        <v>0</v>
      </c>
      <c r="G2234">
        <v>-7.155364110000022</v>
      </c>
      <c r="H2234">
        <v>-331.71579192999889</v>
      </c>
      <c r="I2234">
        <v>0</v>
      </c>
      <c r="J2234">
        <v>10.69999999999982</v>
      </c>
      <c r="K2234">
        <v>2.9574727300000001</v>
      </c>
      <c r="L2234">
        <v>0</v>
      </c>
      <c r="M2234">
        <v>0</v>
      </c>
      <c r="N2234">
        <v>0</v>
      </c>
      <c r="O2234">
        <v>-63.96251092990542</v>
      </c>
      <c r="P2234">
        <v>213652.1335517999</v>
      </c>
    </row>
    <row r="2235" spans="1:16" x14ac:dyDescent="0.25">
      <c r="A2235" s="10">
        <v>40900</v>
      </c>
      <c r="B2235">
        <v>-522.82168945000831</v>
      </c>
      <c r="C2235">
        <v>476.447</v>
      </c>
      <c r="D2235">
        <v>0</v>
      </c>
      <c r="E2235">
        <v>0</v>
      </c>
      <c r="F2235">
        <v>0</v>
      </c>
      <c r="G2235">
        <v>10.605063319999999</v>
      </c>
      <c r="H2235">
        <v>-1076.139206580001</v>
      </c>
      <c r="I2235">
        <v>0</v>
      </c>
      <c r="J2235">
        <v>0</v>
      </c>
      <c r="K2235">
        <v>1.9454744399999999</v>
      </c>
      <c r="L2235">
        <v>66.2</v>
      </c>
      <c r="M2235">
        <v>0</v>
      </c>
      <c r="N2235">
        <v>0</v>
      </c>
      <c r="O2235">
        <v>-1.8800206300073801</v>
      </c>
      <c r="P2235">
        <v>213129.31186234989</v>
      </c>
    </row>
    <row r="2236" spans="1:16" x14ac:dyDescent="0.25">
      <c r="A2236" s="10">
        <v>40904</v>
      </c>
      <c r="B2236">
        <v>1027.6452967202649</v>
      </c>
      <c r="C2236">
        <v>459.77749999999997</v>
      </c>
      <c r="D2236">
        <v>0</v>
      </c>
      <c r="E2236">
        <v>0</v>
      </c>
      <c r="F2236">
        <v>0</v>
      </c>
      <c r="G2236">
        <v>6.7312556700000101</v>
      </c>
      <c r="H2236">
        <v>571.49389076000261</v>
      </c>
      <c r="I2236">
        <v>0</v>
      </c>
      <c r="J2236">
        <v>0</v>
      </c>
      <c r="K2236">
        <v>11.25663273</v>
      </c>
      <c r="L2236">
        <v>0</v>
      </c>
      <c r="M2236">
        <v>0</v>
      </c>
      <c r="N2236">
        <v>0</v>
      </c>
      <c r="O2236">
        <v>-21.613982439737789</v>
      </c>
      <c r="P2236">
        <v>214156.95715907021</v>
      </c>
    </row>
    <row r="2237" spans="1:16" x14ac:dyDescent="0.25">
      <c r="A2237" s="10">
        <v>40905</v>
      </c>
      <c r="B2237">
        <v>7164.2078201398253</v>
      </c>
      <c r="C2237">
        <v>610.40200000000004</v>
      </c>
      <c r="D2237">
        <v>0</v>
      </c>
      <c r="E2237">
        <v>7000</v>
      </c>
      <c r="F2237">
        <v>0</v>
      </c>
      <c r="G2237">
        <v>-538.58281268999951</v>
      </c>
      <c r="H2237">
        <v>818.28531589999875</v>
      </c>
      <c r="I2237">
        <v>0</v>
      </c>
      <c r="J2237">
        <v>0</v>
      </c>
      <c r="K2237">
        <v>3.3651130500000002</v>
      </c>
      <c r="L2237">
        <v>-693.10000000000014</v>
      </c>
      <c r="M2237">
        <v>0</v>
      </c>
      <c r="N2237">
        <v>0</v>
      </c>
      <c r="O2237">
        <v>-36.161796120173307</v>
      </c>
      <c r="P2237">
        <v>221321.16497921001</v>
      </c>
    </row>
    <row r="2238" spans="1:16" x14ac:dyDescent="0.25">
      <c r="A2238" s="10">
        <v>40906</v>
      </c>
      <c r="B2238">
        <v>1502.711899869814</v>
      </c>
      <c r="C2238">
        <v>322.28300000000002</v>
      </c>
      <c r="D2238">
        <v>-2000</v>
      </c>
      <c r="E2238">
        <v>0</v>
      </c>
      <c r="F2238">
        <v>0</v>
      </c>
      <c r="G2238">
        <v>2256.92320952</v>
      </c>
      <c r="H2238">
        <v>869.49343158999909</v>
      </c>
      <c r="I2238">
        <v>0</v>
      </c>
      <c r="J2238">
        <v>0</v>
      </c>
      <c r="K2238">
        <v>4.7055168800000002</v>
      </c>
      <c r="L2238">
        <v>92.4</v>
      </c>
      <c r="M2238">
        <v>0</v>
      </c>
      <c r="N2238">
        <v>0</v>
      </c>
      <c r="O2238">
        <v>-43.093258120185602</v>
      </c>
      <c r="P2238">
        <v>222823.87687907979</v>
      </c>
    </row>
    <row r="2239" spans="1:16" x14ac:dyDescent="0.25">
      <c r="A2239" s="10">
        <v>40907</v>
      </c>
      <c r="B2239">
        <v>97.975722980161606</v>
      </c>
      <c r="C2239">
        <v>731.52250000000004</v>
      </c>
      <c r="D2239">
        <v>0</v>
      </c>
      <c r="E2239">
        <v>0</v>
      </c>
      <c r="F2239">
        <v>0</v>
      </c>
      <c r="G2239">
        <v>-78.803403650000064</v>
      </c>
      <c r="H2239">
        <v>-444.44399255000098</v>
      </c>
      <c r="I2239">
        <v>0</v>
      </c>
      <c r="J2239">
        <v>0</v>
      </c>
      <c r="K2239">
        <v>2.4859275699999999</v>
      </c>
      <c r="L2239">
        <v>0</v>
      </c>
      <c r="M2239">
        <v>0</v>
      </c>
      <c r="N2239">
        <v>0</v>
      </c>
      <c r="O2239">
        <v>-112.7853083898374</v>
      </c>
      <c r="P2239">
        <v>222921.85260206001</v>
      </c>
    </row>
    <row r="2240" spans="1:16" x14ac:dyDescent="0.25">
      <c r="A2240" s="10">
        <v>40911</v>
      </c>
      <c r="B2240">
        <v>-1024.738747010095</v>
      </c>
      <c r="C2240">
        <v>23.603999999999981</v>
      </c>
      <c r="D2240">
        <v>0</v>
      </c>
      <c r="E2240">
        <v>0</v>
      </c>
      <c r="F2240">
        <v>0</v>
      </c>
      <c r="G2240">
        <v>266.3546050299999</v>
      </c>
      <c r="H2240">
        <v>-1302.835451809997</v>
      </c>
      <c r="I2240">
        <v>0</v>
      </c>
      <c r="J2240">
        <v>0</v>
      </c>
      <c r="K2240">
        <v>7.774056609999997</v>
      </c>
      <c r="L2240">
        <v>28.8</v>
      </c>
      <c r="M2240">
        <v>0</v>
      </c>
      <c r="N2240">
        <v>0</v>
      </c>
      <c r="O2240">
        <v>-48.435956840097973</v>
      </c>
      <c r="P2240">
        <v>221897.11385504989</v>
      </c>
    </row>
    <row r="2241" spans="1:16" x14ac:dyDescent="0.25">
      <c r="A2241" s="10">
        <v>40912</v>
      </c>
      <c r="B2241">
        <v>-3422.6078370001628</v>
      </c>
      <c r="C2241">
        <v>823.15449999999998</v>
      </c>
      <c r="D2241">
        <v>0</v>
      </c>
      <c r="E2241">
        <v>0</v>
      </c>
      <c r="F2241">
        <v>0</v>
      </c>
      <c r="G2241">
        <v>-114.78194395</v>
      </c>
      <c r="H2241">
        <v>-3695.2179145699988</v>
      </c>
      <c r="I2241">
        <v>0</v>
      </c>
      <c r="J2241">
        <v>0</v>
      </c>
      <c r="K2241">
        <v>3.07211057</v>
      </c>
      <c r="L2241">
        <v>-427.3</v>
      </c>
      <c r="M2241">
        <v>0</v>
      </c>
      <c r="N2241">
        <v>0</v>
      </c>
      <c r="O2241">
        <v>-11.534589050163779</v>
      </c>
      <c r="P2241">
        <v>218474.50601804969</v>
      </c>
    </row>
    <row r="2242" spans="1:16" x14ac:dyDescent="0.25">
      <c r="A2242" s="10">
        <v>40913</v>
      </c>
      <c r="B2242">
        <v>-2281.8366411598672</v>
      </c>
      <c r="C2242">
        <v>568.21820000000002</v>
      </c>
      <c r="D2242">
        <v>0</v>
      </c>
      <c r="E2242">
        <v>0</v>
      </c>
      <c r="F2242">
        <v>0</v>
      </c>
      <c r="G2242">
        <v>-181.06585996000001</v>
      </c>
      <c r="H2242">
        <v>-2823.681574939998</v>
      </c>
      <c r="I2242">
        <v>0</v>
      </c>
      <c r="J2242">
        <v>0</v>
      </c>
      <c r="K2242">
        <v>4.0749475100000003</v>
      </c>
      <c r="L2242">
        <v>0</v>
      </c>
      <c r="M2242">
        <v>0</v>
      </c>
      <c r="N2242">
        <v>0</v>
      </c>
      <c r="O2242">
        <v>150.61764623012999</v>
      </c>
      <c r="P2242">
        <v>216192.66937688991</v>
      </c>
    </row>
    <row r="2243" spans="1:16" x14ac:dyDescent="0.25">
      <c r="A2243" s="10">
        <v>40914</v>
      </c>
      <c r="B2243">
        <v>54.508468860001912</v>
      </c>
      <c r="C2243">
        <v>-88.486000000000004</v>
      </c>
      <c r="D2243">
        <v>0</v>
      </c>
      <c r="E2243">
        <v>0</v>
      </c>
      <c r="F2243">
        <v>0</v>
      </c>
      <c r="G2243">
        <v>-259.38504663999998</v>
      </c>
      <c r="H2243">
        <v>169.68737037000031</v>
      </c>
      <c r="I2243">
        <v>0</v>
      </c>
      <c r="J2243">
        <v>4</v>
      </c>
      <c r="K2243">
        <v>5.7491756900000004</v>
      </c>
      <c r="L2243">
        <v>115.2</v>
      </c>
      <c r="M2243">
        <v>0</v>
      </c>
      <c r="N2243">
        <v>0</v>
      </c>
      <c r="O2243">
        <v>107.7429694400017</v>
      </c>
      <c r="P2243">
        <v>216247.17784574989</v>
      </c>
    </row>
    <row r="2244" spans="1:16" x14ac:dyDescent="0.25">
      <c r="A2244" s="10">
        <v>40917</v>
      </c>
      <c r="B2244">
        <v>2216.1667789602961</v>
      </c>
      <c r="C2244">
        <v>-77.900999999999996</v>
      </c>
      <c r="D2244">
        <v>0</v>
      </c>
      <c r="E2244">
        <v>0</v>
      </c>
      <c r="F2244">
        <v>0</v>
      </c>
      <c r="G2244">
        <v>-24.663538870000021</v>
      </c>
      <c r="H2244">
        <v>2316.5148104300019</v>
      </c>
      <c r="I2244">
        <v>0</v>
      </c>
      <c r="J2244">
        <v>61.199999999999818</v>
      </c>
      <c r="K2244">
        <v>7.5219272299999993</v>
      </c>
      <c r="L2244">
        <v>0</v>
      </c>
      <c r="M2244">
        <v>0</v>
      </c>
      <c r="N2244">
        <v>0</v>
      </c>
      <c r="O2244">
        <v>-66.505419829706085</v>
      </c>
      <c r="P2244">
        <v>218463.34462471021</v>
      </c>
    </row>
    <row r="2245" spans="1:16" x14ac:dyDescent="0.25">
      <c r="A2245" s="10">
        <v>40918</v>
      </c>
      <c r="B2245">
        <v>2235.258089069946</v>
      </c>
      <c r="C2245">
        <v>720.39</v>
      </c>
      <c r="D2245">
        <v>0</v>
      </c>
      <c r="E2245">
        <v>0</v>
      </c>
      <c r="F2245">
        <v>0</v>
      </c>
      <c r="G2245">
        <v>0.41222197000013239</v>
      </c>
      <c r="H2245">
        <v>1547.073131009995</v>
      </c>
      <c r="I2245">
        <v>0</v>
      </c>
      <c r="J2245">
        <v>-3.1000000000003638</v>
      </c>
      <c r="K2245">
        <v>-9.5660835599999992</v>
      </c>
      <c r="L2245">
        <v>0</v>
      </c>
      <c r="M2245">
        <v>0</v>
      </c>
      <c r="N2245">
        <v>0</v>
      </c>
      <c r="O2245">
        <v>-19.951180350048521</v>
      </c>
      <c r="P2245">
        <v>220698.6027137801</v>
      </c>
    </row>
    <row r="2246" spans="1:16" x14ac:dyDescent="0.25">
      <c r="A2246" s="10">
        <v>40919</v>
      </c>
      <c r="B2246">
        <v>677.04735739008288</v>
      </c>
      <c r="C2246">
        <v>370.83200000000011</v>
      </c>
      <c r="D2246">
        <v>0</v>
      </c>
      <c r="E2246">
        <v>0</v>
      </c>
      <c r="F2246">
        <v>0</v>
      </c>
      <c r="G2246">
        <v>147.01741242999989</v>
      </c>
      <c r="H2246">
        <v>2551.5392479200041</v>
      </c>
      <c r="I2246">
        <v>0</v>
      </c>
      <c r="J2246">
        <v>0</v>
      </c>
      <c r="K2246">
        <v>4.8</v>
      </c>
      <c r="L2246">
        <v>-2346.9</v>
      </c>
      <c r="M2246">
        <v>0</v>
      </c>
      <c r="N2246">
        <v>0</v>
      </c>
      <c r="O2246">
        <v>-50.241302959920809</v>
      </c>
      <c r="P2246">
        <v>221375.65007117021</v>
      </c>
    </row>
    <row r="2247" spans="1:16" x14ac:dyDescent="0.25">
      <c r="A2247" s="10">
        <v>40920</v>
      </c>
      <c r="B2247">
        <v>2414.2226199499278</v>
      </c>
      <c r="C2247">
        <v>582.11919999999998</v>
      </c>
      <c r="D2247">
        <v>0</v>
      </c>
      <c r="E2247">
        <v>0</v>
      </c>
      <c r="F2247">
        <v>0</v>
      </c>
      <c r="G2247">
        <v>-267.33853138000001</v>
      </c>
      <c r="H2247">
        <v>2070.5562235699999</v>
      </c>
      <c r="I2247">
        <v>0</v>
      </c>
      <c r="J2247">
        <v>0</v>
      </c>
      <c r="K2247">
        <v>5.8862002100000002</v>
      </c>
      <c r="L2247">
        <v>0</v>
      </c>
      <c r="M2247">
        <v>0</v>
      </c>
      <c r="N2247">
        <v>0</v>
      </c>
      <c r="O2247">
        <v>22.999527549927731</v>
      </c>
      <c r="P2247">
        <v>223789.87269112011</v>
      </c>
    </row>
    <row r="2248" spans="1:16" x14ac:dyDescent="0.25">
      <c r="A2248" s="10">
        <v>40921</v>
      </c>
      <c r="B2248">
        <v>-461.22353189016633</v>
      </c>
      <c r="C2248">
        <v>893.70482000000004</v>
      </c>
      <c r="D2248">
        <v>0</v>
      </c>
      <c r="E2248">
        <v>0</v>
      </c>
      <c r="F2248">
        <v>0</v>
      </c>
      <c r="G2248">
        <v>-131.70701119</v>
      </c>
      <c r="H2248">
        <v>-1247.0615392000041</v>
      </c>
      <c r="I2248">
        <v>0</v>
      </c>
      <c r="J2248">
        <v>0</v>
      </c>
      <c r="K2248">
        <v>4.3614351999999998</v>
      </c>
      <c r="L2248">
        <v>0</v>
      </c>
      <c r="M2248">
        <v>0</v>
      </c>
      <c r="N2248">
        <v>0</v>
      </c>
      <c r="O2248">
        <v>19.478763299837262</v>
      </c>
      <c r="P2248">
        <v>223328.64915922991</v>
      </c>
    </row>
    <row r="2249" spans="1:16" x14ac:dyDescent="0.25">
      <c r="A2249" s="10">
        <v>40924</v>
      </c>
      <c r="B2249">
        <v>283.01779555986383</v>
      </c>
      <c r="C2249">
        <v>-2.1589</v>
      </c>
      <c r="D2249">
        <v>0</v>
      </c>
      <c r="E2249">
        <v>0</v>
      </c>
      <c r="F2249">
        <v>0</v>
      </c>
      <c r="G2249">
        <v>122.15885381</v>
      </c>
      <c r="H2249">
        <v>174.0898590400011</v>
      </c>
      <c r="I2249">
        <v>0</v>
      </c>
      <c r="J2249">
        <v>0</v>
      </c>
      <c r="K2249">
        <v>5.4256967099999986</v>
      </c>
      <c r="L2249">
        <v>0</v>
      </c>
      <c r="M2249">
        <v>0</v>
      </c>
      <c r="N2249">
        <v>0</v>
      </c>
      <c r="O2249">
        <v>-16.49771400013735</v>
      </c>
      <c r="P2249">
        <v>223611.66695478981</v>
      </c>
    </row>
    <row r="2250" spans="1:16" x14ac:dyDescent="0.25">
      <c r="A2250" s="10">
        <v>40925</v>
      </c>
      <c r="B2250">
        <v>-305.28180843006737</v>
      </c>
      <c r="C2250">
        <v>287.9581</v>
      </c>
      <c r="D2250">
        <v>0</v>
      </c>
      <c r="E2250">
        <v>0</v>
      </c>
      <c r="F2250">
        <v>0</v>
      </c>
      <c r="G2250">
        <v>11.99275190000003</v>
      </c>
      <c r="H2250">
        <v>-677.60735161999946</v>
      </c>
      <c r="I2250">
        <v>0</v>
      </c>
      <c r="J2250">
        <v>59.100000000000357</v>
      </c>
      <c r="K2250">
        <v>4.1589915899999994</v>
      </c>
      <c r="L2250">
        <v>0</v>
      </c>
      <c r="M2250">
        <v>0</v>
      </c>
      <c r="N2250">
        <v>0</v>
      </c>
      <c r="O2250">
        <v>9.1156996999316569</v>
      </c>
      <c r="P2250">
        <v>223306.38514635971</v>
      </c>
    </row>
    <row r="2251" spans="1:16" x14ac:dyDescent="0.25">
      <c r="A2251" s="10">
        <v>40926</v>
      </c>
      <c r="B2251">
        <v>-95.859060929564436</v>
      </c>
      <c r="C2251">
        <v>12.956</v>
      </c>
      <c r="D2251">
        <v>0</v>
      </c>
      <c r="E2251">
        <v>0</v>
      </c>
      <c r="F2251">
        <v>0</v>
      </c>
      <c r="G2251">
        <v>-62.986292010000057</v>
      </c>
      <c r="H2251">
        <v>1712.031374699998</v>
      </c>
      <c r="I2251">
        <v>0</v>
      </c>
      <c r="J2251">
        <v>20.199999999999822</v>
      </c>
      <c r="K2251">
        <v>2.9358585599999989</v>
      </c>
      <c r="L2251">
        <v>-1774</v>
      </c>
      <c r="M2251">
        <v>0</v>
      </c>
      <c r="N2251">
        <v>0</v>
      </c>
      <c r="O2251">
        <v>-6.9960021795624474</v>
      </c>
      <c r="P2251">
        <v>223210.5260854302</v>
      </c>
    </row>
    <row r="2252" spans="1:16" x14ac:dyDescent="0.25">
      <c r="A2252" s="10">
        <v>40927</v>
      </c>
      <c r="B2252">
        <v>-172.72229211038169</v>
      </c>
      <c r="C2252">
        <v>129.48670000000001</v>
      </c>
      <c r="D2252">
        <v>0</v>
      </c>
      <c r="E2252">
        <v>0</v>
      </c>
      <c r="F2252">
        <v>0</v>
      </c>
      <c r="G2252">
        <v>162.95328834</v>
      </c>
      <c r="H2252">
        <v>-591.33849552999891</v>
      </c>
      <c r="I2252">
        <v>0</v>
      </c>
      <c r="J2252">
        <v>38.899999999999643</v>
      </c>
      <c r="K2252">
        <v>3.64266172</v>
      </c>
      <c r="L2252">
        <v>105.6</v>
      </c>
      <c r="M2252">
        <v>0</v>
      </c>
      <c r="N2252">
        <v>0</v>
      </c>
      <c r="O2252">
        <v>-21.966446640382401</v>
      </c>
      <c r="P2252">
        <v>223037.80379331979</v>
      </c>
    </row>
    <row r="2253" spans="1:16" x14ac:dyDescent="0.25">
      <c r="A2253" s="10">
        <v>40928</v>
      </c>
      <c r="B2253">
        <v>-733.44803837989446</v>
      </c>
      <c r="C2253">
        <v>15.127000000000001</v>
      </c>
      <c r="D2253">
        <v>0</v>
      </c>
      <c r="E2253">
        <v>0</v>
      </c>
      <c r="F2253">
        <v>0</v>
      </c>
      <c r="G2253">
        <v>388.45726810000002</v>
      </c>
      <c r="H2253">
        <v>-1139.5513767499981</v>
      </c>
      <c r="I2253">
        <v>0</v>
      </c>
      <c r="J2253">
        <v>0</v>
      </c>
      <c r="K2253">
        <v>4.1027527600000004</v>
      </c>
      <c r="L2253">
        <v>0</v>
      </c>
      <c r="M2253">
        <v>0</v>
      </c>
      <c r="N2253">
        <v>0</v>
      </c>
      <c r="O2253">
        <v>-1.5836824898965249</v>
      </c>
      <c r="P2253">
        <v>222304.3557549399</v>
      </c>
    </row>
    <row r="2254" spans="1:16" x14ac:dyDescent="0.25">
      <c r="A2254" s="10">
        <v>40931</v>
      </c>
      <c r="B2254">
        <v>-2362.3720002898772</v>
      </c>
      <c r="C2254">
        <v>203.43049999999999</v>
      </c>
      <c r="D2254">
        <v>0</v>
      </c>
      <c r="E2254">
        <v>-1850</v>
      </c>
      <c r="F2254">
        <v>0</v>
      </c>
      <c r="G2254">
        <v>-795.69012834999978</v>
      </c>
      <c r="H2254">
        <v>25.05183975999898</v>
      </c>
      <c r="I2254">
        <v>0</v>
      </c>
      <c r="J2254">
        <v>41.399999999999643</v>
      </c>
      <c r="K2254">
        <v>6.2720827999999997</v>
      </c>
      <c r="L2254">
        <v>0</v>
      </c>
      <c r="M2254">
        <v>0</v>
      </c>
      <c r="N2254">
        <v>0</v>
      </c>
      <c r="O2254">
        <v>7.1637055001236147</v>
      </c>
      <c r="P2254">
        <v>219941.98375464999</v>
      </c>
    </row>
    <row r="2255" spans="1:16" x14ac:dyDescent="0.25">
      <c r="A2255" s="10">
        <v>40932</v>
      </c>
      <c r="B2255">
        <v>1230.7527956899439</v>
      </c>
      <c r="C2255">
        <v>220.75156999999999</v>
      </c>
      <c r="D2255">
        <v>0</v>
      </c>
      <c r="E2255">
        <v>0</v>
      </c>
      <c r="F2255">
        <v>0</v>
      </c>
      <c r="G2255">
        <v>-2.1291670399999991</v>
      </c>
      <c r="H2255">
        <v>989.54652299000008</v>
      </c>
      <c r="I2255">
        <v>0</v>
      </c>
      <c r="J2255">
        <v>0</v>
      </c>
      <c r="K2255">
        <v>3.5593581900000002</v>
      </c>
      <c r="L2255">
        <v>33.4</v>
      </c>
      <c r="M2255">
        <v>0</v>
      </c>
      <c r="N2255">
        <v>0</v>
      </c>
      <c r="O2255">
        <v>-14.37548845005654</v>
      </c>
      <c r="P2255">
        <v>221172.73655033999</v>
      </c>
    </row>
    <row r="2256" spans="1:16" x14ac:dyDescent="0.25">
      <c r="A2256" s="10">
        <v>40933</v>
      </c>
      <c r="B2256">
        <v>-1417.844802329781</v>
      </c>
      <c r="C2256">
        <v>-114.38343999999999</v>
      </c>
      <c r="D2256">
        <v>0</v>
      </c>
      <c r="E2256">
        <v>0</v>
      </c>
      <c r="F2256">
        <v>0</v>
      </c>
      <c r="G2256">
        <v>505.94348993000011</v>
      </c>
      <c r="H2256">
        <v>-1878.3586920200009</v>
      </c>
      <c r="I2256">
        <v>0</v>
      </c>
      <c r="J2256">
        <v>0</v>
      </c>
      <c r="K2256">
        <v>2.4927799400000001</v>
      </c>
      <c r="L2256">
        <v>54.800000000000182</v>
      </c>
      <c r="M2256">
        <v>0</v>
      </c>
      <c r="N2256">
        <v>0</v>
      </c>
      <c r="O2256">
        <v>11.661059820219631</v>
      </c>
      <c r="P2256">
        <v>219754.89174801021</v>
      </c>
    </row>
    <row r="2257" spans="1:16" x14ac:dyDescent="0.25">
      <c r="A2257" s="10">
        <v>40934</v>
      </c>
      <c r="B2257">
        <v>-538.13497627011418</v>
      </c>
      <c r="C2257">
        <v>-83.799500000000009</v>
      </c>
      <c r="D2257">
        <v>0</v>
      </c>
      <c r="E2257">
        <v>0</v>
      </c>
      <c r="F2257">
        <v>0</v>
      </c>
      <c r="G2257">
        <v>484.39253344999992</v>
      </c>
      <c r="H2257">
        <v>-1013.6350624000009</v>
      </c>
      <c r="I2257">
        <v>0</v>
      </c>
      <c r="J2257">
        <v>0</v>
      </c>
      <c r="K2257">
        <v>2.7688794200000002</v>
      </c>
      <c r="L2257">
        <v>98.600000000000009</v>
      </c>
      <c r="M2257">
        <v>0</v>
      </c>
      <c r="N2257">
        <v>0</v>
      </c>
      <c r="O2257">
        <v>-26.461826740113469</v>
      </c>
      <c r="P2257">
        <v>219216.7567717401</v>
      </c>
    </row>
    <row r="2258" spans="1:16" x14ac:dyDescent="0.25">
      <c r="A2258" s="10">
        <v>40935</v>
      </c>
      <c r="B2258">
        <v>600.4161147698195</v>
      </c>
      <c r="C2258">
        <v>49.125950000000003</v>
      </c>
      <c r="D2258">
        <v>0</v>
      </c>
      <c r="E2258">
        <v>1800</v>
      </c>
      <c r="F2258">
        <v>0</v>
      </c>
      <c r="G2258">
        <v>-217.1778848299999</v>
      </c>
      <c r="H2258">
        <v>-1214.2565834300001</v>
      </c>
      <c r="I2258">
        <v>0</v>
      </c>
      <c r="J2258">
        <v>8.1999999999998181</v>
      </c>
      <c r="K2258">
        <v>5.5388931500000007</v>
      </c>
      <c r="L2258">
        <v>214.8</v>
      </c>
      <c r="M2258">
        <v>0</v>
      </c>
      <c r="N2258">
        <v>0</v>
      </c>
      <c r="O2258">
        <v>-45.814260120180052</v>
      </c>
      <c r="P2258">
        <v>219817.17288650991</v>
      </c>
    </row>
    <row r="2259" spans="1:16" x14ac:dyDescent="0.25">
      <c r="A2259" s="10">
        <v>40938</v>
      </c>
      <c r="B2259">
        <v>-1493.533834860021</v>
      </c>
      <c r="C2259">
        <v>86.713139999999981</v>
      </c>
      <c r="D2259">
        <v>0</v>
      </c>
      <c r="E2259">
        <v>0</v>
      </c>
      <c r="F2259">
        <v>0</v>
      </c>
      <c r="G2259">
        <v>97.639254179999995</v>
      </c>
      <c r="H2259">
        <v>-1740.858275129998</v>
      </c>
      <c r="I2259">
        <v>0</v>
      </c>
      <c r="J2259">
        <v>0</v>
      </c>
      <c r="K2259">
        <v>8.0624712199999973</v>
      </c>
      <c r="L2259">
        <v>89.4</v>
      </c>
      <c r="M2259">
        <v>0</v>
      </c>
      <c r="N2259">
        <v>0</v>
      </c>
      <c r="O2259">
        <v>-34.490425130022317</v>
      </c>
      <c r="P2259">
        <v>218323.63905164989</v>
      </c>
    </row>
    <row r="2260" spans="1:16" x14ac:dyDescent="0.25">
      <c r="A2260" s="10">
        <v>40939</v>
      </c>
      <c r="B2260">
        <v>-2206.2609327998939</v>
      </c>
      <c r="C2260">
        <v>-2.1680000000000001</v>
      </c>
      <c r="D2260">
        <v>0</v>
      </c>
      <c r="E2260">
        <v>0</v>
      </c>
      <c r="F2260">
        <v>0</v>
      </c>
      <c r="G2260">
        <v>-259.37389342</v>
      </c>
      <c r="H2260">
        <v>-1899.8074237700021</v>
      </c>
      <c r="I2260">
        <v>0</v>
      </c>
      <c r="J2260">
        <v>0</v>
      </c>
      <c r="K2260">
        <v>3.5217544300000001</v>
      </c>
      <c r="L2260">
        <v>0</v>
      </c>
      <c r="M2260">
        <v>0</v>
      </c>
      <c r="N2260">
        <v>0</v>
      </c>
      <c r="O2260">
        <v>-48.433370039891628</v>
      </c>
      <c r="P2260">
        <v>216117.37811885</v>
      </c>
    </row>
    <row r="2261" spans="1:16" x14ac:dyDescent="0.25">
      <c r="A2261" s="10">
        <v>40940</v>
      </c>
      <c r="B2261">
        <v>-2348.4771564101961</v>
      </c>
      <c r="C2261">
        <v>107.02315</v>
      </c>
      <c r="D2261">
        <v>0</v>
      </c>
      <c r="E2261">
        <v>0</v>
      </c>
      <c r="F2261">
        <v>0</v>
      </c>
      <c r="G2261">
        <v>90.624078230000038</v>
      </c>
      <c r="H2261">
        <v>-653.14760610999656</v>
      </c>
      <c r="I2261">
        <v>0</v>
      </c>
      <c r="J2261">
        <v>0</v>
      </c>
      <c r="K2261">
        <v>5.2846429500000003</v>
      </c>
      <c r="L2261">
        <v>-1894</v>
      </c>
      <c r="M2261">
        <v>0</v>
      </c>
      <c r="N2261">
        <v>0</v>
      </c>
      <c r="O2261">
        <v>-4.2614214801996244</v>
      </c>
      <c r="P2261">
        <v>213768.90096243969</v>
      </c>
    </row>
    <row r="2262" spans="1:16" x14ac:dyDescent="0.25">
      <c r="A2262" s="10">
        <v>40941</v>
      </c>
      <c r="B2262">
        <v>-2956.9959688397939</v>
      </c>
      <c r="C2262">
        <v>192.83099999999999</v>
      </c>
      <c r="D2262">
        <v>0</v>
      </c>
      <c r="E2262">
        <v>0</v>
      </c>
      <c r="F2262">
        <v>0</v>
      </c>
      <c r="G2262">
        <v>17.014585859999979</v>
      </c>
      <c r="H2262">
        <v>-3188.1717334999989</v>
      </c>
      <c r="I2262">
        <v>0</v>
      </c>
      <c r="J2262">
        <v>23.300000000000178</v>
      </c>
      <c r="K2262">
        <v>3.3988755999999989</v>
      </c>
      <c r="L2262">
        <v>0</v>
      </c>
      <c r="M2262">
        <v>0</v>
      </c>
      <c r="N2262">
        <v>0</v>
      </c>
      <c r="O2262">
        <v>-5.3686967997948161</v>
      </c>
      <c r="P2262">
        <v>210811.90499360001</v>
      </c>
    </row>
    <row r="2263" spans="1:16" x14ac:dyDescent="0.25">
      <c r="A2263" s="10">
        <v>40942</v>
      </c>
      <c r="B2263">
        <v>-3179.555590310104</v>
      </c>
      <c r="C2263">
        <v>532.74185</v>
      </c>
      <c r="D2263">
        <v>0</v>
      </c>
      <c r="E2263">
        <v>-1750</v>
      </c>
      <c r="F2263">
        <v>0</v>
      </c>
      <c r="G2263">
        <v>-248.32589211999991</v>
      </c>
      <c r="H2263">
        <v>-1719.6660571499999</v>
      </c>
      <c r="I2263">
        <v>0</v>
      </c>
      <c r="J2263">
        <v>0</v>
      </c>
      <c r="K2263">
        <v>4.3756624399999087</v>
      </c>
      <c r="L2263">
        <v>0</v>
      </c>
      <c r="M2263">
        <v>0</v>
      </c>
      <c r="N2263">
        <v>0</v>
      </c>
      <c r="O2263">
        <v>1.318846519895942</v>
      </c>
      <c r="P2263">
        <v>207632.3494032899</v>
      </c>
    </row>
    <row r="2264" spans="1:16" x14ac:dyDescent="0.25">
      <c r="A2264" s="10">
        <v>40945</v>
      </c>
      <c r="B2264">
        <v>-1400.257812679831</v>
      </c>
      <c r="C2264">
        <v>179.89</v>
      </c>
      <c r="D2264">
        <v>0</v>
      </c>
      <c r="E2264">
        <v>0</v>
      </c>
      <c r="F2264">
        <v>0</v>
      </c>
      <c r="G2264">
        <v>-646.5712861999998</v>
      </c>
      <c r="H2264">
        <v>-949.18102472999817</v>
      </c>
      <c r="I2264">
        <v>0</v>
      </c>
      <c r="J2264">
        <v>15.30000000000018</v>
      </c>
      <c r="K2264">
        <v>10.864488720000001</v>
      </c>
      <c r="L2264">
        <v>0</v>
      </c>
      <c r="M2264">
        <v>0</v>
      </c>
      <c r="N2264">
        <v>0</v>
      </c>
      <c r="O2264">
        <v>-10.55999046983375</v>
      </c>
      <c r="P2264">
        <v>206232.09159061001</v>
      </c>
    </row>
    <row r="2265" spans="1:16" x14ac:dyDescent="0.25">
      <c r="A2265" s="10">
        <v>40946</v>
      </c>
      <c r="B2265">
        <v>1231.2746173299979</v>
      </c>
      <c r="C2265">
        <v>199.96629999999999</v>
      </c>
      <c r="D2265">
        <v>0</v>
      </c>
      <c r="E2265">
        <v>0</v>
      </c>
      <c r="F2265">
        <v>0</v>
      </c>
      <c r="G2265">
        <v>334.44736712999998</v>
      </c>
      <c r="H2265">
        <v>561.79180165999787</v>
      </c>
      <c r="I2265">
        <v>0</v>
      </c>
      <c r="J2265">
        <v>10</v>
      </c>
      <c r="K2265">
        <v>7.6758396200000023</v>
      </c>
      <c r="L2265">
        <v>0</v>
      </c>
      <c r="M2265">
        <v>0</v>
      </c>
      <c r="N2265">
        <v>0</v>
      </c>
      <c r="O2265">
        <v>117.39330892000019</v>
      </c>
      <c r="P2265">
        <v>207463.36620794001</v>
      </c>
    </row>
    <row r="2266" spans="1:16" x14ac:dyDescent="0.25">
      <c r="A2266" s="10">
        <v>40947</v>
      </c>
      <c r="B2266">
        <v>1296.0702158398619</v>
      </c>
      <c r="C2266">
        <v>218.81100000000001</v>
      </c>
      <c r="D2266">
        <v>0</v>
      </c>
      <c r="E2266">
        <v>0</v>
      </c>
      <c r="F2266">
        <v>0</v>
      </c>
      <c r="G2266">
        <v>491.03038214999998</v>
      </c>
      <c r="H2266">
        <v>1672.5777819600009</v>
      </c>
      <c r="I2266">
        <v>0</v>
      </c>
      <c r="J2266">
        <v>-3.1999999999998181</v>
      </c>
      <c r="K2266">
        <v>-6.3658066699999107</v>
      </c>
      <c r="L2266">
        <v>-1075.9000000000001</v>
      </c>
      <c r="M2266">
        <v>0</v>
      </c>
      <c r="N2266">
        <v>0</v>
      </c>
      <c r="O2266">
        <v>-0.88314160013892362</v>
      </c>
      <c r="P2266">
        <v>208759.4364237799</v>
      </c>
    </row>
    <row r="2267" spans="1:16" x14ac:dyDescent="0.25">
      <c r="A2267" s="10">
        <v>40948</v>
      </c>
      <c r="B2267">
        <v>484.20931621990161</v>
      </c>
      <c r="C2267">
        <v>193.38800000000001</v>
      </c>
      <c r="D2267">
        <v>0</v>
      </c>
      <c r="E2267">
        <v>0</v>
      </c>
      <c r="F2267">
        <v>0</v>
      </c>
      <c r="G2267">
        <v>72.392698800000005</v>
      </c>
      <c r="H2267">
        <v>224.49780771000951</v>
      </c>
      <c r="I2267">
        <v>0</v>
      </c>
      <c r="J2267">
        <v>2</v>
      </c>
      <c r="K2267">
        <v>6.6406439199999969</v>
      </c>
      <c r="L2267">
        <v>0</v>
      </c>
      <c r="M2267">
        <v>0</v>
      </c>
      <c r="N2267">
        <v>0</v>
      </c>
      <c r="O2267">
        <v>-14.7098342101079</v>
      </c>
      <c r="P2267">
        <v>209243.6457399998</v>
      </c>
    </row>
    <row r="2268" spans="1:16" x14ac:dyDescent="0.25">
      <c r="A2268" s="10">
        <v>40949</v>
      </c>
      <c r="B2268">
        <v>2629.071335950081</v>
      </c>
      <c r="C2268">
        <v>544.42549999999994</v>
      </c>
      <c r="D2268">
        <v>0</v>
      </c>
      <c r="E2268">
        <v>1800</v>
      </c>
      <c r="F2268">
        <v>0</v>
      </c>
      <c r="G2268">
        <v>-93.758523960000048</v>
      </c>
      <c r="H2268">
        <v>416.79014618999639</v>
      </c>
      <c r="I2268">
        <v>0</v>
      </c>
      <c r="J2268">
        <v>8.3000000000001819</v>
      </c>
      <c r="K2268">
        <v>8.7154715299999985</v>
      </c>
      <c r="L2268">
        <v>0</v>
      </c>
      <c r="M2268">
        <v>0</v>
      </c>
      <c r="N2268">
        <v>0</v>
      </c>
      <c r="O2268">
        <v>-55.401257809914853</v>
      </c>
      <c r="P2268">
        <v>211872.71707594991</v>
      </c>
    </row>
    <row r="2269" spans="1:16" x14ac:dyDescent="0.25">
      <c r="A2269" s="10">
        <v>40952</v>
      </c>
      <c r="B2269">
        <v>829.94112078999603</v>
      </c>
      <c r="C2269">
        <v>560.46195</v>
      </c>
      <c r="D2269">
        <v>-400</v>
      </c>
      <c r="E2269">
        <v>0</v>
      </c>
      <c r="F2269">
        <v>0</v>
      </c>
      <c r="G2269">
        <v>-28.616485539999989</v>
      </c>
      <c r="H2269">
        <v>571.06146217000423</v>
      </c>
      <c r="I2269">
        <v>0</v>
      </c>
      <c r="J2269">
        <v>0</v>
      </c>
      <c r="K2269">
        <v>10.67815568</v>
      </c>
      <c r="L2269">
        <v>140.1</v>
      </c>
      <c r="M2269">
        <v>0</v>
      </c>
      <c r="N2269">
        <v>0</v>
      </c>
      <c r="O2269">
        <v>-23.74396152000822</v>
      </c>
      <c r="P2269">
        <v>212702.65819673991</v>
      </c>
    </row>
    <row r="2270" spans="1:16" x14ac:dyDescent="0.25">
      <c r="A2270" s="10">
        <v>40953</v>
      </c>
      <c r="B2270">
        <v>-1459.286853910161</v>
      </c>
      <c r="C2270">
        <v>154.78899999999999</v>
      </c>
      <c r="D2270">
        <v>0</v>
      </c>
      <c r="E2270">
        <v>0</v>
      </c>
      <c r="F2270">
        <v>0</v>
      </c>
      <c r="G2270">
        <v>-429.4977352599999</v>
      </c>
      <c r="H2270">
        <v>-1250.3600969800029</v>
      </c>
      <c r="I2270">
        <v>0</v>
      </c>
      <c r="J2270">
        <v>0</v>
      </c>
      <c r="K2270">
        <v>6.3097842900000014</v>
      </c>
      <c r="L2270">
        <v>0</v>
      </c>
      <c r="M2270">
        <v>0</v>
      </c>
      <c r="N2270">
        <v>0</v>
      </c>
      <c r="O2270">
        <v>59.472194039841952</v>
      </c>
      <c r="P2270">
        <v>211243.37134282969</v>
      </c>
    </row>
    <row r="2271" spans="1:16" x14ac:dyDescent="0.25">
      <c r="A2271" s="10">
        <v>40954</v>
      </c>
      <c r="B2271">
        <v>46.668243190156772</v>
      </c>
      <c r="C2271">
        <v>130.53</v>
      </c>
      <c r="D2271">
        <v>-700</v>
      </c>
      <c r="E2271">
        <v>1000</v>
      </c>
      <c r="F2271">
        <v>0</v>
      </c>
      <c r="G2271">
        <v>6.1213971099998616</v>
      </c>
      <c r="H2271">
        <v>157.03982579999871</v>
      </c>
      <c r="I2271">
        <v>0</v>
      </c>
      <c r="J2271">
        <v>0</v>
      </c>
      <c r="K2271">
        <v>7.5757189100000026</v>
      </c>
      <c r="L2271">
        <v>-554.79999999999995</v>
      </c>
      <c r="M2271">
        <v>0</v>
      </c>
      <c r="N2271">
        <v>0</v>
      </c>
      <c r="O2271">
        <v>0.20130137015826219</v>
      </c>
      <c r="P2271">
        <v>211290.03958601979</v>
      </c>
    </row>
    <row r="2272" spans="1:16" x14ac:dyDescent="0.25">
      <c r="A2272" s="10">
        <v>40955</v>
      </c>
      <c r="B2272">
        <v>-2984.8121612898549</v>
      </c>
      <c r="C2272">
        <v>2.1769999999999992</v>
      </c>
      <c r="D2272">
        <v>0</v>
      </c>
      <c r="E2272">
        <v>0</v>
      </c>
      <c r="F2272">
        <v>0</v>
      </c>
      <c r="G2272">
        <v>-23.716666609999951</v>
      </c>
      <c r="H2272">
        <v>-2969.5143044300021</v>
      </c>
      <c r="I2272">
        <v>0</v>
      </c>
      <c r="J2272">
        <v>0</v>
      </c>
      <c r="K2272">
        <v>7.6100520999999999</v>
      </c>
      <c r="L2272">
        <v>0</v>
      </c>
      <c r="M2272">
        <v>0</v>
      </c>
      <c r="N2272">
        <v>0</v>
      </c>
      <c r="O2272">
        <v>-1.3682423498527889</v>
      </c>
      <c r="P2272">
        <v>208305.22742473011</v>
      </c>
    </row>
    <row r="2273" spans="1:16" x14ac:dyDescent="0.25">
      <c r="A2273" s="10">
        <v>40956</v>
      </c>
      <c r="B2273">
        <v>-2812.5183354899941</v>
      </c>
      <c r="C2273">
        <v>433.21800000000002</v>
      </c>
      <c r="D2273">
        <v>0</v>
      </c>
      <c r="E2273">
        <v>-1700</v>
      </c>
      <c r="F2273">
        <v>0</v>
      </c>
      <c r="G2273">
        <v>-785.43619923000017</v>
      </c>
      <c r="H2273">
        <v>-849.1436242000018</v>
      </c>
      <c r="I2273">
        <v>0</v>
      </c>
      <c r="J2273">
        <v>5.8500000000003638</v>
      </c>
      <c r="K2273">
        <v>8.602425460000001</v>
      </c>
      <c r="L2273">
        <v>82.2</v>
      </c>
      <c r="M2273">
        <v>0</v>
      </c>
      <c r="N2273">
        <v>0</v>
      </c>
      <c r="O2273">
        <v>-7.8089375199923774</v>
      </c>
      <c r="P2273">
        <v>205492.70908924</v>
      </c>
    </row>
    <row r="2274" spans="1:16" x14ac:dyDescent="0.25">
      <c r="A2274" s="10">
        <v>40961</v>
      </c>
      <c r="B2274">
        <v>8208.0998299997573</v>
      </c>
      <c r="C2274">
        <v>76.653000000000006</v>
      </c>
      <c r="D2274">
        <v>0</v>
      </c>
      <c r="E2274">
        <v>0</v>
      </c>
      <c r="F2274">
        <v>0</v>
      </c>
      <c r="G2274">
        <v>1308.77721174</v>
      </c>
      <c r="H2274">
        <v>7364.3000384100014</v>
      </c>
      <c r="I2274">
        <v>0</v>
      </c>
      <c r="J2274">
        <v>0</v>
      </c>
      <c r="K2274">
        <v>31.83203262000001</v>
      </c>
      <c r="L2274">
        <v>-518.79999999999995</v>
      </c>
      <c r="M2274">
        <v>0</v>
      </c>
      <c r="N2274">
        <v>0</v>
      </c>
      <c r="O2274">
        <v>-54.662452770244272</v>
      </c>
      <c r="P2274">
        <v>213700.80891923979</v>
      </c>
    </row>
    <row r="2275" spans="1:16" x14ac:dyDescent="0.25">
      <c r="A2275" s="10">
        <v>40962</v>
      </c>
      <c r="B2275">
        <v>-7170.3057572499092</v>
      </c>
      <c r="C2275">
        <v>56.598000000000013</v>
      </c>
      <c r="D2275">
        <v>-150</v>
      </c>
      <c r="E2275">
        <v>0</v>
      </c>
      <c r="F2275">
        <v>0</v>
      </c>
      <c r="G2275">
        <v>48.860858729999961</v>
      </c>
      <c r="H2275">
        <v>-7274.7634414000022</v>
      </c>
      <c r="I2275">
        <v>0</v>
      </c>
      <c r="J2275">
        <v>12.5</v>
      </c>
      <c r="K2275">
        <v>11.578714959999999</v>
      </c>
      <c r="L2275">
        <v>147.5</v>
      </c>
      <c r="M2275">
        <v>0</v>
      </c>
      <c r="N2275">
        <v>0</v>
      </c>
      <c r="O2275">
        <v>-22.57988953990753</v>
      </c>
      <c r="P2275">
        <v>206530.50316198991</v>
      </c>
    </row>
    <row r="2276" spans="1:16" x14ac:dyDescent="0.25">
      <c r="A2276" s="10">
        <v>40963</v>
      </c>
      <c r="B2276">
        <v>-3893.7174806899011</v>
      </c>
      <c r="C2276">
        <v>376.64100000000002</v>
      </c>
      <c r="D2276">
        <v>0</v>
      </c>
      <c r="E2276">
        <v>2350</v>
      </c>
      <c r="F2276">
        <v>0</v>
      </c>
      <c r="G2276">
        <v>-761.08387092999988</v>
      </c>
      <c r="H2276">
        <v>-5875.3025494800022</v>
      </c>
      <c r="I2276">
        <v>0</v>
      </c>
      <c r="J2276">
        <v>15.60000000000036</v>
      </c>
      <c r="K2276">
        <v>5.5589113000000001</v>
      </c>
      <c r="L2276">
        <v>0</v>
      </c>
      <c r="M2276">
        <v>0</v>
      </c>
      <c r="N2276">
        <v>0</v>
      </c>
      <c r="O2276">
        <v>-5.1309715798989606</v>
      </c>
      <c r="P2276">
        <v>202636.78568130001</v>
      </c>
    </row>
    <row r="2277" spans="1:16" x14ac:dyDescent="0.25">
      <c r="A2277" s="10">
        <v>40967</v>
      </c>
      <c r="B2277">
        <v>2861.9194877000991</v>
      </c>
      <c r="C2277">
        <v>2.6036800000000011</v>
      </c>
      <c r="D2277">
        <v>-600</v>
      </c>
      <c r="E2277">
        <v>0</v>
      </c>
      <c r="F2277">
        <v>0</v>
      </c>
      <c r="G2277">
        <v>5.0764900100000432</v>
      </c>
      <c r="H2277">
        <v>3426.030030070011</v>
      </c>
      <c r="I2277">
        <v>0</v>
      </c>
      <c r="J2277">
        <v>0</v>
      </c>
      <c r="K2277">
        <v>14.171162430000001</v>
      </c>
      <c r="L2277">
        <v>48.2</v>
      </c>
      <c r="M2277">
        <v>0</v>
      </c>
      <c r="N2277">
        <v>0</v>
      </c>
      <c r="O2277">
        <v>-34.161874809912391</v>
      </c>
      <c r="P2277">
        <v>205498.70516900011</v>
      </c>
    </row>
    <row r="2278" spans="1:16" x14ac:dyDescent="0.25">
      <c r="A2278" s="10">
        <v>40968</v>
      </c>
      <c r="B2278">
        <v>-62.029994150188607</v>
      </c>
      <c r="C2278">
        <v>127.83844999999999</v>
      </c>
      <c r="D2278">
        <v>0</v>
      </c>
      <c r="E2278">
        <v>0</v>
      </c>
      <c r="F2278">
        <v>0</v>
      </c>
      <c r="G2278">
        <v>-82.268911079999953</v>
      </c>
      <c r="H2278">
        <v>31.592979179997201</v>
      </c>
      <c r="I2278">
        <v>0</v>
      </c>
      <c r="J2278">
        <v>0</v>
      </c>
      <c r="K2278">
        <v>16.89767737</v>
      </c>
      <c r="L2278">
        <v>-147.39999999999989</v>
      </c>
      <c r="M2278">
        <v>0</v>
      </c>
      <c r="N2278">
        <v>0</v>
      </c>
      <c r="O2278">
        <v>-8.6901896201859188</v>
      </c>
      <c r="P2278">
        <v>205436.67517484989</v>
      </c>
    </row>
    <row r="2279" spans="1:16" x14ac:dyDescent="0.25">
      <c r="A2279" s="10">
        <v>40969</v>
      </c>
      <c r="B2279">
        <v>9542.6796463400551</v>
      </c>
      <c r="C2279">
        <v>60.839449999999999</v>
      </c>
      <c r="D2279">
        <v>0</v>
      </c>
      <c r="E2279">
        <v>0</v>
      </c>
      <c r="F2279">
        <v>0</v>
      </c>
      <c r="G2279">
        <v>138.20570341999999</v>
      </c>
      <c r="H2279">
        <v>9353.0790766800019</v>
      </c>
      <c r="I2279">
        <v>0</v>
      </c>
      <c r="J2279">
        <v>2.1999999999998181</v>
      </c>
      <c r="K2279">
        <v>12.97539877</v>
      </c>
      <c r="L2279">
        <v>0</v>
      </c>
      <c r="M2279">
        <v>0</v>
      </c>
      <c r="N2279">
        <v>0</v>
      </c>
      <c r="O2279">
        <v>-24.619982529948171</v>
      </c>
      <c r="P2279">
        <v>214979.35482118989</v>
      </c>
    </row>
    <row r="2280" spans="1:16" x14ac:dyDescent="0.25">
      <c r="A2280" s="10">
        <v>40970</v>
      </c>
      <c r="B2280">
        <v>344.37023105996252</v>
      </c>
      <c r="C2280">
        <v>171.51759999999999</v>
      </c>
      <c r="D2280">
        <v>0</v>
      </c>
      <c r="E2280">
        <v>0</v>
      </c>
      <c r="F2280">
        <v>0</v>
      </c>
      <c r="G2280">
        <v>-258.75041379999988</v>
      </c>
      <c r="H2280">
        <v>520.55363537000085</v>
      </c>
      <c r="I2280">
        <v>0</v>
      </c>
      <c r="J2280">
        <v>7.6999999999998181</v>
      </c>
      <c r="K2280">
        <v>9.344729080000004</v>
      </c>
      <c r="L2280">
        <v>0</v>
      </c>
      <c r="M2280">
        <v>0</v>
      </c>
      <c r="N2280">
        <v>0</v>
      </c>
      <c r="O2280">
        <v>-105.99531959003821</v>
      </c>
      <c r="P2280">
        <v>215323.72505224991</v>
      </c>
    </row>
    <row r="2281" spans="1:16" x14ac:dyDescent="0.25">
      <c r="A2281" s="10">
        <v>40973</v>
      </c>
      <c r="B2281">
        <v>-1107.2248166499501</v>
      </c>
      <c r="C2281">
        <v>289.07814999999999</v>
      </c>
      <c r="D2281">
        <v>-500</v>
      </c>
      <c r="E2281">
        <v>0</v>
      </c>
      <c r="F2281">
        <v>0</v>
      </c>
      <c r="G2281">
        <v>20.353374389999889</v>
      </c>
      <c r="H2281">
        <v>-802.94156383000154</v>
      </c>
      <c r="I2281">
        <v>0</v>
      </c>
      <c r="J2281">
        <v>15.69999999999982</v>
      </c>
      <c r="K2281">
        <v>4.4594361899999999</v>
      </c>
      <c r="L2281">
        <v>0</v>
      </c>
      <c r="M2281">
        <v>0</v>
      </c>
      <c r="N2281">
        <v>0</v>
      </c>
      <c r="O2281">
        <v>-133.87421339994839</v>
      </c>
      <c r="P2281">
        <v>214216.50023559999</v>
      </c>
    </row>
    <row r="2282" spans="1:16" x14ac:dyDescent="0.25">
      <c r="A2282" s="10">
        <v>40974</v>
      </c>
      <c r="B2282">
        <v>-562.28163192007878</v>
      </c>
      <c r="C2282">
        <v>281.83999999999997</v>
      </c>
      <c r="D2282">
        <v>0</v>
      </c>
      <c r="E2282">
        <v>0</v>
      </c>
      <c r="F2282">
        <v>0</v>
      </c>
      <c r="G2282">
        <v>-372.40826657000002</v>
      </c>
      <c r="H2282">
        <v>-577.34942120000051</v>
      </c>
      <c r="I2282">
        <v>0</v>
      </c>
      <c r="J2282">
        <v>0</v>
      </c>
      <c r="K2282">
        <v>3.0639968899999999</v>
      </c>
      <c r="L2282">
        <v>23.4</v>
      </c>
      <c r="M2282">
        <v>0</v>
      </c>
      <c r="N2282">
        <v>0</v>
      </c>
      <c r="O2282">
        <v>79.172058959921898</v>
      </c>
      <c r="P2282">
        <v>213654.21860367991</v>
      </c>
    </row>
    <row r="2283" spans="1:16" x14ac:dyDescent="0.25">
      <c r="A2283" s="10">
        <v>40975</v>
      </c>
      <c r="B2283">
        <v>-77.711219740156963</v>
      </c>
      <c r="C2283">
        <v>28.617999999999999</v>
      </c>
      <c r="D2283">
        <v>0</v>
      </c>
      <c r="E2283">
        <v>0</v>
      </c>
      <c r="F2283">
        <v>0</v>
      </c>
      <c r="G2283">
        <v>43.490200390000027</v>
      </c>
      <c r="H2283">
        <v>419.56937657000162</v>
      </c>
      <c r="I2283">
        <v>0</v>
      </c>
      <c r="J2283">
        <v>1.399999999999636</v>
      </c>
      <c r="K2283">
        <v>9.6282735899999974</v>
      </c>
      <c r="L2283">
        <v>-591.1</v>
      </c>
      <c r="M2283">
        <v>0</v>
      </c>
      <c r="N2283">
        <v>0</v>
      </c>
      <c r="O2283">
        <v>10.682929709841771</v>
      </c>
      <c r="P2283">
        <v>213576.50738393969</v>
      </c>
    </row>
    <row r="2284" spans="1:16" x14ac:dyDescent="0.25">
      <c r="A2284" s="10">
        <v>40976</v>
      </c>
      <c r="B2284">
        <v>2128.888029970024</v>
      </c>
      <c r="C2284">
        <v>464.08949999999999</v>
      </c>
      <c r="D2284">
        <v>0</v>
      </c>
      <c r="E2284">
        <v>0</v>
      </c>
      <c r="F2284">
        <v>0</v>
      </c>
      <c r="G2284">
        <v>24.442202409999879</v>
      </c>
      <c r="H2284">
        <v>1657.628484520003</v>
      </c>
      <c r="I2284">
        <v>0</v>
      </c>
      <c r="J2284">
        <v>0.6999999999998181</v>
      </c>
      <c r="K2284">
        <v>-7.2591382800001814</v>
      </c>
      <c r="L2284">
        <v>0</v>
      </c>
      <c r="M2284">
        <v>0</v>
      </c>
      <c r="N2284">
        <v>0</v>
      </c>
      <c r="O2284">
        <v>-10.713018679978269</v>
      </c>
      <c r="P2284">
        <v>215705.39541390969</v>
      </c>
    </row>
    <row r="2285" spans="1:16" x14ac:dyDescent="0.25">
      <c r="A2285" s="10">
        <v>40977</v>
      </c>
      <c r="B2285">
        <v>2839.5676278403571</v>
      </c>
      <c r="C2285">
        <v>154.14099999999999</v>
      </c>
      <c r="D2285">
        <v>0</v>
      </c>
      <c r="E2285">
        <v>0</v>
      </c>
      <c r="F2285">
        <v>0</v>
      </c>
      <c r="G2285">
        <v>460.36507942999998</v>
      </c>
      <c r="H2285">
        <v>2216.400485649996</v>
      </c>
      <c r="I2285">
        <v>0</v>
      </c>
      <c r="J2285">
        <v>0</v>
      </c>
      <c r="K2285">
        <v>6.9930414600000033</v>
      </c>
      <c r="L2285">
        <v>44</v>
      </c>
      <c r="M2285">
        <v>0</v>
      </c>
      <c r="N2285">
        <v>0</v>
      </c>
      <c r="O2285">
        <v>-42.331878699639397</v>
      </c>
      <c r="P2285">
        <v>218544.9630417501</v>
      </c>
    </row>
    <row r="2286" spans="1:16" x14ac:dyDescent="0.25">
      <c r="A2286" s="10">
        <v>40980</v>
      </c>
      <c r="B2286">
        <v>993.61433047001026</v>
      </c>
      <c r="C2286">
        <v>442.66385000000002</v>
      </c>
      <c r="D2286">
        <v>-1200</v>
      </c>
      <c r="E2286">
        <v>0</v>
      </c>
      <c r="F2286">
        <v>0</v>
      </c>
      <c r="G2286">
        <v>374.74939361000008</v>
      </c>
      <c r="H2286">
        <v>1368.559145339997</v>
      </c>
      <c r="I2286">
        <v>0</v>
      </c>
      <c r="J2286">
        <v>0</v>
      </c>
      <c r="K2286">
        <v>8.5980729699999969</v>
      </c>
      <c r="L2286">
        <v>0</v>
      </c>
      <c r="M2286">
        <v>0</v>
      </c>
      <c r="N2286">
        <v>0</v>
      </c>
      <c r="O2286">
        <v>-0.9561314499872422</v>
      </c>
      <c r="P2286">
        <v>219538.57737222011</v>
      </c>
    </row>
    <row r="2287" spans="1:16" x14ac:dyDescent="0.25">
      <c r="A2287" s="10">
        <v>40981</v>
      </c>
      <c r="B2287">
        <v>946.79452873964351</v>
      </c>
      <c r="C2287">
        <v>281.11759999999998</v>
      </c>
      <c r="D2287">
        <v>0</v>
      </c>
      <c r="E2287">
        <v>0</v>
      </c>
      <c r="F2287">
        <v>0</v>
      </c>
      <c r="G2287">
        <v>289.39778621999989</v>
      </c>
      <c r="H2287">
        <v>310.49231884999972</v>
      </c>
      <c r="I2287">
        <v>0</v>
      </c>
      <c r="J2287">
        <v>0</v>
      </c>
      <c r="K2287">
        <v>3.7561071199999989</v>
      </c>
      <c r="L2287">
        <v>0</v>
      </c>
      <c r="M2287">
        <v>0</v>
      </c>
      <c r="N2287">
        <v>0</v>
      </c>
      <c r="O2287">
        <v>62.030716549643742</v>
      </c>
      <c r="P2287">
        <v>220485.37190095981</v>
      </c>
    </row>
    <row r="2288" spans="1:16" x14ac:dyDescent="0.25">
      <c r="A2288" s="10">
        <v>40982</v>
      </c>
      <c r="B2288">
        <v>1794.988988660044</v>
      </c>
      <c r="C2288">
        <v>313.69900000000001</v>
      </c>
      <c r="D2288">
        <v>0</v>
      </c>
      <c r="E2288">
        <v>0</v>
      </c>
      <c r="F2288">
        <v>0</v>
      </c>
      <c r="G2288">
        <v>-97.080698290000001</v>
      </c>
      <c r="H2288">
        <v>1542.5240740200011</v>
      </c>
      <c r="I2288">
        <v>0</v>
      </c>
      <c r="J2288">
        <v>0</v>
      </c>
      <c r="K2288">
        <v>6.23991103</v>
      </c>
      <c r="L2288">
        <v>27.400000000000091</v>
      </c>
      <c r="M2288">
        <v>0</v>
      </c>
      <c r="N2288">
        <v>0</v>
      </c>
      <c r="O2288">
        <v>2.2067019000431181</v>
      </c>
      <c r="P2288">
        <v>222280.3608896198</v>
      </c>
    </row>
    <row r="2289" spans="1:16" x14ac:dyDescent="0.25">
      <c r="A2289" s="10">
        <v>40983</v>
      </c>
      <c r="B2289">
        <v>-3064.9525686299589</v>
      </c>
      <c r="C2289">
        <v>189.2895</v>
      </c>
      <c r="D2289">
        <v>0</v>
      </c>
      <c r="E2289">
        <v>0</v>
      </c>
      <c r="F2289">
        <v>0</v>
      </c>
      <c r="G2289">
        <v>-40.387151119999999</v>
      </c>
      <c r="H2289">
        <v>-3235.6510083599992</v>
      </c>
      <c r="I2289">
        <v>0</v>
      </c>
      <c r="J2289">
        <v>0</v>
      </c>
      <c r="K2289">
        <v>4.6448673599999992</v>
      </c>
      <c r="L2289">
        <v>0</v>
      </c>
      <c r="M2289">
        <v>0</v>
      </c>
      <c r="N2289">
        <v>0</v>
      </c>
      <c r="O2289">
        <v>17.15122349003968</v>
      </c>
      <c r="P2289">
        <v>219215.40832098981</v>
      </c>
    </row>
    <row r="2290" spans="1:16" x14ac:dyDescent="0.25">
      <c r="A2290" s="10">
        <v>40984</v>
      </c>
      <c r="B2290">
        <v>-3163.3115785197292</v>
      </c>
      <c r="C2290">
        <v>690.48950000000002</v>
      </c>
      <c r="D2290">
        <v>0</v>
      </c>
      <c r="E2290">
        <v>-1400</v>
      </c>
      <c r="F2290">
        <v>0</v>
      </c>
      <c r="G2290">
        <v>-81.145170750000034</v>
      </c>
      <c r="H2290">
        <v>-2411.6121909199969</v>
      </c>
      <c r="I2290">
        <v>0</v>
      </c>
      <c r="J2290">
        <v>0</v>
      </c>
      <c r="K2290">
        <v>6.0214239200000002</v>
      </c>
      <c r="L2290">
        <v>36.5</v>
      </c>
      <c r="M2290">
        <v>0</v>
      </c>
      <c r="N2290">
        <v>0</v>
      </c>
      <c r="O2290">
        <v>-3.5651407697319879</v>
      </c>
      <c r="P2290">
        <v>216052.09674247011</v>
      </c>
    </row>
    <row r="2291" spans="1:16" x14ac:dyDescent="0.25">
      <c r="A2291" s="10">
        <v>40987</v>
      </c>
      <c r="B2291">
        <v>-202.99689497012929</v>
      </c>
      <c r="C2291">
        <v>37.031399999999998</v>
      </c>
      <c r="D2291">
        <v>0</v>
      </c>
      <c r="E2291">
        <v>0</v>
      </c>
      <c r="F2291">
        <v>0</v>
      </c>
      <c r="G2291">
        <v>37.206746660000022</v>
      </c>
      <c r="H2291">
        <v>-347.77133493000292</v>
      </c>
      <c r="I2291">
        <v>0</v>
      </c>
      <c r="J2291">
        <v>0</v>
      </c>
      <c r="K2291">
        <v>8.4703668499999996</v>
      </c>
      <c r="L2291">
        <v>54.499999999999993</v>
      </c>
      <c r="M2291">
        <v>0</v>
      </c>
      <c r="N2291">
        <v>0</v>
      </c>
      <c r="O2291">
        <v>7.5659264498735874</v>
      </c>
      <c r="P2291">
        <v>215849.09984750001</v>
      </c>
    </row>
    <row r="2292" spans="1:16" x14ac:dyDescent="0.25">
      <c r="A2292" s="10">
        <v>40988</v>
      </c>
      <c r="B2292">
        <v>-1253.41894754028</v>
      </c>
      <c r="C2292">
        <v>433.358</v>
      </c>
      <c r="D2292">
        <v>-500</v>
      </c>
      <c r="E2292">
        <v>0</v>
      </c>
      <c r="F2292">
        <v>0</v>
      </c>
      <c r="G2292">
        <v>95.44802999999996</v>
      </c>
      <c r="H2292">
        <v>-1280.820232049999</v>
      </c>
      <c r="I2292">
        <v>0</v>
      </c>
      <c r="J2292">
        <v>0</v>
      </c>
      <c r="K2292">
        <v>3.2884062599999999</v>
      </c>
      <c r="L2292">
        <v>0</v>
      </c>
      <c r="M2292">
        <v>0</v>
      </c>
      <c r="N2292">
        <v>0</v>
      </c>
      <c r="O2292">
        <v>-4.693151750281821</v>
      </c>
      <c r="P2292">
        <v>214595.6808999597</v>
      </c>
    </row>
    <row r="2293" spans="1:16" x14ac:dyDescent="0.25">
      <c r="A2293" s="10">
        <v>40989</v>
      </c>
      <c r="B2293">
        <v>1102.917823920144</v>
      </c>
      <c r="C2293">
        <v>242.369</v>
      </c>
      <c r="D2293">
        <v>0</v>
      </c>
      <c r="E2293">
        <v>0</v>
      </c>
      <c r="F2293">
        <v>0</v>
      </c>
      <c r="G2293">
        <v>72.307669880000006</v>
      </c>
      <c r="H2293">
        <v>916.21001618999799</v>
      </c>
      <c r="I2293">
        <v>0</v>
      </c>
      <c r="J2293">
        <v>17.39999999999964</v>
      </c>
      <c r="K2293">
        <v>5.4732846300000002</v>
      </c>
      <c r="L2293">
        <v>-132.7000000000001</v>
      </c>
      <c r="M2293">
        <v>0</v>
      </c>
      <c r="N2293">
        <v>0</v>
      </c>
      <c r="O2293">
        <v>-18.142146779854151</v>
      </c>
      <c r="P2293">
        <v>215698.59872387981</v>
      </c>
    </row>
    <row r="2294" spans="1:16" x14ac:dyDescent="0.25">
      <c r="A2294" s="10">
        <v>40990</v>
      </c>
      <c r="B2294">
        <v>2621.7432994099222</v>
      </c>
      <c r="C2294">
        <v>264.12360000000001</v>
      </c>
      <c r="D2294">
        <v>0</v>
      </c>
      <c r="E2294">
        <v>1400</v>
      </c>
      <c r="F2294">
        <v>0</v>
      </c>
      <c r="G2294">
        <v>109.7485805999999</v>
      </c>
      <c r="H2294">
        <v>885.89967486000023</v>
      </c>
      <c r="I2294">
        <v>0</v>
      </c>
      <c r="J2294">
        <v>0</v>
      </c>
      <c r="K2294">
        <v>6.6142635500000013</v>
      </c>
      <c r="L2294">
        <v>0</v>
      </c>
      <c r="M2294">
        <v>0</v>
      </c>
      <c r="N2294">
        <v>0</v>
      </c>
      <c r="O2294">
        <v>-44.642819600078568</v>
      </c>
      <c r="P2294">
        <v>218320.34202328979</v>
      </c>
    </row>
    <row r="2295" spans="1:16" x14ac:dyDescent="0.25">
      <c r="A2295" s="10">
        <v>40991</v>
      </c>
      <c r="B2295">
        <v>-4088.4964209500458</v>
      </c>
      <c r="C2295">
        <v>578.65650000000005</v>
      </c>
      <c r="D2295">
        <v>0</v>
      </c>
      <c r="E2295">
        <v>-3100</v>
      </c>
      <c r="F2295">
        <v>0</v>
      </c>
      <c r="G2295">
        <v>-799.38049593999995</v>
      </c>
      <c r="H2295">
        <v>-794.08392331000505</v>
      </c>
      <c r="I2295">
        <v>0</v>
      </c>
      <c r="J2295">
        <v>4.75</v>
      </c>
      <c r="K2295">
        <v>7.8821556000000008</v>
      </c>
      <c r="L2295">
        <v>56.2</v>
      </c>
      <c r="M2295">
        <v>0</v>
      </c>
      <c r="N2295">
        <v>0</v>
      </c>
      <c r="O2295">
        <v>-42.520657300041968</v>
      </c>
      <c r="P2295">
        <v>214231.84560233969</v>
      </c>
    </row>
    <row r="2296" spans="1:16" x14ac:dyDescent="0.25">
      <c r="A2296" s="10">
        <v>40994</v>
      </c>
      <c r="B2296">
        <v>-1780.721882860003</v>
      </c>
      <c r="C2296">
        <v>266.6105</v>
      </c>
      <c r="D2296">
        <v>0</v>
      </c>
      <c r="E2296">
        <v>0</v>
      </c>
      <c r="F2296">
        <v>0</v>
      </c>
      <c r="G2296">
        <v>561.56733507000013</v>
      </c>
      <c r="H2296">
        <v>-2592.106327619993</v>
      </c>
      <c r="I2296">
        <v>0</v>
      </c>
      <c r="J2296">
        <v>0</v>
      </c>
      <c r="K2296">
        <v>8.3347948999999986</v>
      </c>
      <c r="L2296">
        <v>0</v>
      </c>
      <c r="M2296">
        <v>0</v>
      </c>
      <c r="N2296">
        <v>0</v>
      </c>
      <c r="O2296">
        <v>-25.128185210010539</v>
      </c>
      <c r="P2296">
        <v>212451.12371947971</v>
      </c>
    </row>
    <row r="2297" spans="1:16" x14ac:dyDescent="0.25">
      <c r="A2297" s="10">
        <v>40995</v>
      </c>
      <c r="B2297">
        <v>1379.7008985601999</v>
      </c>
      <c r="C2297">
        <v>363.37594999999999</v>
      </c>
      <c r="D2297">
        <v>0</v>
      </c>
      <c r="E2297">
        <v>0</v>
      </c>
      <c r="F2297">
        <v>0</v>
      </c>
      <c r="G2297">
        <v>162.51634662000001</v>
      </c>
      <c r="H2297">
        <v>829.61481833999642</v>
      </c>
      <c r="I2297">
        <v>0</v>
      </c>
      <c r="J2297">
        <v>33.899999999999643</v>
      </c>
      <c r="K2297">
        <v>4.7808407400000004</v>
      </c>
      <c r="L2297">
        <v>0</v>
      </c>
      <c r="M2297">
        <v>0</v>
      </c>
      <c r="N2297">
        <v>0</v>
      </c>
      <c r="O2297">
        <v>-14.487057139796111</v>
      </c>
      <c r="P2297">
        <v>213830.82461803989</v>
      </c>
    </row>
    <row r="2298" spans="1:16" x14ac:dyDescent="0.25">
      <c r="A2298" s="10">
        <v>40996</v>
      </c>
      <c r="B2298">
        <v>1041.8513236100559</v>
      </c>
      <c r="C2298">
        <v>462.35124000000002</v>
      </c>
      <c r="D2298">
        <v>0</v>
      </c>
      <c r="E2298">
        <v>0</v>
      </c>
      <c r="F2298">
        <v>0</v>
      </c>
      <c r="G2298">
        <v>6.9301106199999936</v>
      </c>
      <c r="H2298">
        <v>347.23445563999849</v>
      </c>
      <c r="I2298">
        <v>0</v>
      </c>
      <c r="J2298">
        <v>0</v>
      </c>
      <c r="K2298">
        <v>6.5563364200000027</v>
      </c>
      <c r="L2298">
        <v>239.8</v>
      </c>
      <c r="M2298">
        <v>0</v>
      </c>
      <c r="N2298">
        <v>0</v>
      </c>
      <c r="O2298">
        <v>-21.020819069941989</v>
      </c>
      <c r="P2298">
        <v>214872.67594165</v>
      </c>
    </row>
    <row r="2299" spans="1:16" x14ac:dyDescent="0.25">
      <c r="A2299" s="10">
        <v>40997</v>
      </c>
      <c r="B2299">
        <v>-1205.8432739199179</v>
      </c>
      <c r="C2299">
        <v>358.87700000000001</v>
      </c>
      <c r="D2299">
        <v>-1500</v>
      </c>
      <c r="E2299">
        <v>4900</v>
      </c>
      <c r="F2299">
        <v>2250</v>
      </c>
      <c r="G2299">
        <v>-1936.1969333300001</v>
      </c>
      <c r="H2299">
        <v>-5302.9751540999932</v>
      </c>
      <c r="I2299">
        <v>0</v>
      </c>
      <c r="J2299">
        <v>0</v>
      </c>
      <c r="K2299">
        <v>8.0064550000000025</v>
      </c>
      <c r="L2299">
        <v>0</v>
      </c>
      <c r="M2299">
        <v>0</v>
      </c>
      <c r="N2299">
        <v>0</v>
      </c>
      <c r="O2299">
        <v>16.44535851007458</v>
      </c>
      <c r="P2299">
        <v>213666.83266773011</v>
      </c>
    </row>
    <row r="2300" spans="1:16" x14ac:dyDescent="0.25">
      <c r="A2300" s="10">
        <v>40998</v>
      </c>
      <c r="B2300">
        <v>6958.9057927097301</v>
      </c>
      <c r="C2300">
        <v>442.17727000000002</v>
      </c>
      <c r="D2300">
        <v>0</v>
      </c>
      <c r="E2300">
        <v>0</v>
      </c>
      <c r="F2300">
        <v>0</v>
      </c>
      <c r="G2300">
        <v>121.11755719</v>
      </c>
      <c r="H2300">
        <v>6417.6374992099882</v>
      </c>
      <c r="I2300">
        <v>0</v>
      </c>
      <c r="J2300">
        <v>0</v>
      </c>
      <c r="K2300">
        <v>10.197779390000001</v>
      </c>
      <c r="L2300">
        <v>0</v>
      </c>
      <c r="M2300">
        <v>0</v>
      </c>
      <c r="N2300">
        <v>0</v>
      </c>
      <c r="O2300">
        <v>-32.224313080257708</v>
      </c>
      <c r="P2300">
        <v>220625.73846043981</v>
      </c>
    </row>
    <row r="2301" spans="1:16" x14ac:dyDescent="0.25">
      <c r="A2301" s="10">
        <v>41002</v>
      </c>
      <c r="B2301">
        <v>2462.713163669976</v>
      </c>
      <c r="C2301">
        <v>396.92099999999999</v>
      </c>
      <c r="D2301">
        <v>-1800</v>
      </c>
      <c r="E2301">
        <v>0</v>
      </c>
      <c r="F2301">
        <v>0</v>
      </c>
      <c r="G2301">
        <v>1876.39752434</v>
      </c>
      <c r="H2301">
        <v>1951.2333518599989</v>
      </c>
      <c r="I2301">
        <v>0</v>
      </c>
      <c r="J2301">
        <v>0</v>
      </c>
      <c r="K2301">
        <v>18.816658110000009</v>
      </c>
      <c r="L2301">
        <v>23.399999999999991</v>
      </c>
      <c r="M2301">
        <v>0</v>
      </c>
      <c r="N2301">
        <v>0</v>
      </c>
      <c r="O2301">
        <v>-4.0553706400225558</v>
      </c>
      <c r="P2301">
        <v>223088.45162410979</v>
      </c>
    </row>
    <row r="2302" spans="1:16" x14ac:dyDescent="0.25">
      <c r="A2302" s="10">
        <v>41003</v>
      </c>
      <c r="B2302">
        <v>-1445.4236927697791</v>
      </c>
      <c r="C2302">
        <v>89.924000000000007</v>
      </c>
      <c r="D2302">
        <v>0</v>
      </c>
      <c r="E2302">
        <v>0</v>
      </c>
      <c r="F2302">
        <v>0</v>
      </c>
      <c r="G2302">
        <v>-261.78823123000001</v>
      </c>
      <c r="H2302">
        <v>-1266.6320345699969</v>
      </c>
      <c r="I2302">
        <v>0</v>
      </c>
      <c r="J2302">
        <v>0</v>
      </c>
      <c r="K2302">
        <v>4.4875359599999998</v>
      </c>
      <c r="L2302">
        <v>-126.8</v>
      </c>
      <c r="M2302">
        <v>0</v>
      </c>
      <c r="N2302">
        <v>0</v>
      </c>
      <c r="O2302">
        <v>115.38503707021729</v>
      </c>
      <c r="P2302">
        <v>221643.02793134001</v>
      </c>
    </row>
    <row r="2303" spans="1:16" x14ac:dyDescent="0.25">
      <c r="A2303" s="10">
        <v>41008</v>
      </c>
      <c r="B2303">
        <v>-2678.7924371201661</v>
      </c>
      <c r="C2303">
        <v>359.48500000000001</v>
      </c>
      <c r="D2303">
        <v>0</v>
      </c>
      <c r="E2303">
        <v>-2650</v>
      </c>
      <c r="F2303">
        <v>0</v>
      </c>
      <c r="G2303">
        <v>84.254453460000178</v>
      </c>
      <c r="H2303">
        <v>-519.11270630999934</v>
      </c>
      <c r="I2303">
        <v>0</v>
      </c>
      <c r="J2303">
        <v>0</v>
      </c>
      <c r="K2303">
        <v>15.282183549999999</v>
      </c>
      <c r="L2303">
        <v>78.600000000000009</v>
      </c>
      <c r="M2303">
        <v>0</v>
      </c>
      <c r="N2303">
        <v>0</v>
      </c>
      <c r="O2303">
        <v>-47.30136782016698</v>
      </c>
      <c r="P2303">
        <v>218964.23549421981</v>
      </c>
    </row>
    <row r="2304" spans="1:16" x14ac:dyDescent="0.25">
      <c r="A2304" s="10">
        <v>41009</v>
      </c>
      <c r="B2304">
        <v>978.76064960035842</v>
      </c>
      <c r="C2304">
        <v>668.44899299999997</v>
      </c>
      <c r="D2304">
        <v>0</v>
      </c>
      <c r="E2304">
        <v>0</v>
      </c>
      <c r="F2304">
        <v>0</v>
      </c>
      <c r="G2304">
        <v>38.973690379999972</v>
      </c>
      <c r="H2304">
        <v>324.23907759999929</v>
      </c>
      <c r="I2304">
        <v>0</v>
      </c>
      <c r="J2304">
        <v>0</v>
      </c>
      <c r="K2304">
        <v>7.6741483700000028</v>
      </c>
      <c r="L2304">
        <v>0</v>
      </c>
      <c r="M2304">
        <v>0</v>
      </c>
      <c r="N2304">
        <v>0</v>
      </c>
      <c r="O2304">
        <v>-60.575259749640693</v>
      </c>
      <c r="P2304">
        <v>219942.9961438202</v>
      </c>
    </row>
    <row r="2305" spans="1:16" x14ac:dyDescent="0.25">
      <c r="A2305" s="10">
        <v>41010</v>
      </c>
      <c r="B2305">
        <v>2213.6579048397271</v>
      </c>
      <c r="C2305">
        <v>863.97329999999999</v>
      </c>
      <c r="D2305">
        <v>0</v>
      </c>
      <c r="E2305">
        <v>0</v>
      </c>
      <c r="F2305">
        <v>0</v>
      </c>
      <c r="G2305">
        <v>40.208444009999987</v>
      </c>
      <c r="H2305">
        <v>967.89818173999811</v>
      </c>
      <c r="I2305">
        <v>0</v>
      </c>
      <c r="J2305">
        <v>0</v>
      </c>
      <c r="K2305">
        <v>10.965176870000001</v>
      </c>
      <c r="L2305">
        <v>260</v>
      </c>
      <c r="M2305">
        <v>0</v>
      </c>
      <c r="N2305">
        <v>0</v>
      </c>
      <c r="O2305">
        <v>70.612802219728479</v>
      </c>
      <c r="P2305">
        <v>222156.6540486599</v>
      </c>
    </row>
    <row r="2306" spans="1:16" x14ac:dyDescent="0.25">
      <c r="A2306" s="10">
        <v>41011</v>
      </c>
      <c r="B2306">
        <v>1950.733884360294</v>
      </c>
      <c r="C2306">
        <v>847.51949999999999</v>
      </c>
      <c r="D2306">
        <v>0</v>
      </c>
      <c r="E2306">
        <v>2700</v>
      </c>
      <c r="F2306">
        <v>0</v>
      </c>
      <c r="G2306">
        <v>-315.54232173000008</v>
      </c>
      <c r="H2306">
        <v>-1214.3277558099981</v>
      </c>
      <c r="I2306">
        <v>0</v>
      </c>
      <c r="J2306">
        <v>-24</v>
      </c>
      <c r="K2306">
        <v>2.0962796899999998</v>
      </c>
      <c r="L2306">
        <v>0</v>
      </c>
      <c r="M2306">
        <v>0</v>
      </c>
      <c r="N2306">
        <v>0</v>
      </c>
      <c r="O2306">
        <v>-45.011817789708488</v>
      </c>
      <c r="P2306">
        <v>224107.38793302019</v>
      </c>
    </row>
    <row r="2307" spans="1:16" x14ac:dyDescent="0.25">
      <c r="A2307" s="10">
        <v>41012</v>
      </c>
      <c r="B2307">
        <v>-1640.326374510099</v>
      </c>
      <c r="C2307">
        <v>891.28470000000004</v>
      </c>
      <c r="D2307">
        <v>0</v>
      </c>
      <c r="E2307">
        <v>0</v>
      </c>
      <c r="F2307">
        <v>0</v>
      </c>
      <c r="G2307">
        <v>-394.80611073</v>
      </c>
      <c r="H2307">
        <v>-2152.332393969999</v>
      </c>
      <c r="I2307">
        <v>0</v>
      </c>
      <c r="J2307">
        <v>0</v>
      </c>
      <c r="K2307">
        <v>2.0195742399999999</v>
      </c>
      <c r="L2307">
        <v>0</v>
      </c>
      <c r="M2307">
        <v>0</v>
      </c>
      <c r="N2307">
        <v>0</v>
      </c>
      <c r="O2307">
        <v>13.507855949899749</v>
      </c>
      <c r="P2307">
        <v>222467.06155851009</v>
      </c>
    </row>
    <row r="2308" spans="1:16" x14ac:dyDescent="0.25">
      <c r="A2308" s="10">
        <v>41015</v>
      </c>
      <c r="B2308">
        <v>1048.3445145299211</v>
      </c>
      <c r="C2308">
        <v>184.5455</v>
      </c>
      <c r="D2308">
        <v>0</v>
      </c>
      <c r="E2308">
        <v>0</v>
      </c>
      <c r="F2308">
        <v>0</v>
      </c>
      <c r="G2308">
        <v>-13.849998590000039</v>
      </c>
      <c r="H2308">
        <v>890.95447878999767</v>
      </c>
      <c r="I2308">
        <v>0</v>
      </c>
      <c r="J2308">
        <v>0</v>
      </c>
      <c r="K2308">
        <v>10.056147169999999</v>
      </c>
      <c r="L2308">
        <v>0</v>
      </c>
      <c r="M2308">
        <v>0</v>
      </c>
      <c r="N2308">
        <v>0</v>
      </c>
      <c r="O2308">
        <v>-23.361612840076809</v>
      </c>
      <c r="P2308">
        <v>223515.40607304001</v>
      </c>
    </row>
    <row r="2309" spans="1:16" x14ac:dyDescent="0.25">
      <c r="A2309" s="10">
        <v>41016</v>
      </c>
      <c r="B2309">
        <v>-2482.2691242500159</v>
      </c>
      <c r="C2309">
        <v>595.61129999999991</v>
      </c>
      <c r="D2309">
        <v>-500</v>
      </c>
      <c r="E2309">
        <v>0</v>
      </c>
      <c r="F2309">
        <v>0</v>
      </c>
      <c r="G2309">
        <v>-108.42920166</v>
      </c>
      <c r="H2309">
        <v>-2524.1136472500002</v>
      </c>
      <c r="I2309">
        <v>0</v>
      </c>
      <c r="J2309">
        <v>0</v>
      </c>
      <c r="K2309">
        <v>6.5538233500000027</v>
      </c>
      <c r="L2309">
        <v>0</v>
      </c>
      <c r="M2309">
        <v>0</v>
      </c>
      <c r="N2309">
        <v>0</v>
      </c>
      <c r="O2309">
        <v>48.108601309984351</v>
      </c>
      <c r="P2309">
        <v>221033.13694878999</v>
      </c>
    </row>
    <row r="2310" spans="1:16" x14ac:dyDescent="0.25">
      <c r="A2310" s="10">
        <v>41017</v>
      </c>
      <c r="B2310">
        <v>-342.31136510017649</v>
      </c>
      <c r="C2310">
        <v>99.008499999999998</v>
      </c>
      <c r="D2310">
        <v>0</v>
      </c>
      <c r="E2310">
        <v>0</v>
      </c>
      <c r="F2310">
        <v>0</v>
      </c>
      <c r="G2310">
        <v>-15.309355279999981</v>
      </c>
      <c r="H2310">
        <v>121.786868500003</v>
      </c>
      <c r="I2310">
        <v>0</v>
      </c>
      <c r="J2310">
        <v>1.100000000000364</v>
      </c>
      <c r="K2310">
        <v>9.2618371999999987</v>
      </c>
      <c r="L2310">
        <v>-701.4</v>
      </c>
      <c r="M2310">
        <v>0</v>
      </c>
      <c r="N2310">
        <v>0</v>
      </c>
      <c r="O2310">
        <v>143.24078447982009</v>
      </c>
      <c r="P2310">
        <v>220690.82558368979</v>
      </c>
    </row>
    <row r="2311" spans="1:16" x14ac:dyDescent="0.25">
      <c r="A2311" s="10">
        <v>41018</v>
      </c>
      <c r="B2311">
        <v>-841.28741398011255</v>
      </c>
      <c r="C2311">
        <v>229.04499999999999</v>
      </c>
      <c r="D2311">
        <v>0</v>
      </c>
      <c r="E2311">
        <v>800</v>
      </c>
      <c r="F2311">
        <v>0</v>
      </c>
      <c r="G2311">
        <v>-443.88986163000021</v>
      </c>
      <c r="H2311">
        <v>-1504.919674359993</v>
      </c>
      <c r="I2311">
        <v>0</v>
      </c>
      <c r="J2311">
        <v>11.5</v>
      </c>
      <c r="K2311">
        <v>5.4098156799999986</v>
      </c>
      <c r="L2311">
        <v>79</v>
      </c>
      <c r="M2311">
        <v>0</v>
      </c>
      <c r="N2311">
        <v>0</v>
      </c>
      <c r="O2311">
        <v>-17.432693670119029</v>
      </c>
      <c r="P2311">
        <v>219849.5381697097</v>
      </c>
    </row>
    <row r="2312" spans="1:16" x14ac:dyDescent="0.25">
      <c r="A2312" s="10">
        <v>41019</v>
      </c>
      <c r="B2312">
        <v>-5155.0284990899072</v>
      </c>
      <c r="C2312">
        <v>209.23755</v>
      </c>
      <c r="D2312">
        <v>0</v>
      </c>
      <c r="E2312">
        <v>-2450</v>
      </c>
      <c r="F2312">
        <v>0</v>
      </c>
      <c r="G2312">
        <v>416.89319499999999</v>
      </c>
      <c r="H2312">
        <v>-3399.8669802200061</v>
      </c>
      <c r="I2312">
        <v>0</v>
      </c>
      <c r="J2312">
        <v>50.699999999999818</v>
      </c>
      <c r="K2312">
        <v>7.6205912199999997</v>
      </c>
      <c r="L2312">
        <v>0</v>
      </c>
      <c r="M2312">
        <v>0</v>
      </c>
      <c r="N2312">
        <v>0</v>
      </c>
      <c r="O2312">
        <v>10.38714491009832</v>
      </c>
      <c r="P2312">
        <v>214694.50967061979</v>
      </c>
    </row>
    <row r="2313" spans="1:16" x14ac:dyDescent="0.25">
      <c r="A2313" s="10">
        <v>41022</v>
      </c>
      <c r="B2313">
        <v>-449.28955486969733</v>
      </c>
      <c r="C2313">
        <v>-2.2035</v>
      </c>
      <c r="D2313">
        <v>0</v>
      </c>
      <c r="E2313">
        <v>0</v>
      </c>
      <c r="F2313">
        <v>0</v>
      </c>
      <c r="G2313">
        <v>65.103801120000014</v>
      </c>
      <c r="H2313">
        <v>-522.92797090000022</v>
      </c>
      <c r="I2313">
        <v>0</v>
      </c>
      <c r="J2313">
        <v>12.30000000000018</v>
      </c>
      <c r="K2313">
        <v>12.0244135</v>
      </c>
      <c r="L2313">
        <v>0</v>
      </c>
      <c r="M2313">
        <v>0</v>
      </c>
      <c r="N2313">
        <v>0</v>
      </c>
      <c r="O2313">
        <v>-13.586298589697201</v>
      </c>
      <c r="P2313">
        <v>214245.2201157501</v>
      </c>
    </row>
    <row r="2314" spans="1:16" x14ac:dyDescent="0.25">
      <c r="A2314" s="10">
        <v>41023</v>
      </c>
      <c r="B2314">
        <v>-1308.611441349932</v>
      </c>
      <c r="C2314">
        <v>291.096</v>
      </c>
      <c r="D2314">
        <v>0</v>
      </c>
      <c r="E2314">
        <v>0</v>
      </c>
      <c r="F2314">
        <v>0</v>
      </c>
      <c r="G2314">
        <v>-168.44668775</v>
      </c>
      <c r="H2314">
        <v>-1493.7345086400089</v>
      </c>
      <c r="I2314">
        <v>0</v>
      </c>
      <c r="J2314">
        <v>64.100000000000364</v>
      </c>
      <c r="K2314">
        <v>7.9243413600000014</v>
      </c>
      <c r="L2314">
        <v>24.9</v>
      </c>
      <c r="M2314">
        <v>0</v>
      </c>
      <c r="N2314">
        <v>0</v>
      </c>
      <c r="O2314">
        <v>-34.450586319923879</v>
      </c>
      <c r="P2314">
        <v>212936.6086744002</v>
      </c>
    </row>
    <row r="2315" spans="1:16" x14ac:dyDescent="0.25">
      <c r="A2315" s="10">
        <v>41024</v>
      </c>
      <c r="B2315">
        <v>9258.1473073396774</v>
      </c>
      <c r="C2315">
        <v>-2.2069999999999999</v>
      </c>
      <c r="D2315">
        <v>0</v>
      </c>
      <c r="E2315">
        <v>0</v>
      </c>
      <c r="F2315">
        <v>0</v>
      </c>
      <c r="G2315">
        <v>936.88165550999997</v>
      </c>
      <c r="H2315">
        <v>9604.0817318900044</v>
      </c>
      <c r="I2315">
        <v>0</v>
      </c>
      <c r="J2315">
        <v>26.699999999999822</v>
      </c>
      <c r="K2315">
        <v>9.4682361799999999</v>
      </c>
      <c r="L2315">
        <v>-1332.5</v>
      </c>
      <c r="M2315">
        <v>0</v>
      </c>
      <c r="N2315">
        <v>0</v>
      </c>
      <c r="O2315">
        <v>15.72268375967178</v>
      </c>
      <c r="P2315">
        <v>222194.75598173981</v>
      </c>
    </row>
    <row r="2316" spans="1:16" x14ac:dyDescent="0.25">
      <c r="A2316" s="10">
        <v>41025</v>
      </c>
      <c r="B2316">
        <v>598.87712679989784</v>
      </c>
      <c r="C2316">
        <v>576.05849999999998</v>
      </c>
      <c r="D2316">
        <v>0</v>
      </c>
      <c r="E2316">
        <v>3500</v>
      </c>
      <c r="F2316">
        <v>0</v>
      </c>
      <c r="G2316">
        <v>-57.656652050000218</v>
      </c>
      <c r="H2316">
        <v>-3506.7394178999971</v>
      </c>
      <c r="I2316">
        <v>0</v>
      </c>
      <c r="J2316">
        <v>1.399999999999636</v>
      </c>
      <c r="K2316">
        <v>7.1318468899999976</v>
      </c>
      <c r="L2316">
        <v>73.599999999999994</v>
      </c>
      <c r="M2316">
        <v>0</v>
      </c>
      <c r="N2316">
        <v>0</v>
      </c>
      <c r="O2316">
        <v>5.0828498598947132</v>
      </c>
      <c r="P2316">
        <v>222793.63310853971</v>
      </c>
    </row>
    <row r="2317" spans="1:16" x14ac:dyDescent="0.25">
      <c r="A2317" s="10">
        <v>41026</v>
      </c>
      <c r="B2317">
        <v>120.5185526501146</v>
      </c>
      <c r="C2317">
        <v>982.36950000000002</v>
      </c>
      <c r="D2317">
        <v>0</v>
      </c>
      <c r="E2317">
        <v>0</v>
      </c>
      <c r="F2317">
        <v>0</v>
      </c>
      <c r="G2317">
        <v>27.114245189999561</v>
      </c>
      <c r="H2317">
        <v>-1062.8451283000029</v>
      </c>
      <c r="I2317">
        <v>0</v>
      </c>
      <c r="J2317">
        <v>0</v>
      </c>
      <c r="K2317">
        <v>10.308565010000001</v>
      </c>
      <c r="L2317">
        <v>169.61</v>
      </c>
      <c r="M2317">
        <v>0</v>
      </c>
      <c r="N2317">
        <v>0</v>
      </c>
      <c r="O2317">
        <v>-6.0386292498818328</v>
      </c>
      <c r="P2317">
        <v>222914.15166118991</v>
      </c>
    </row>
    <row r="2318" spans="1:16" x14ac:dyDescent="0.25">
      <c r="A2318" s="10">
        <v>41031</v>
      </c>
      <c r="B2318">
        <v>6936.954537519895</v>
      </c>
      <c r="C2318">
        <v>-2.9589999999999939</v>
      </c>
      <c r="D2318">
        <v>0</v>
      </c>
      <c r="E2318">
        <v>0</v>
      </c>
      <c r="F2318">
        <v>0</v>
      </c>
      <c r="G2318">
        <v>-72.353823169999941</v>
      </c>
      <c r="H2318">
        <v>6941.2957885099968</v>
      </c>
      <c r="I2318">
        <v>0</v>
      </c>
      <c r="J2318">
        <v>-0.3999999999996362</v>
      </c>
      <c r="K2318">
        <v>28.135756990000001</v>
      </c>
      <c r="L2318">
        <v>37.899999999999991</v>
      </c>
      <c r="M2318">
        <v>0</v>
      </c>
      <c r="N2318">
        <v>0</v>
      </c>
      <c r="O2318">
        <v>5.3358151898983124</v>
      </c>
      <c r="P2318">
        <v>229851.10619870969</v>
      </c>
    </row>
    <row r="2319" spans="1:16" x14ac:dyDescent="0.25">
      <c r="A2319" s="10">
        <v>41032</v>
      </c>
      <c r="B2319">
        <v>-6911.0218586199908</v>
      </c>
      <c r="C2319">
        <v>-211.97919999999999</v>
      </c>
      <c r="D2319">
        <v>0</v>
      </c>
      <c r="E2319">
        <v>0</v>
      </c>
      <c r="F2319">
        <v>0</v>
      </c>
      <c r="G2319">
        <v>-326.82888375999988</v>
      </c>
      <c r="H2319">
        <v>-6404.9536232999963</v>
      </c>
      <c r="I2319">
        <v>0</v>
      </c>
      <c r="J2319">
        <v>0</v>
      </c>
      <c r="K2319">
        <v>6.5804023999999988</v>
      </c>
      <c r="L2319">
        <v>0</v>
      </c>
      <c r="M2319">
        <v>0</v>
      </c>
      <c r="N2319">
        <v>0</v>
      </c>
      <c r="O2319">
        <v>26.15944604000542</v>
      </c>
      <c r="P2319">
        <v>222940.08434008979</v>
      </c>
    </row>
    <row r="2320" spans="1:16" x14ac:dyDescent="0.25">
      <c r="A2320" s="10">
        <v>41033</v>
      </c>
      <c r="B2320">
        <v>-695.14848847960764</v>
      </c>
      <c r="C2320">
        <v>781.39</v>
      </c>
      <c r="D2320">
        <v>0</v>
      </c>
      <c r="E2320">
        <v>0</v>
      </c>
      <c r="F2320">
        <v>0</v>
      </c>
      <c r="G2320">
        <v>-100.05809012</v>
      </c>
      <c r="H2320">
        <v>-1376.2180474400011</v>
      </c>
      <c r="I2320">
        <v>0</v>
      </c>
      <c r="J2320">
        <v>0</v>
      </c>
      <c r="K2320">
        <v>9.7467828299999955</v>
      </c>
      <c r="L2320">
        <v>0</v>
      </c>
      <c r="M2320">
        <v>0</v>
      </c>
      <c r="N2320">
        <v>0</v>
      </c>
      <c r="O2320">
        <v>-10.00913374960653</v>
      </c>
      <c r="P2320">
        <v>222244.93585161009</v>
      </c>
    </row>
    <row r="2321" spans="1:16" x14ac:dyDescent="0.25">
      <c r="A2321" s="10">
        <v>41036</v>
      </c>
      <c r="B2321">
        <v>-1475.019568860414</v>
      </c>
      <c r="C2321">
        <v>280.30038000000002</v>
      </c>
      <c r="D2321">
        <v>0</v>
      </c>
      <c r="E2321">
        <v>0</v>
      </c>
      <c r="F2321">
        <v>0</v>
      </c>
      <c r="G2321">
        <v>129.73168003999999</v>
      </c>
      <c r="H2321">
        <v>-2025.8279649799949</v>
      </c>
      <c r="I2321">
        <v>0</v>
      </c>
      <c r="J2321">
        <v>4.1000000000003638</v>
      </c>
      <c r="K2321">
        <v>9.4579919099999969</v>
      </c>
      <c r="L2321">
        <v>0</v>
      </c>
      <c r="M2321">
        <v>0</v>
      </c>
      <c r="N2321">
        <v>0</v>
      </c>
      <c r="O2321">
        <v>127.2183441695806</v>
      </c>
      <c r="P2321">
        <v>220769.91628274971</v>
      </c>
    </row>
    <row r="2322" spans="1:16" x14ac:dyDescent="0.25">
      <c r="A2322" s="10">
        <v>41037</v>
      </c>
      <c r="B2322">
        <v>-639.80119719982201</v>
      </c>
      <c r="C2322">
        <v>321.70004999999998</v>
      </c>
      <c r="D2322">
        <v>0</v>
      </c>
      <c r="E2322">
        <v>0</v>
      </c>
      <c r="F2322">
        <v>0</v>
      </c>
      <c r="G2322">
        <v>-263.27320466999998</v>
      </c>
      <c r="H2322">
        <v>-881.05936309000026</v>
      </c>
      <c r="I2322">
        <v>0</v>
      </c>
      <c r="J2322">
        <v>165</v>
      </c>
      <c r="K2322">
        <v>2.7704316900000001</v>
      </c>
      <c r="L2322">
        <v>0</v>
      </c>
      <c r="M2322">
        <v>0</v>
      </c>
      <c r="N2322">
        <v>0</v>
      </c>
      <c r="O2322">
        <v>15.060888870178131</v>
      </c>
      <c r="P2322">
        <v>220130.11508554991</v>
      </c>
    </row>
    <row r="2323" spans="1:16" x14ac:dyDescent="0.25">
      <c r="A2323" s="10">
        <v>41038</v>
      </c>
      <c r="B2323">
        <v>480.78283650004897</v>
      </c>
      <c r="C2323">
        <v>-91.001000000000005</v>
      </c>
      <c r="D2323">
        <v>0</v>
      </c>
      <c r="E2323">
        <v>0</v>
      </c>
      <c r="F2323">
        <v>0</v>
      </c>
      <c r="G2323">
        <v>6.3067380999999614</v>
      </c>
      <c r="H2323">
        <v>1547.6190043599929</v>
      </c>
      <c r="I2323">
        <v>0</v>
      </c>
      <c r="J2323">
        <v>-8.5</v>
      </c>
      <c r="K2323">
        <v>-9.1639559399999104</v>
      </c>
      <c r="L2323">
        <v>-965.5</v>
      </c>
      <c r="M2323">
        <v>0</v>
      </c>
      <c r="N2323">
        <v>0</v>
      </c>
      <c r="O2323">
        <v>1.022049970056649</v>
      </c>
      <c r="P2323">
        <v>220610.89792203999</v>
      </c>
    </row>
    <row r="2324" spans="1:16" x14ac:dyDescent="0.25">
      <c r="A2324" s="10">
        <v>41039</v>
      </c>
      <c r="B2324">
        <v>2228.1117246200438</v>
      </c>
      <c r="C2324">
        <v>463.8655</v>
      </c>
      <c r="D2324">
        <v>0</v>
      </c>
      <c r="E2324">
        <v>0</v>
      </c>
      <c r="F2324">
        <v>0</v>
      </c>
      <c r="G2324">
        <v>304.60038854999999</v>
      </c>
      <c r="H2324">
        <v>1464.3833732000021</v>
      </c>
      <c r="I2324">
        <v>0</v>
      </c>
      <c r="J2324">
        <v>0</v>
      </c>
      <c r="K2324">
        <v>9.2336767399999982</v>
      </c>
      <c r="L2324">
        <v>0</v>
      </c>
      <c r="M2324">
        <v>0</v>
      </c>
      <c r="N2324">
        <v>0</v>
      </c>
      <c r="O2324">
        <v>-13.971213869958961</v>
      </c>
      <c r="P2324">
        <v>222839.00964666001</v>
      </c>
    </row>
    <row r="2325" spans="1:16" x14ac:dyDescent="0.25">
      <c r="A2325" s="10">
        <v>41040</v>
      </c>
      <c r="B2325">
        <v>-42.297483780276458</v>
      </c>
      <c r="C2325">
        <v>710.96409999999992</v>
      </c>
      <c r="D2325">
        <v>0</v>
      </c>
      <c r="E2325">
        <v>-2500</v>
      </c>
      <c r="F2325">
        <v>0</v>
      </c>
      <c r="G2325">
        <v>-10.998719140000279</v>
      </c>
      <c r="H2325">
        <v>1740.288845859995</v>
      </c>
      <c r="I2325">
        <v>0</v>
      </c>
      <c r="J2325">
        <v>0</v>
      </c>
      <c r="K2325">
        <v>9.4597094300000002</v>
      </c>
      <c r="L2325">
        <v>54.999999999999993</v>
      </c>
      <c r="M2325">
        <v>0</v>
      </c>
      <c r="N2325">
        <v>0</v>
      </c>
      <c r="O2325">
        <v>-47.011419930271593</v>
      </c>
      <c r="P2325">
        <v>222796.7121628797</v>
      </c>
    </row>
    <row r="2326" spans="1:16" x14ac:dyDescent="0.25">
      <c r="A2326" s="10">
        <v>41043</v>
      </c>
      <c r="B2326">
        <v>-494.88494211970868</v>
      </c>
      <c r="C2326">
        <v>-1.335499999999995</v>
      </c>
      <c r="D2326">
        <v>0</v>
      </c>
      <c r="E2326">
        <v>0</v>
      </c>
      <c r="F2326">
        <v>0</v>
      </c>
      <c r="G2326">
        <v>-498.25198017999998</v>
      </c>
      <c r="H2326">
        <v>-173.89490967000171</v>
      </c>
      <c r="I2326">
        <v>0</v>
      </c>
      <c r="J2326">
        <v>34.800000000000182</v>
      </c>
      <c r="K2326">
        <v>10.42235226</v>
      </c>
      <c r="L2326">
        <v>63</v>
      </c>
      <c r="M2326">
        <v>0</v>
      </c>
      <c r="N2326">
        <v>0</v>
      </c>
      <c r="O2326">
        <v>70.375095470292791</v>
      </c>
      <c r="P2326">
        <v>222301.82722075999</v>
      </c>
    </row>
    <row r="2327" spans="1:16" x14ac:dyDescent="0.25">
      <c r="A2327" s="10">
        <v>41044</v>
      </c>
      <c r="B2327">
        <v>-414.16831740018199</v>
      </c>
      <c r="C2327">
        <v>664.52279999999996</v>
      </c>
      <c r="D2327">
        <v>0</v>
      </c>
      <c r="E2327">
        <v>0</v>
      </c>
      <c r="F2327">
        <v>0</v>
      </c>
      <c r="G2327">
        <v>502.48617874000013</v>
      </c>
      <c r="H2327">
        <v>-1605.211499549994</v>
      </c>
      <c r="I2327">
        <v>0</v>
      </c>
      <c r="J2327">
        <v>11.69999999999982</v>
      </c>
      <c r="K2327">
        <v>7.9099492299999978</v>
      </c>
      <c r="L2327">
        <v>0</v>
      </c>
      <c r="M2327">
        <v>0</v>
      </c>
      <c r="N2327">
        <v>0</v>
      </c>
      <c r="O2327">
        <v>4.424254179812138</v>
      </c>
      <c r="P2327">
        <v>221887.65890335981</v>
      </c>
    </row>
    <row r="2328" spans="1:16" x14ac:dyDescent="0.25">
      <c r="A2328" s="10">
        <v>41045</v>
      </c>
      <c r="B2328">
        <v>-46.595192639680292</v>
      </c>
      <c r="C2328">
        <v>632.57870000000003</v>
      </c>
      <c r="D2328">
        <v>0</v>
      </c>
      <c r="E2328">
        <v>0</v>
      </c>
      <c r="F2328">
        <v>0</v>
      </c>
      <c r="G2328">
        <v>-418.23525542999988</v>
      </c>
      <c r="H2328">
        <v>21.777531229996381</v>
      </c>
      <c r="I2328">
        <v>0</v>
      </c>
      <c r="J2328">
        <v>23.5</v>
      </c>
      <c r="K2328">
        <v>9.0941076600000006</v>
      </c>
      <c r="L2328">
        <v>-273</v>
      </c>
      <c r="M2328">
        <v>0</v>
      </c>
      <c r="N2328">
        <v>0</v>
      </c>
      <c r="O2328">
        <v>-42.310276099676777</v>
      </c>
      <c r="P2328">
        <v>221841.06371072019</v>
      </c>
    </row>
    <row r="2329" spans="1:16" x14ac:dyDescent="0.25">
      <c r="A2329" s="10">
        <v>41046</v>
      </c>
      <c r="B2329">
        <v>4092.9485254095621</v>
      </c>
      <c r="C2329">
        <v>109.9358</v>
      </c>
      <c r="D2329">
        <v>0</v>
      </c>
      <c r="E2329">
        <v>2450</v>
      </c>
      <c r="F2329">
        <v>0</v>
      </c>
      <c r="G2329">
        <v>295.58445310999969</v>
      </c>
      <c r="H2329">
        <v>1247.40301002</v>
      </c>
      <c r="I2329">
        <v>0</v>
      </c>
      <c r="J2329">
        <v>0</v>
      </c>
      <c r="K2329">
        <v>8.1540388700000008</v>
      </c>
      <c r="L2329">
        <v>0</v>
      </c>
      <c r="M2329">
        <v>0</v>
      </c>
      <c r="N2329">
        <v>0</v>
      </c>
      <c r="O2329">
        <v>-18.128776590437791</v>
      </c>
      <c r="P2329">
        <v>225934.0122361297</v>
      </c>
    </row>
    <row r="2330" spans="1:16" x14ac:dyDescent="0.25">
      <c r="A2330" s="10">
        <v>41047</v>
      </c>
      <c r="B2330">
        <v>2386.7588490603962</v>
      </c>
      <c r="C2330">
        <v>891.24599999999998</v>
      </c>
      <c r="D2330">
        <v>0</v>
      </c>
      <c r="E2330">
        <v>0</v>
      </c>
      <c r="F2330">
        <v>0</v>
      </c>
      <c r="G2330">
        <v>263.65616025000003</v>
      </c>
      <c r="H2330">
        <v>1239.414503729997</v>
      </c>
      <c r="I2330">
        <v>0</v>
      </c>
      <c r="J2330">
        <v>16.89999999999964</v>
      </c>
      <c r="K2330">
        <v>8.1024423700000021</v>
      </c>
      <c r="L2330">
        <v>0</v>
      </c>
      <c r="M2330">
        <v>0</v>
      </c>
      <c r="N2330">
        <v>0</v>
      </c>
      <c r="O2330">
        <v>-32.560257289600493</v>
      </c>
      <c r="P2330">
        <v>228320.77108519021</v>
      </c>
    </row>
    <row r="2331" spans="1:16" x14ac:dyDescent="0.25">
      <c r="A2331" s="10">
        <v>41050</v>
      </c>
      <c r="B2331">
        <v>-4784.163134790143</v>
      </c>
      <c r="C2331">
        <v>469.20280000000002</v>
      </c>
      <c r="D2331">
        <v>0</v>
      </c>
      <c r="E2331">
        <v>0</v>
      </c>
      <c r="F2331">
        <v>0</v>
      </c>
      <c r="G2331">
        <v>112.25349088999999</v>
      </c>
      <c r="H2331">
        <v>-5552.1008106099944</v>
      </c>
      <c r="I2331">
        <v>0</v>
      </c>
      <c r="J2331">
        <v>0</v>
      </c>
      <c r="K2331">
        <v>10.533179219999999</v>
      </c>
      <c r="L2331">
        <v>147.5</v>
      </c>
      <c r="M2331">
        <v>0</v>
      </c>
      <c r="N2331">
        <v>0</v>
      </c>
      <c r="O2331">
        <v>28.448205709851209</v>
      </c>
      <c r="P2331">
        <v>223536.60795040001</v>
      </c>
    </row>
    <row r="2332" spans="1:16" x14ac:dyDescent="0.25">
      <c r="A2332" s="10">
        <v>41051</v>
      </c>
      <c r="B2332">
        <v>122.69682665995749</v>
      </c>
      <c r="C2332">
        <v>67.88194</v>
      </c>
      <c r="D2332">
        <v>0</v>
      </c>
      <c r="E2332">
        <v>0</v>
      </c>
      <c r="F2332">
        <v>0</v>
      </c>
      <c r="G2332">
        <v>-74.269085899999993</v>
      </c>
      <c r="H2332">
        <v>102.89258470999989</v>
      </c>
      <c r="I2332">
        <v>0</v>
      </c>
      <c r="J2332">
        <v>0</v>
      </c>
      <c r="K2332">
        <v>6.9676453599999997</v>
      </c>
      <c r="L2332">
        <v>41.099999999999987</v>
      </c>
      <c r="M2332">
        <v>0</v>
      </c>
      <c r="N2332">
        <v>0</v>
      </c>
      <c r="O2332">
        <v>-21.8762575100425</v>
      </c>
      <c r="P2332">
        <v>223659.30477705991</v>
      </c>
    </row>
    <row r="2333" spans="1:16" x14ac:dyDescent="0.25">
      <c r="A2333" s="10">
        <v>41052</v>
      </c>
      <c r="B2333">
        <v>381.17583833003448</v>
      </c>
      <c r="C2333">
        <v>44.705749999999988</v>
      </c>
      <c r="D2333">
        <v>0</v>
      </c>
      <c r="E2333">
        <v>0</v>
      </c>
      <c r="F2333">
        <v>0</v>
      </c>
      <c r="G2333">
        <v>118.02837467000001</v>
      </c>
      <c r="H2333">
        <v>697.2085096899973</v>
      </c>
      <c r="I2333">
        <v>0</v>
      </c>
      <c r="J2333">
        <v>60.899999999999643</v>
      </c>
      <c r="K2333">
        <v>9.0963165800000017</v>
      </c>
      <c r="L2333">
        <v>-548</v>
      </c>
      <c r="M2333">
        <v>0</v>
      </c>
      <c r="N2333">
        <v>0</v>
      </c>
      <c r="O2333">
        <v>-0.76311260996246766</v>
      </c>
      <c r="P2333">
        <v>224040.48061539</v>
      </c>
    </row>
    <row r="2334" spans="1:16" x14ac:dyDescent="0.25">
      <c r="A2334" s="10">
        <v>41053</v>
      </c>
      <c r="B2334">
        <v>-611.9163112500961</v>
      </c>
      <c r="C2334">
        <v>507.29176000000001</v>
      </c>
      <c r="D2334">
        <v>0</v>
      </c>
      <c r="E2334">
        <v>0</v>
      </c>
      <c r="F2334">
        <v>0</v>
      </c>
      <c r="G2334">
        <v>-106.90165553999999</v>
      </c>
      <c r="H2334">
        <v>-1006.706359869997</v>
      </c>
      <c r="I2334">
        <v>0</v>
      </c>
      <c r="J2334">
        <v>4</v>
      </c>
      <c r="K2334">
        <v>5.9141029499999993</v>
      </c>
      <c r="L2334">
        <v>0</v>
      </c>
      <c r="M2334">
        <v>0</v>
      </c>
      <c r="N2334">
        <v>0</v>
      </c>
      <c r="O2334">
        <v>-15.514158790099099</v>
      </c>
      <c r="P2334">
        <v>223428.5643041399</v>
      </c>
    </row>
    <row r="2335" spans="1:16" x14ac:dyDescent="0.25">
      <c r="A2335" s="10">
        <v>41057</v>
      </c>
      <c r="B2335">
        <v>1500.6680436198351</v>
      </c>
      <c r="C2335">
        <v>-2.2400000000000002</v>
      </c>
      <c r="D2335">
        <v>0</v>
      </c>
      <c r="E2335">
        <v>0</v>
      </c>
      <c r="F2335">
        <v>0</v>
      </c>
      <c r="G2335">
        <v>-43.238181630000007</v>
      </c>
      <c r="H2335">
        <v>1278.5945612599969</v>
      </c>
      <c r="I2335">
        <v>0</v>
      </c>
      <c r="J2335">
        <v>86.800000000000182</v>
      </c>
      <c r="K2335">
        <v>29.190113959999991</v>
      </c>
      <c r="L2335">
        <v>36.700000000000003</v>
      </c>
      <c r="M2335">
        <v>0</v>
      </c>
      <c r="N2335">
        <v>0</v>
      </c>
      <c r="O2335">
        <v>114.8615500298381</v>
      </c>
      <c r="P2335">
        <v>224929.23234775971</v>
      </c>
    </row>
    <row r="2336" spans="1:16" x14ac:dyDescent="0.25">
      <c r="A2336" s="10">
        <v>41058</v>
      </c>
      <c r="B2336">
        <v>-2380.0277475396588</v>
      </c>
      <c r="C2336">
        <v>180.49879999999999</v>
      </c>
      <c r="D2336">
        <v>0</v>
      </c>
      <c r="E2336">
        <v>0</v>
      </c>
      <c r="F2336">
        <v>0</v>
      </c>
      <c r="G2336">
        <v>-6.8103110299999798</v>
      </c>
      <c r="H2336">
        <v>-2556.5013135699992</v>
      </c>
      <c r="I2336">
        <v>0</v>
      </c>
      <c r="J2336">
        <v>0</v>
      </c>
      <c r="K2336">
        <v>10.288667999999999</v>
      </c>
      <c r="L2336">
        <v>0</v>
      </c>
      <c r="M2336">
        <v>0</v>
      </c>
      <c r="N2336">
        <v>0</v>
      </c>
      <c r="O2336">
        <v>-7.5035909396598974</v>
      </c>
      <c r="P2336">
        <v>222549.20460022011</v>
      </c>
    </row>
    <row r="2337" spans="1:16" x14ac:dyDescent="0.25">
      <c r="A2337" s="10">
        <v>41059</v>
      </c>
      <c r="B2337">
        <v>4555.5695988900552</v>
      </c>
      <c r="C2337">
        <v>24.585000000000001</v>
      </c>
      <c r="D2337">
        <v>0</v>
      </c>
      <c r="E2337">
        <v>0</v>
      </c>
      <c r="F2337">
        <v>0</v>
      </c>
      <c r="G2337">
        <v>17.242337779999989</v>
      </c>
      <c r="H2337">
        <v>4316.354957800002</v>
      </c>
      <c r="I2337">
        <v>0</v>
      </c>
      <c r="J2337">
        <v>0</v>
      </c>
      <c r="K2337">
        <v>11.428200240000001</v>
      </c>
      <c r="L2337">
        <v>246.3</v>
      </c>
      <c r="M2337">
        <v>0</v>
      </c>
      <c r="N2337">
        <v>0</v>
      </c>
      <c r="O2337">
        <v>-60.340896929946211</v>
      </c>
      <c r="P2337">
        <v>227104.77419911011</v>
      </c>
    </row>
    <row r="2338" spans="1:16" x14ac:dyDescent="0.25">
      <c r="A2338" s="10">
        <v>41060</v>
      </c>
      <c r="B2338">
        <v>-1592.85202816024</v>
      </c>
      <c r="C2338">
        <v>372.5745</v>
      </c>
      <c r="D2338">
        <v>0</v>
      </c>
      <c r="E2338">
        <v>1500</v>
      </c>
      <c r="F2338">
        <v>0</v>
      </c>
      <c r="G2338">
        <v>-132.00975252999999</v>
      </c>
      <c r="H2338">
        <v>-3319.3770602300028</v>
      </c>
      <c r="I2338">
        <v>0</v>
      </c>
      <c r="J2338">
        <v>0</v>
      </c>
      <c r="K2338">
        <v>8.9541865999999999</v>
      </c>
      <c r="L2338">
        <v>0</v>
      </c>
      <c r="M2338">
        <v>0</v>
      </c>
      <c r="N2338">
        <v>0</v>
      </c>
      <c r="O2338">
        <v>-22.993902000236901</v>
      </c>
      <c r="P2338">
        <v>225511.92217094981</v>
      </c>
    </row>
    <row r="2339" spans="1:16" x14ac:dyDescent="0.25">
      <c r="A2339" s="10">
        <v>41061</v>
      </c>
      <c r="B2339">
        <v>7591.4376930002463</v>
      </c>
      <c r="C2339">
        <v>373.245</v>
      </c>
      <c r="D2339">
        <v>0</v>
      </c>
      <c r="E2339">
        <v>0</v>
      </c>
      <c r="F2339">
        <v>0</v>
      </c>
      <c r="G2339">
        <v>-170.92070785999999</v>
      </c>
      <c r="H2339">
        <v>7277.9490660999982</v>
      </c>
      <c r="I2339">
        <v>0</v>
      </c>
      <c r="J2339">
        <v>3.1000000000003638</v>
      </c>
      <c r="K2339">
        <v>4.5201350299999996</v>
      </c>
      <c r="L2339">
        <v>0</v>
      </c>
      <c r="M2339">
        <v>0</v>
      </c>
      <c r="N2339">
        <v>0</v>
      </c>
      <c r="O2339">
        <v>103.544199730248</v>
      </c>
      <c r="P2339">
        <v>233103.35986395011</v>
      </c>
    </row>
    <row r="2340" spans="1:16" x14ac:dyDescent="0.25">
      <c r="A2340" s="10">
        <v>41064</v>
      </c>
      <c r="B2340">
        <v>-917.12015232027761</v>
      </c>
      <c r="C2340">
        <v>125.92059999999999</v>
      </c>
      <c r="D2340">
        <v>0</v>
      </c>
      <c r="E2340">
        <v>0</v>
      </c>
      <c r="F2340">
        <v>0</v>
      </c>
      <c r="G2340">
        <v>-153.16727051000009</v>
      </c>
      <c r="H2340">
        <v>-837.75342606000049</v>
      </c>
      <c r="I2340">
        <v>0</v>
      </c>
      <c r="J2340">
        <v>8</v>
      </c>
      <c r="K2340">
        <v>11.917433259999999</v>
      </c>
      <c r="L2340">
        <v>0</v>
      </c>
      <c r="M2340">
        <v>0</v>
      </c>
      <c r="N2340">
        <v>0</v>
      </c>
      <c r="O2340">
        <v>-72.037489010277142</v>
      </c>
      <c r="P2340">
        <v>232186.23971162981</v>
      </c>
    </row>
    <row r="2341" spans="1:16" x14ac:dyDescent="0.25">
      <c r="A2341" s="10">
        <v>41065</v>
      </c>
      <c r="B2341">
        <v>1357.3522105001321</v>
      </c>
      <c r="C2341">
        <v>-1.343</v>
      </c>
      <c r="D2341">
        <v>0</v>
      </c>
      <c r="E2341">
        <v>0</v>
      </c>
      <c r="F2341">
        <v>0</v>
      </c>
      <c r="G2341">
        <v>-2.1044175799999039</v>
      </c>
      <c r="H2341">
        <v>1265.3332403200041</v>
      </c>
      <c r="I2341">
        <v>0</v>
      </c>
      <c r="J2341">
        <v>4</v>
      </c>
      <c r="K2341">
        <v>6.7412547700000003</v>
      </c>
      <c r="L2341">
        <v>0</v>
      </c>
      <c r="M2341">
        <v>0</v>
      </c>
      <c r="N2341">
        <v>0</v>
      </c>
      <c r="O2341">
        <v>84.725132990127534</v>
      </c>
      <c r="P2341">
        <v>233543.59192213</v>
      </c>
    </row>
    <row r="2342" spans="1:16" x14ac:dyDescent="0.25">
      <c r="A2342" s="10">
        <v>41066</v>
      </c>
      <c r="B2342">
        <v>-70.497469139984716</v>
      </c>
      <c r="C2342">
        <v>23.54900000000001</v>
      </c>
      <c r="D2342">
        <v>0</v>
      </c>
      <c r="E2342">
        <v>0</v>
      </c>
      <c r="F2342">
        <v>0</v>
      </c>
      <c r="G2342">
        <v>499.64526364</v>
      </c>
      <c r="H2342">
        <v>313.3022445999959</v>
      </c>
      <c r="I2342">
        <v>0</v>
      </c>
      <c r="J2342">
        <v>18.800000000000178</v>
      </c>
      <c r="K2342">
        <v>6.2145883399999997</v>
      </c>
      <c r="L2342">
        <v>-941.6</v>
      </c>
      <c r="M2342">
        <v>0</v>
      </c>
      <c r="N2342">
        <v>0</v>
      </c>
      <c r="O2342">
        <v>9.5914342800192109</v>
      </c>
      <c r="P2342">
        <v>233473.09445298999</v>
      </c>
    </row>
    <row r="2343" spans="1:16" x14ac:dyDescent="0.25">
      <c r="A2343" s="10">
        <v>41067</v>
      </c>
      <c r="B2343">
        <v>985.18386251997458</v>
      </c>
      <c r="C2343">
        <v>17.688500000000001</v>
      </c>
      <c r="D2343">
        <v>0</v>
      </c>
      <c r="E2343">
        <v>0</v>
      </c>
      <c r="F2343">
        <v>0</v>
      </c>
      <c r="G2343">
        <v>-308.11727351000002</v>
      </c>
      <c r="H2343">
        <v>1298.4520491700021</v>
      </c>
      <c r="I2343">
        <v>0</v>
      </c>
      <c r="J2343">
        <v>2</v>
      </c>
      <c r="K2343">
        <v>5.5459284100000001</v>
      </c>
      <c r="L2343">
        <v>0</v>
      </c>
      <c r="M2343">
        <v>0</v>
      </c>
      <c r="N2343">
        <v>0</v>
      </c>
      <c r="O2343">
        <v>-30.385341550027761</v>
      </c>
      <c r="P2343">
        <v>234458.2783155099</v>
      </c>
    </row>
    <row r="2344" spans="1:16" x14ac:dyDescent="0.25">
      <c r="A2344" s="10">
        <v>41068</v>
      </c>
      <c r="B2344">
        <v>1101.0273682802219</v>
      </c>
      <c r="C2344">
        <v>388.80099999999999</v>
      </c>
      <c r="D2344">
        <v>0</v>
      </c>
      <c r="E2344">
        <v>0</v>
      </c>
      <c r="F2344">
        <v>0</v>
      </c>
      <c r="G2344">
        <v>241.1035280399999</v>
      </c>
      <c r="H2344">
        <v>455.2571535499992</v>
      </c>
      <c r="I2344">
        <v>0</v>
      </c>
      <c r="J2344">
        <v>-21.300000000000178</v>
      </c>
      <c r="K2344">
        <v>-15.32126096999991</v>
      </c>
      <c r="L2344">
        <v>0</v>
      </c>
      <c r="M2344">
        <v>0</v>
      </c>
      <c r="N2344">
        <v>0</v>
      </c>
      <c r="O2344">
        <v>52.486947660222768</v>
      </c>
      <c r="P2344">
        <v>235559.30568379021</v>
      </c>
    </row>
    <row r="2345" spans="1:16" x14ac:dyDescent="0.25">
      <c r="A2345" s="10">
        <v>41071</v>
      </c>
      <c r="B2345">
        <v>775.11361539980828</v>
      </c>
      <c r="C2345">
        <v>-1.3467</v>
      </c>
      <c r="D2345">
        <v>0</v>
      </c>
      <c r="E2345">
        <v>0</v>
      </c>
      <c r="F2345">
        <v>0</v>
      </c>
      <c r="G2345">
        <v>-165.66045410999999</v>
      </c>
      <c r="H2345">
        <v>944.99144087999957</v>
      </c>
      <c r="I2345">
        <v>0</v>
      </c>
      <c r="J2345">
        <v>2.1999999999998181</v>
      </c>
      <c r="K2345">
        <v>10.26321823</v>
      </c>
      <c r="L2345">
        <v>39.5</v>
      </c>
      <c r="M2345">
        <v>0</v>
      </c>
      <c r="N2345">
        <v>0</v>
      </c>
      <c r="O2345">
        <v>-54.833889600191149</v>
      </c>
      <c r="P2345">
        <v>236334.41929918999</v>
      </c>
    </row>
    <row r="2346" spans="1:16" x14ac:dyDescent="0.25">
      <c r="A2346" s="10">
        <v>41072</v>
      </c>
      <c r="B2346">
        <v>-241.01213586021839</v>
      </c>
      <c r="C2346">
        <v>-1.3421999999999981</v>
      </c>
      <c r="D2346">
        <v>0</v>
      </c>
      <c r="E2346">
        <v>0</v>
      </c>
      <c r="F2346">
        <v>0</v>
      </c>
      <c r="G2346">
        <v>-38.241334859999988</v>
      </c>
      <c r="H2346">
        <v>-116.06887766000359</v>
      </c>
      <c r="I2346">
        <v>0</v>
      </c>
      <c r="J2346">
        <v>4</v>
      </c>
      <c r="K2346">
        <v>7.2887027399999997</v>
      </c>
      <c r="L2346">
        <v>0</v>
      </c>
      <c r="M2346">
        <v>0</v>
      </c>
      <c r="N2346">
        <v>0</v>
      </c>
      <c r="O2346">
        <v>-96.64842608021479</v>
      </c>
      <c r="P2346">
        <v>236093.4071633298</v>
      </c>
    </row>
    <row r="2347" spans="1:16" x14ac:dyDescent="0.25">
      <c r="A2347" s="10">
        <v>41073</v>
      </c>
      <c r="B2347">
        <v>1486.590389420219</v>
      </c>
      <c r="C2347">
        <v>-164.00899999999999</v>
      </c>
      <c r="D2347">
        <v>0</v>
      </c>
      <c r="E2347">
        <v>0</v>
      </c>
      <c r="F2347">
        <v>0</v>
      </c>
      <c r="G2347">
        <v>25.840217139999989</v>
      </c>
      <c r="H2347">
        <v>996.65995761000158</v>
      </c>
      <c r="I2347">
        <v>0</v>
      </c>
      <c r="J2347">
        <v>0</v>
      </c>
      <c r="K2347">
        <v>7.2556392999999986</v>
      </c>
      <c r="L2347">
        <v>667.3</v>
      </c>
      <c r="M2347">
        <v>0</v>
      </c>
      <c r="N2347">
        <v>0</v>
      </c>
      <c r="O2347">
        <v>-46.456424629782667</v>
      </c>
      <c r="P2347">
        <v>237579.99755274999</v>
      </c>
    </row>
    <row r="2348" spans="1:16" x14ac:dyDescent="0.25">
      <c r="A2348" s="10">
        <v>41074</v>
      </c>
      <c r="B2348">
        <v>948.29154814014373</v>
      </c>
      <c r="C2348">
        <v>-1.3488</v>
      </c>
      <c r="D2348">
        <v>0</v>
      </c>
      <c r="E2348">
        <v>0</v>
      </c>
      <c r="F2348">
        <v>0</v>
      </c>
      <c r="G2348">
        <v>-325.57551991999998</v>
      </c>
      <c r="H2348">
        <v>1328.1137599000031</v>
      </c>
      <c r="I2348">
        <v>0</v>
      </c>
      <c r="J2348">
        <v>0</v>
      </c>
      <c r="K2348">
        <v>4.3960574699999997</v>
      </c>
      <c r="L2348">
        <v>0</v>
      </c>
      <c r="M2348">
        <v>0</v>
      </c>
      <c r="N2348">
        <v>0</v>
      </c>
      <c r="O2348">
        <v>-57.293949309859251</v>
      </c>
      <c r="P2348">
        <v>238528.28910089011</v>
      </c>
    </row>
    <row r="2349" spans="1:16" x14ac:dyDescent="0.25">
      <c r="A2349" s="10">
        <v>41075</v>
      </c>
      <c r="B2349">
        <v>-1274.052761759986</v>
      </c>
      <c r="C2349">
        <v>100.2384</v>
      </c>
      <c r="D2349">
        <v>0</v>
      </c>
      <c r="E2349">
        <v>-2400</v>
      </c>
      <c r="F2349">
        <v>0</v>
      </c>
      <c r="G2349">
        <v>227.81292450999999</v>
      </c>
      <c r="H2349">
        <v>818.01731649000067</v>
      </c>
      <c r="I2349">
        <v>0</v>
      </c>
      <c r="J2349">
        <v>0</v>
      </c>
      <c r="K2349">
        <v>4.7182316699999998</v>
      </c>
      <c r="L2349">
        <v>0</v>
      </c>
      <c r="M2349">
        <v>0</v>
      </c>
      <c r="N2349">
        <v>0</v>
      </c>
      <c r="O2349">
        <v>-24.839634429986379</v>
      </c>
      <c r="P2349">
        <v>237254.23633913009</v>
      </c>
    </row>
    <row r="2350" spans="1:16" x14ac:dyDescent="0.25">
      <c r="A2350" s="10">
        <v>41078</v>
      </c>
      <c r="B2350">
        <v>-360.36910811019959</v>
      </c>
      <c r="C2350">
        <v>-1.7885999999999971</v>
      </c>
      <c r="D2350">
        <v>0</v>
      </c>
      <c r="E2350">
        <v>0</v>
      </c>
      <c r="F2350">
        <v>0</v>
      </c>
      <c r="G2350">
        <v>25.13977127000004</v>
      </c>
      <c r="H2350">
        <v>-505.97109094000552</v>
      </c>
      <c r="I2350">
        <v>0</v>
      </c>
      <c r="J2350">
        <v>20.699999999999822</v>
      </c>
      <c r="K2350">
        <v>7.8656609000000017</v>
      </c>
      <c r="L2350">
        <v>74.699999999999989</v>
      </c>
      <c r="M2350">
        <v>0</v>
      </c>
      <c r="N2350">
        <v>0</v>
      </c>
      <c r="O2350">
        <v>18.985150659805981</v>
      </c>
      <c r="P2350">
        <v>236893.86723102001</v>
      </c>
    </row>
    <row r="2351" spans="1:16" x14ac:dyDescent="0.25">
      <c r="A2351" s="10">
        <v>41079</v>
      </c>
      <c r="B2351">
        <v>-744.46519802016121</v>
      </c>
      <c r="C2351">
        <v>-1.338000000000009</v>
      </c>
      <c r="D2351">
        <v>0</v>
      </c>
      <c r="E2351">
        <v>0</v>
      </c>
      <c r="F2351">
        <v>0</v>
      </c>
      <c r="G2351">
        <v>16.73903179999996</v>
      </c>
      <c r="H2351">
        <v>-812.3401175800027</v>
      </c>
      <c r="I2351">
        <v>0</v>
      </c>
      <c r="J2351">
        <v>0</v>
      </c>
      <c r="K2351">
        <v>6.0466335400000002</v>
      </c>
      <c r="L2351">
        <v>0</v>
      </c>
      <c r="M2351">
        <v>0</v>
      </c>
      <c r="N2351">
        <v>0</v>
      </c>
      <c r="O2351">
        <v>46.427254219841487</v>
      </c>
      <c r="P2351">
        <v>236149.40203299979</v>
      </c>
    </row>
    <row r="2352" spans="1:16" x14ac:dyDescent="0.25">
      <c r="A2352" s="10">
        <v>41081</v>
      </c>
      <c r="B2352">
        <v>78.82203960005333</v>
      </c>
      <c r="C2352">
        <v>-1.255999999999996</v>
      </c>
      <c r="D2352">
        <v>0</v>
      </c>
      <c r="E2352">
        <v>0</v>
      </c>
      <c r="F2352">
        <v>0</v>
      </c>
      <c r="G2352">
        <v>101.69519751</v>
      </c>
      <c r="H2352">
        <v>758.68527634999919</v>
      </c>
      <c r="I2352">
        <v>0</v>
      </c>
      <c r="J2352">
        <v>0</v>
      </c>
      <c r="K2352">
        <v>10.682697190000001</v>
      </c>
      <c r="L2352">
        <v>-753.6</v>
      </c>
      <c r="M2352">
        <v>0</v>
      </c>
      <c r="N2352">
        <v>0</v>
      </c>
      <c r="O2352">
        <v>-37.38513144994581</v>
      </c>
      <c r="P2352">
        <v>236228.22407259981</v>
      </c>
    </row>
    <row r="2353" spans="1:16" x14ac:dyDescent="0.25">
      <c r="A2353" s="10">
        <v>41082</v>
      </c>
      <c r="B2353">
        <v>3171.0402179602529</v>
      </c>
      <c r="C2353">
        <v>207.50700000000001</v>
      </c>
      <c r="D2353">
        <v>0</v>
      </c>
      <c r="E2353">
        <v>2450</v>
      </c>
      <c r="F2353">
        <v>0</v>
      </c>
      <c r="G2353">
        <v>-38.248221030000003</v>
      </c>
      <c r="H2353">
        <v>547.29887242000041</v>
      </c>
      <c r="I2353">
        <v>0</v>
      </c>
      <c r="J2353">
        <v>0</v>
      </c>
      <c r="K2353">
        <v>5.2362107800000004</v>
      </c>
      <c r="L2353">
        <v>0</v>
      </c>
      <c r="M2353">
        <v>0</v>
      </c>
      <c r="N2353">
        <v>0</v>
      </c>
      <c r="O2353">
        <v>-0.75364420974701574</v>
      </c>
      <c r="P2353">
        <v>239399.2642905601</v>
      </c>
    </row>
    <row r="2354" spans="1:16" x14ac:dyDescent="0.25">
      <c r="A2354" s="10">
        <v>41085</v>
      </c>
      <c r="B2354">
        <v>727.13773485997717</v>
      </c>
      <c r="C2354">
        <v>548.11630000000002</v>
      </c>
      <c r="D2354">
        <v>0</v>
      </c>
      <c r="E2354">
        <v>0</v>
      </c>
      <c r="F2354">
        <v>0</v>
      </c>
      <c r="G2354">
        <v>170.80773042000001</v>
      </c>
      <c r="H2354">
        <v>-71.171315070001583</v>
      </c>
      <c r="I2354">
        <v>0</v>
      </c>
      <c r="J2354">
        <v>49.300000000000182</v>
      </c>
      <c r="K2354">
        <v>8.9725890900000014</v>
      </c>
      <c r="L2354">
        <v>47.100000000000009</v>
      </c>
      <c r="M2354">
        <v>0</v>
      </c>
      <c r="N2354">
        <v>0</v>
      </c>
      <c r="O2354">
        <v>-25.98756958002145</v>
      </c>
      <c r="P2354">
        <v>240126.4020254201</v>
      </c>
    </row>
    <row r="2355" spans="1:16" x14ac:dyDescent="0.25">
      <c r="A2355" s="10">
        <v>41086</v>
      </c>
      <c r="B2355">
        <v>-1680.6652278799729</v>
      </c>
      <c r="C2355">
        <v>22.549120000000009</v>
      </c>
      <c r="D2355">
        <v>0</v>
      </c>
      <c r="E2355">
        <v>0</v>
      </c>
      <c r="F2355">
        <v>0</v>
      </c>
      <c r="G2355">
        <v>-89.552877529999989</v>
      </c>
      <c r="H2355">
        <v>-1616.6370828199981</v>
      </c>
      <c r="I2355">
        <v>0</v>
      </c>
      <c r="J2355">
        <v>0</v>
      </c>
      <c r="K2355">
        <v>7.5234245000000017</v>
      </c>
      <c r="L2355">
        <v>0</v>
      </c>
      <c r="M2355">
        <v>0</v>
      </c>
      <c r="N2355">
        <v>0</v>
      </c>
      <c r="O2355">
        <v>-4.5478120299750557</v>
      </c>
      <c r="P2355">
        <v>238445.7367975401</v>
      </c>
    </row>
    <row r="2356" spans="1:16" x14ac:dyDescent="0.25">
      <c r="A2356" s="10">
        <v>41087</v>
      </c>
      <c r="B2356">
        <v>-548.24374216032356</v>
      </c>
      <c r="C2356">
        <v>493.22099999999989</v>
      </c>
      <c r="D2356">
        <v>0</v>
      </c>
      <c r="E2356">
        <v>0</v>
      </c>
      <c r="F2356">
        <v>0</v>
      </c>
      <c r="G2356">
        <v>-127.69173730999999</v>
      </c>
      <c r="H2356">
        <v>-2541.5990057000022</v>
      </c>
      <c r="I2356">
        <v>0</v>
      </c>
      <c r="J2356">
        <v>0</v>
      </c>
      <c r="K2356">
        <v>2.5898431500000001</v>
      </c>
      <c r="L2356">
        <v>1580.3</v>
      </c>
      <c r="M2356">
        <v>0</v>
      </c>
      <c r="N2356">
        <v>0</v>
      </c>
      <c r="O2356">
        <v>44.936157699678013</v>
      </c>
      <c r="P2356">
        <v>237897.4930553798</v>
      </c>
    </row>
    <row r="2357" spans="1:16" x14ac:dyDescent="0.25">
      <c r="A2357" s="10">
        <v>41088</v>
      </c>
      <c r="B2357">
        <v>259.63435837027049</v>
      </c>
      <c r="C2357">
        <v>476.68230000000011</v>
      </c>
      <c r="D2357">
        <v>0</v>
      </c>
      <c r="E2357">
        <v>1500</v>
      </c>
      <c r="F2357">
        <v>0</v>
      </c>
      <c r="G2357">
        <v>51.540045419999977</v>
      </c>
      <c r="H2357">
        <v>-1765.724031159993</v>
      </c>
      <c r="I2357">
        <v>0</v>
      </c>
      <c r="J2357">
        <v>0</v>
      </c>
      <c r="K2357">
        <v>5.7298728899999993</v>
      </c>
      <c r="L2357">
        <v>0</v>
      </c>
      <c r="M2357">
        <v>0</v>
      </c>
      <c r="N2357">
        <v>0</v>
      </c>
      <c r="O2357">
        <v>-8.5938287797368815</v>
      </c>
      <c r="P2357">
        <v>238157.12741374999</v>
      </c>
    </row>
    <row r="2358" spans="1:16" x14ac:dyDescent="0.25">
      <c r="A2358" s="10">
        <v>41089</v>
      </c>
      <c r="B2358">
        <v>6000.5024895999832</v>
      </c>
      <c r="C2358">
        <v>699.51490000000001</v>
      </c>
      <c r="D2358">
        <v>0</v>
      </c>
      <c r="E2358">
        <v>0</v>
      </c>
      <c r="F2358">
        <v>1800</v>
      </c>
      <c r="G2358">
        <v>-5.0796161700000084</v>
      </c>
      <c r="H2358">
        <v>3458.0585185100031</v>
      </c>
      <c r="I2358">
        <v>0</v>
      </c>
      <c r="J2358">
        <v>0</v>
      </c>
      <c r="K2358">
        <v>5.91838497</v>
      </c>
      <c r="L2358">
        <v>0</v>
      </c>
      <c r="M2358">
        <v>0</v>
      </c>
      <c r="N2358">
        <v>0</v>
      </c>
      <c r="O2358">
        <v>42.090302289980542</v>
      </c>
      <c r="P2358">
        <v>244157.62990335</v>
      </c>
    </row>
    <row r="2359" spans="1:16" x14ac:dyDescent="0.25">
      <c r="A2359" s="10">
        <v>41092</v>
      </c>
      <c r="B2359">
        <v>6276.5147162300427</v>
      </c>
      <c r="C2359">
        <v>-8.199999999999763E-2</v>
      </c>
      <c r="D2359">
        <v>0</v>
      </c>
      <c r="E2359">
        <v>0</v>
      </c>
      <c r="F2359">
        <v>0</v>
      </c>
      <c r="G2359">
        <v>-164.55714767000021</v>
      </c>
      <c r="H2359">
        <v>6431.1198737399973</v>
      </c>
      <c r="I2359">
        <v>0</v>
      </c>
      <c r="J2359">
        <v>6.6999999999998181</v>
      </c>
      <c r="K2359">
        <v>10.216587329999999</v>
      </c>
      <c r="L2359">
        <v>9.1000000000000085</v>
      </c>
      <c r="M2359">
        <v>0</v>
      </c>
      <c r="N2359">
        <v>0</v>
      </c>
      <c r="O2359">
        <v>-15.9825971699549</v>
      </c>
      <c r="P2359">
        <v>250434.1446195801</v>
      </c>
    </row>
    <row r="2360" spans="1:16" x14ac:dyDescent="0.25">
      <c r="A2360" s="10">
        <v>41093</v>
      </c>
      <c r="B2360">
        <v>-1791.5811150001241</v>
      </c>
      <c r="C2360">
        <v>432.93079999999998</v>
      </c>
      <c r="D2360">
        <v>0</v>
      </c>
      <c r="E2360">
        <v>0</v>
      </c>
      <c r="F2360">
        <v>0</v>
      </c>
      <c r="G2360">
        <v>-4.3194304399999837</v>
      </c>
      <c r="H2360">
        <v>-2239.0877273099982</v>
      </c>
      <c r="I2360">
        <v>0</v>
      </c>
      <c r="J2360">
        <v>5</v>
      </c>
      <c r="K2360">
        <v>3.78354685</v>
      </c>
      <c r="L2360">
        <v>23.2</v>
      </c>
      <c r="M2360">
        <v>0</v>
      </c>
      <c r="N2360">
        <v>0</v>
      </c>
      <c r="O2360">
        <v>-13.088304100126519</v>
      </c>
      <c r="P2360">
        <v>248642.56350457991</v>
      </c>
    </row>
    <row r="2361" spans="1:16" x14ac:dyDescent="0.25">
      <c r="A2361" s="10">
        <v>41094</v>
      </c>
      <c r="B2361">
        <v>-960.21819224016497</v>
      </c>
      <c r="C2361">
        <v>-2.7159999999999989</v>
      </c>
      <c r="D2361">
        <v>0</v>
      </c>
      <c r="E2361">
        <v>0</v>
      </c>
      <c r="F2361">
        <v>0</v>
      </c>
      <c r="G2361">
        <v>-383.67739601000011</v>
      </c>
      <c r="H2361">
        <v>-357.55676578999561</v>
      </c>
      <c r="I2361">
        <v>0</v>
      </c>
      <c r="J2361">
        <v>19</v>
      </c>
      <c r="K2361">
        <v>3.8626577499999999</v>
      </c>
      <c r="L2361">
        <v>-255</v>
      </c>
      <c r="M2361">
        <v>0</v>
      </c>
      <c r="N2361">
        <v>0</v>
      </c>
      <c r="O2361">
        <v>15.869311809830579</v>
      </c>
      <c r="P2361">
        <v>247682.34531233981</v>
      </c>
    </row>
    <row r="2362" spans="1:16" x14ac:dyDescent="0.25">
      <c r="A2362" s="10">
        <v>41095</v>
      </c>
      <c r="B2362">
        <v>5287.0933238299331</v>
      </c>
      <c r="C2362">
        <v>200.20797999999999</v>
      </c>
      <c r="D2362">
        <v>0</v>
      </c>
      <c r="E2362">
        <v>6000</v>
      </c>
      <c r="F2362">
        <v>0</v>
      </c>
      <c r="G2362">
        <v>-153.9155775600004</v>
      </c>
      <c r="H2362">
        <v>-704.54867450000165</v>
      </c>
      <c r="I2362">
        <v>0</v>
      </c>
      <c r="J2362">
        <v>18.900000000000091</v>
      </c>
      <c r="K2362">
        <v>4.2292495399999996</v>
      </c>
      <c r="L2362">
        <v>0</v>
      </c>
      <c r="M2362">
        <v>0</v>
      </c>
      <c r="N2362">
        <v>0</v>
      </c>
      <c r="O2362">
        <v>-77.77965365006439</v>
      </c>
      <c r="P2362">
        <v>252969.43863616971</v>
      </c>
    </row>
    <row r="2363" spans="1:16" x14ac:dyDescent="0.25">
      <c r="A2363" s="10">
        <v>41096</v>
      </c>
      <c r="B2363">
        <v>-1358.186557009961</v>
      </c>
      <c r="C2363">
        <v>193.6313200000001</v>
      </c>
      <c r="D2363">
        <v>0</v>
      </c>
      <c r="E2363">
        <v>0</v>
      </c>
      <c r="F2363">
        <v>0</v>
      </c>
      <c r="G2363">
        <v>14.20049573000006</v>
      </c>
      <c r="H2363">
        <v>-1685.6933595500011</v>
      </c>
      <c r="I2363">
        <v>0</v>
      </c>
      <c r="J2363">
        <v>0</v>
      </c>
      <c r="K2363">
        <v>3.7538601599999999</v>
      </c>
      <c r="L2363">
        <v>72.900000000000006</v>
      </c>
      <c r="M2363">
        <v>0</v>
      </c>
      <c r="N2363">
        <v>0</v>
      </c>
      <c r="O2363">
        <v>43.021126650040557</v>
      </c>
      <c r="P2363">
        <v>251611.25207915969</v>
      </c>
    </row>
    <row r="2364" spans="1:16" x14ac:dyDescent="0.25">
      <c r="A2364" s="10">
        <v>41100</v>
      </c>
      <c r="B2364">
        <v>1191.85234527022</v>
      </c>
      <c r="C2364">
        <v>285.84160000000003</v>
      </c>
      <c r="D2364">
        <v>0</v>
      </c>
      <c r="E2364">
        <v>0</v>
      </c>
      <c r="F2364">
        <v>0</v>
      </c>
      <c r="G2364">
        <v>491.89896435999992</v>
      </c>
      <c r="H2364">
        <v>462.66311349000171</v>
      </c>
      <c r="I2364">
        <v>0</v>
      </c>
      <c r="J2364">
        <v>-25</v>
      </c>
      <c r="K2364">
        <v>-6.2218937999999131</v>
      </c>
      <c r="L2364">
        <v>0</v>
      </c>
      <c r="M2364">
        <v>0</v>
      </c>
      <c r="N2364">
        <v>0</v>
      </c>
      <c r="O2364">
        <v>-17.329438779782411</v>
      </c>
      <c r="P2364">
        <v>252803.10442443</v>
      </c>
    </row>
    <row r="2365" spans="1:16" x14ac:dyDescent="0.25">
      <c r="A2365" s="10">
        <v>41101</v>
      </c>
      <c r="B2365">
        <v>-2296.27313143009</v>
      </c>
      <c r="C2365">
        <v>391.88465000000002</v>
      </c>
      <c r="D2365">
        <v>0</v>
      </c>
      <c r="E2365">
        <v>0</v>
      </c>
      <c r="F2365">
        <v>0</v>
      </c>
      <c r="G2365">
        <v>72.613284829999998</v>
      </c>
      <c r="H2365">
        <v>-3016.9628904599958</v>
      </c>
      <c r="I2365">
        <v>0</v>
      </c>
      <c r="J2365">
        <v>15.30000000000018</v>
      </c>
      <c r="K2365">
        <v>4.9889903699999998</v>
      </c>
      <c r="L2365">
        <v>247.6</v>
      </c>
      <c r="M2365">
        <v>0</v>
      </c>
      <c r="N2365">
        <v>0</v>
      </c>
      <c r="O2365">
        <v>-11.69716617009372</v>
      </c>
      <c r="P2365">
        <v>250506.83129299991</v>
      </c>
    </row>
    <row r="2366" spans="1:16" x14ac:dyDescent="0.25">
      <c r="A2366" s="10">
        <v>41102</v>
      </c>
      <c r="B2366">
        <v>1741.5598322600119</v>
      </c>
      <c r="C2366">
        <v>313.60449999999997</v>
      </c>
      <c r="D2366">
        <v>0</v>
      </c>
      <c r="E2366">
        <v>0</v>
      </c>
      <c r="F2366">
        <v>0</v>
      </c>
      <c r="G2366">
        <v>-160.70178145</v>
      </c>
      <c r="H2366">
        <v>1618.17174559</v>
      </c>
      <c r="I2366">
        <v>0</v>
      </c>
      <c r="J2366">
        <v>48.400000000000091</v>
      </c>
      <c r="K2366">
        <v>4.7184711000000004</v>
      </c>
      <c r="L2366">
        <v>0</v>
      </c>
      <c r="M2366">
        <v>0</v>
      </c>
      <c r="N2366">
        <v>0</v>
      </c>
      <c r="O2366">
        <v>-82.63310297998801</v>
      </c>
      <c r="P2366">
        <v>252248.39112525989</v>
      </c>
    </row>
    <row r="2367" spans="1:16" x14ac:dyDescent="0.25">
      <c r="A2367" s="10">
        <v>41103</v>
      </c>
      <c r="B2367">
        <v>2258.7845848698921</v>
      </c>
      <c r="C2367">
        <v>74.553299999999993</v>
      </c>
      <c r="D2367">
        <v>0</v>
      </c>
      <c r="E2367">
        <v>0</v>
      </c>
      <c r="F2367">
        <v>0</v>
      </c>
      <c r="G2367">
        <v>-70.380698350000046</v>
      </c>
      <c r="H2367">
        <v>2226.957166069998</v>
      </c>
      <c r="I2367">
        <v>0</v>
      </c>
      <c r="J2367">
        <v>0</v>
      </c>
      <c r="K2367">
        <v>5.35969506</v>
      </c>
      <c r="L2367">
        <v>0</v>
      </c>
      <c r="M2367">
        <v>0</v>
      </c>
      <c r="N2367">
        <v>0</v>
      </c>
      <c r="O2367">
        <v>22.29512208989372</v>
      </c>
      <c r="P2367">
        <v>254507.17571012981</v>
      </c>
    </row>
    <row r="2368" spans="1:16" x14ac:dyDescent="0.25">
      <c r="A2368" s="10">
        <v>41106</v>
      </c>
      <c r="B2368">
        <v>1155.3311013801449</v>
      </c>
      <c r="C2368">
        <v>411.17099999999999</v>
      </c>
      <c r="D2368">
        <v>0</v>
      </c>
      <c r="E2368">
        <v>0</v>
      </c>
      <c r="F2368">
        <v>0</v>
      </c>
      <c r="G2368">
        <v>-32.872904690000723</v>
      </c>
      <c r="H2368">
        <v>854.66952748000404</v>
      </c>
      <c r="I2368">
        <v>0</v>
      </c>
      <c r="J2368">
        <v>0</v>
      </c>
      <c r="K2368">
        <v>4.3514564399999998</v>
      </c>
      <c r="L2368">
        <v>0</v>
      </c>
      <c r="M2368">
        <v>0</v>
      </c>
      <c r="N2368">
        <v>0</v>
      </c>
      <c r="O2368">
        <v>-81.987977849857913</v>
      </c>
      <c r="P2368">
        <v>255662.5068115099</v>
      </c>
    </row>
    <row r="2369" spans="1:16" x14ac:dyDescent="0.25">
      <c r="A2369" s="10">
        <v>41107</v>
      </c>
      <c r="B2369">
        <v>282.54311139997992</v>
      </c>
      <c r="C2369">
        <v>-172.07008999999999</v>
      </c>
      <c r="D2369">
        <v>0</v>
      </c>
      <c r="E2369">
        <v>0</v>
      </c>
      <c r="F2369">
        <v>0</v>
      </c>
      <c r="G2369">
        <v>-398.70917962999999</v>
      </c>
      <c r="H2369">
        <v>796.26707580999573</v>
      </c>
      <c r="I2369">
        <v>0</v>
      </c>
      <c r="J2369">
        <v>0</v>
      </c>
      <c r="K2369">
        <v>6.2334151800000006</v>
      </c>
      <c r="L2369">
        <v>0</v>
      </c>
      <c r="M2369">
        <v>0</v>
      </c>
      <c r="N2369">
        <v>0</v>
      </c>
      <c r="O2369">
        <v>50.821890039984083</v>
      </c>
      <c r="P2369">
        <v>255945.04992290991</v>
      </c>
    </row>
    <row r="2370" spans="1:16" x14ac:dyDescent="0.25">
      <c r="A2370" s="10">
        <v>41108</v>
      </c>
      <c r="B2370">
        <v>1078.7670639699511</v>
      </c>
      <c r="C2370">
        <v>-2.2764000000000002</v>
      </c>
      <c r="D2370">
        <v>0</v>
      </c>
      <c r="E2370">
        <v>0</v>
      </c>
      <c r="F2370">
        <v>0</v>
      </c>
      <c r="G2370">
        <v>340.25384531999998</v>
      </c>
      <c r="H2370">
        <v>330.41535088000091</v>
      </c>
      <c r="I2370">
        <v>0</v>
      </c>
      <c r="J2370">
        <v>0</v>
      </c>
      <c r="K2370">
        <v>6.4292382300000002</v>
      </c>
      <c r="L2370">
        <v>404</v>
      </c>
      <c r="M2370">
        <v>0</v>
      </c>
      <c r="N2370">
        <v>0</v>
      </c>
      <c r="O2370">
        <v>-5.4970460050208107E-2</v>
      </c>
      <c r="P2370">
        <v>257023.81698687989</v>
      </c>
    </row>
    <row r="2371" spans="1:16" x14ac:dyDescent="0.25">
      <c r="A2371" s="10">
        <v>41109</v>
      </c>
      <c r="B2371">
        <v>-727.09278778015857</v>
      </c>
      <c r="C2371">
        <v>-127.15819999999999</v>
      </c>
      <c r="D2371">
        <v>0</v>
      </c>
      <c r="E2371">
        <v>0</v>
      </c>
      <c r="F2371">
        <v>0</v>
      </c>
      <c r="G2371">
        <v>100.66046710000001</v>
      </c>
      <c r="H2371">
        <v>-876.57166271000096</v>
      </c>
      <c r="I2371">
        <v>0</v>
      </c>
      <c r="J2371">
        <v>113.1999999999998</v>
      </c>
      <c r="K2371">
        <v>4.5167443100000009</v>
      </c>
      <c r="L2371">
        <v>0</v>
      </c>
      <c r="M2371">
        <v>0</v>
      </c>
      <c r="N2371">
        <v>0</v>
      </c>
      <c r="O2371">
        <v>58.25986351984259</v>
      </c>
      <c r="P2371">
        <v>256296.7241990997</v>
      </c>
    </row>
    <row r="2372" spans="1:16" x14ac:dyDescent="0.25">
      <c r="A2372" s="10">
        <v>41110</v>
      </c>
      <c r="B2372">
        <v>-2080.8707358198872</v>
      </c>
      <c r="C2372">
        <v>2.8076999999999832</v>
      </c>
      <c r="D2372">
        <v>0</v>
      </c>
      <c r="E2372">
        <v>0</v>
      </c>
      <c r="F2372">
        <v>0</v>
      </c>
      <c r="G2372">
        <v>26.102948919999999</v>
      </c>
      <c r="H2372">
        <v>-2126.3583980899971</v>
      </c>
      <c r="I2372">
        <v>0</v>
      </c>
      <c r="J2372">
        <v>0</v>
      </c>
      <c r="K2372">
        <v>4.7401828699999999</v>
      </c>
      <c r="L2372">
        <v>0</v>
      </c>
      <c r="M2372">
        <v>0</v>
      </c>
      <c r="N2372">
        <v>0</v>
      </c>
      <c r="O2372">
        <v>11.83683048011007</v>
      </c>
      <c r="P2372">
        <v>254215.85346327981</v>
      </c>
    </row>
    <row r="2373" spans="1:16" x14ac:dyDescent="0.25">
      <c r="A2373" s="10">
        <v>41113</v>
      </c>
      <c r="B2373">
        <v>-2005.7092527898769</v>
      </c>
      <c r="C2373">
        <v>0.20999999999997951</v>
      </c>
      <c r="D2373">
        <v>0</v>
      </c>
      <c r="E2373">
        <v>-2000</v>
      </c>
      <c r="F2373">
        <v>0</v>
      </c>
      <c r="G2373">
        <v>130.76303639</v>
      </c>
      <c r="H2373">
        <v>-129.38316873000079</v>
      </c>
      <c r="I2373">
        <v>0</v>
      </c>
      <c r="J2373">
        <v>0</v>
      </c>
      <c r="K2373">
        <v>6.8499053599999993</v>
      </c>
      <c r="L2373">
        <v>0</v>
      </c>
      <c r="M2373">
        <v>0</v>
      </c>
      <c r="N2373">
        <v>0</v>
      </c>
      <c r="O2373">
        <v>-14.14902580987682</v>
      </c>
      <c r="P2373">
        <v>252210.1442104899</v>
      </c>
    </row>
    <row r="2374" spans="1:16" x14ac:dyDescent="0.25">
      <c r="A2374" s="10">
        <v>41114</v>
      </c>
      <c r="B2374">
        <v>-1401.7841414499569</v>
      </c>
      <c r="C2374">
        <v>-184.50540000000001</v>
      </c>
      <c r="D2374">
        <v>0</v>
      </c>
      <c r="E2374">
        <v>0</v>
      </c>
      <c r="F2374">
        <v>0</v>
      </c>
      <c r="G2374">
        <v>6.2249005900000052</v>
      </c>
      <c r="H2374">
        <v>-1243.4242807399969</v>
      </c>
      <c r="I2374">
        <v>0</v>
      </c>
      <c r="J2374">
        <v>0</v>
      </c>
      <c r="K2374">
        <v>3.7791723899999998</v>
      </c>
      <c r="L2374">
        <v>22.8</v>
      </c>
      <c r="M2374">
        <v>0</v>
      </c>
      <c r="N2374">
        <v>0</v>
      </c>
      <c r="O2374">
        <v>-6.6585336899603149</v>
      </c>
      <c r="P2374">
        <v>250808.36006904001</v>
      </c>
    </row>
    <row r="2375" spans="1:16" x14ac:dyDescent="0.25">
      <c r="A2375" s="10">
        <v>41115</v>
      </c>
      <c r="B2375">
        <v>-61.196085050031272</v>
      </c>
      <c r="C2375">
        <v>4.2980000000000018</v>
      </c>
      <c r="D2375">
        <v>0</v>
      </c>
      <c r="E2375">
        <v>0</v>
      </c>
      <c r="F2375">
        <v>0</v>
      </c>
      <c r="G2375">
        <v>-256.03304305</v>
      </c>
      <c r="H2375">
        <v>911.11415055999896</v>
      </c>
      <c r="I2375">
        <v>0</v>
      </c>
      <c r="J2375">
        <v>0</v>
      </c>
      <c r="K2375">
        <v>4.9798507999999986</v>
      </c>
      <c r="L2375">
        <v>-676.7</v>
      </c>
      <c r="M2375">
        <v>0</v>
      </c>
      <c r="N2375">
        <v>0</v>
      </c>
      <c r="O2375">
        <v>-48.855043360030137</v>
      </c>
      <c r="P2375">
        <v>250747.16398398991</v>
      </c>
    </row>
    <row r="2376" spans="1:16" x14ac:dyDescent="0.25">
      <c r="A2376" s="10">
        <v>41116</v>
      </c>
      <c r="B2376">
        <v>2108.7541763099448</v>
      </c>
      <c r="C2376">
        <v>0.22599999999999801</v>
      </c>
      <c r="D2376">
        <v>0</v>
      </c>
      <c r="E2376">
        <v>5050</v>
      </c>
      <c r="F2376">
        <v>0</v>
      </c>
      <c r="G2376">
        <v>-13.831055099999899</v>
      </c>
      <c r="H2376">
        <v>-2964.4833789100048</v>
      </c>
      <c r="I2376">
        <v>0</v>
      </c>
      <c r="J2376">
        <v>0</v>
      </c>
      <c r="K2376">
        <v>5.5237328699999999</v>
      </c>
      <c r="L2376">
        <v>69.900000000000006</v>
      </c>
      <c r="M2376">
        <v>0</v>
      </c>
      <c r="N2376">
        <v>0</v>
      </c>
      <c r="O2376">
        <v>-38.581122550050708</v>
      </c>
      <c r="P2376">
        <v>252855.91816029989</v>
      </c>
    </row>
    <row r="2377" spans="1:16" x14ac:dyDescent="0.25">
      <c r="A2377" s="10">
        <v>41117</v>
      </c>
      <c r="B2377">
        <v>-1106.2495007300749</v>
      </c>
      <c r="C2377">
        <v>0.37800000000004269</v>
      </c>
      <c r="D2377">
        <v>0</v>
      </c>
      <c r="E2377">
        <v>0</v>
      </c>
      <c r="F2377">
        <v>0</v>
      </c>
      <c r="G2377">
        <v>-19.754579889999992</v>
      </c>
      <c r="H2377">
        <v>-1297.558192929999</v>
      </c>
      <c r="I2377">
        <v>0</v>
      </c>
      <c r="J2377">
        <v>6.0999999999999091</v>
      </c>
      <c r="K2377">
        <v>6.8727496999999991</v>
      </c>
      <c r="L2377">
        <v>158.5</v>
      </c>
      <c r="M2377">
        <v>0</v>
      </c>
      <c r="N2377">
        <v>0</v>
      </c>
      <c r="O2377">
        <v>39.212522389923834</v>
      </c>
      <c r="P2377">
        <v>251749.66865956981</v>
      </c>
    </row>
    <row r="2378" spans="1:16" x14ac:dyDescent="0.25">
      <c r="A2378" s="10">
        <v>41120</v>
      </c>
      <c r="B2378">
        <v>-1862.1443714498889</v>
      </c>
      <c r="C2378">
        <v>1.3790000000000191</v>
      </c>
      <c r="D2378">
        <v>0</v>
      </c>
      <c r="E2378">
        <v>0</v>
      </c>
      <c r="F2378">
        <v>0</v>
      </c>
      <c r="G2378">
        <v>-39.964319299999993</v>
      </c>
      <c r="H2378">
        <v>-1808.97082359</v>
      </c>
      <c r="I2378">
        <v>0</v>
      </c>
      <c r="J2378">
        <v>0</v>
      </c>
      <c r="K2378">
        <v>11.816492159999999</v>
      </c>
      <c r="L2378">
        <v>0</v>
      </c>
      <c r="M2378">
        <v>0</v>
      </c>
      <c r="N2378">
        <v>0</v>
      </c>
      <c r="O2378">
        <v>-26.40472071988934</v>
      </c>
      <c r="P2378">
        <v>249887.52428811989</v>
      </c>
    </row>
    <row r="2379" spans="1:16" x14ac:dyDescent="0.25">
      <c r="A2379" s="10">
        <v>41121</v>
      </c>
      <c r="B2379">
        <v>-3426.746050230051</v>
      </c>
      <c r="C2379">
        <v>-238.10499999999999</v>
      </c>
      <c r="D2379">
        <v>0</v>
      </c>
      <c r="E2379">
        <v>0</v>
      </c>
      <c r="F2379">
        <v>0</v>
      </c>
      <c r="G2379">
        <v>-40.773852180000027</v>
      </c>
      <c r="H2379">
        <v>-3203.767654559997</v>
      </c>
      <c r="I2379">
        <v>0</v>
      </c>
      <c r="J2379">
        <v>0</v>
      </c>
      <c r="K2379">
        <v>7.1681832799999983</v>
      </c>
      <c r="L2379">
        <v>0</v>
      </c>
      <c r="M2379">
        <v>0</v>
      </c>
      <c r="N2379">
        <v>0</v>
      </c>
      <c r="O2379">
        <v>48.732273229945712</v>
      </c>
      <c r="P2379">
        <v>246460.7782378899</v>
      </c>
    </row>
    <row r="2380" spans="1:16" x14ac:dyDescent="0.25">
      <c r="A2380" s="10">
        <v>41122</v>
      </c>
      <c r="B2380">
        <v>7315.0946146098731</v>
      </c>
      <c r="C2380">
        <v>4.6340000000000154</v>
      </c>
      <c r="D2380">
        <v>0</v>
      </c>
      <c r="E2380">
        <v>0</v>
      </c>
      <c r="F2380">
        <v>0</v>
      </c>
      <c r="G2380">
        <v>300.89507185000008</v>
      </c>
      <c r="H2380">
        <v>7695.4640871599986</v>
      </c>
      <c r="I2380">
        <v>0</v>
      </c>
      <c r="J2380">
        <v>0</v>
      </c>
      <c r="K2380">
        <v>5.8056075500000004</v>
      </c>
      <c r="L2380">
        <v>-661.5</v>
      </c>
      <c r="M2380">
        <v>0</v>
      </c>
      <c r="N2380">
        <v>0</v>
      </c>
      <c r="O2380">
        <v>-30.20415195012556</v>
      </c>
      <c r="P2380">
        <v>253775.87285249971</v>
      </c>
    </row>
    <row r="2381" spans="1:16" x14ac:dyDescent="0.25">
      <c r="A2381" s="10">
        <v>41123</v>
      </c>
      <c r="B2381">
        <v>2665.2303670402339</v>
      </c>
      <c r="C2381">
        <v>94.007999999999981</v>
      </c>
      <c r="D2381">
        <v>0</v>
      </c>
      <c r="E2381">
        <v>0</v>
      </c>
      <c r="F2381">
        <v>0</v>
      </c>
      <c r="G2381">
        <v>20.779115539999999</v>
      </c>
      <c r="H2381">
        <v>2590.6441787100011</v>
      </c>
      <c r="I2381">
        <v>0</v>
      </c>
      <c r="J2381">
        <v>0.44700000000011642</v>
      </c>
      <c r="K2381">
        <v>6.2012577899999997</v>
      </c>
      <c r="L2381">
        <v>0</v>
      </c>
      <c r="M2381">
        <v>0</v>
      </c>
      <c r="N2381">
        <v>0</v>
      </c>
      <c r="O2381">
        <v>-46.849184999767111</v>
      </c>
      <c r="P2381">
        <v>256441.10321954</v>
      </c>
    </row>
    <row r="2382" spans="1:16" x14ac:dyDescent="0.25">
      <c r="A2382" s="10">
        <v>41124</v>
      </c>
      <c r="B2382">
        <v>1374.760200930147</v>
      </c>
      <c r="C2382">
        <v>117.03</v>
      </c>
      <c r="D2382">
        <v>0</v>
      </c>
      <c r="E2382">
        <v>0</v>
      </c>
      <c r="F2382">
        <v>0</v>
      </c>
      <c r="G2382">
        <v>-58.587828510000691</v>
      </c>
      <c r="H2382">
        <v>1376.2762408800011</v>
      </c>
      <c r="I2382">
        <v>0</v>
      </c>
      <c r="J2382">
        <v>-90.099999999999909</v>
      </c>
      <c r="K2382">
        <v>5.1642725099999094</v>
      </c>
      <c r="L2382">
        <v>0</v>
      </c>
      <c r="M2382">
        <v>0</v>
      </c>
      <c r="N2382">
        <v>0</v>
      </c>
      <c r="O2382">
        <v>24.977516050146779</v>
      </c>
      <c r="P2382">
        <v>257815.86342047009</v>
      </c>
    </row>
    <row r="2383" spans="1:16" x14ac:dyDescent="0.25">
      <c r="A2383" s="10">
        <v>41127</v>
      </c>
      <c r="B2383">
        <v>684.78427959981468</v>
      </c>
      <c r="C2383">
        <v>117.17</v>
      </c>
      <c r="D2383">
        <v>0</v>
      </c>
      <c r="E2383">
        <v>0</v>
      </c>
      <c r="F2383">
        <v>0</v>
      </c>
      <c r="G2383">
        <v>-166.66236932000001</v>
      </c>
      <c r="H2383">
        <v>700.53295574000185</v>
      </c>
      <c r="I2383">
        <v>0</v>
      </c>
      <c r="J2383">
        <v>40</v>
      </c>
      <c r="K2383">
        <v>7.7945260300000001</v>
      </c>
      <c r="L2383">
        <v>0</v>
      </c>
      <c r="M2383">
        <v>0</v>
      </c>
      <c r="N2383">
        <v>0</v>
      </c>
      <c r="O2383">
        <v>-14.0508328501872</v>
      </c>
      <c r="P2383">
        <v>258500.64770007</v>
      </c>
    </row>
    <row r="2384" spans="1:16" x14ac:dyDescent="0.25">
      <c r="A2384" s="10">
        <v>41128</v>
      </c>
      <c r="B2384">
        <v>-1178.540031339885</v>
      </c>
      <c r="C2384">
        <v>-2.4000000000000909E-2</v>
      </c>
      <c r="D2384">
        <v>0</v>
      </c>
      <c r="E2384">
        <v>0</v>
      </c>
      <c r="F2384">
        <v>0</v>
      </c>
      <c r="G2384">
        <v>166.04053164000001</v>
      </c>
      <c r="H2384">
        <v>-1381.77669836</v>
      </c>
      <c r="I2384">
        <v>0</v>
      </c>
      <c r="J2384">
        <v>0</v>
      </c>
      <c r="K2384">
        <v>4.7130886199999997</v>
      </c>
      <c r="L2384">
        <v>0</v>
      </c>
      <c r="M2384">
        <v>0</v>
      </c>
      <c r="N2384">
        <v>0</v>
      </c>
      <c r="O2384">
        <v>32.507046760114243</v>
      </c>
      <c r="P2384">
        <v>257322.10766873011</v>
      </c>
    </row>
    <row r="2385" spans="1:16" x14ac:dyDescent="0.25">
      <c r="A2385" s="10">
        <v>41129</v>
      </c>
      <c r="B2385">
        <v>-1563.3690592001069</v>
      </c>
      <c r="C2385">
        <v>4.6084999999999923</v>
      </c>
      <c r="D2385">
        <v>0</v>
      </c>
      <c r="E2385">
        <v>0</v>
      </c>
      <c r="F2385">
        <v>0</v>
      </c>
      <c r="G2385">
        <v>-38.828816339999982</v>
      </c>
      <c r="H2385">
        <v>-1933.4017541800019</v>
      </c>
      <c r="I2385">
        <v>0</v>
      </c>
      <c r="J2385">
        <v>-25</v>
      </c>
      <c r="K2385">
        <v>-19.85437516999982</v>
      </c>
      <c r="L2385">
        <v>480.8</v>
      </c>
      <c r="M2385">
        <v>0</v>
      </c>
      <c r="N2385">
        <v>0</v>
      </c>
      <c r="O2385">
        <v>-31.692613510104501</v>
      </c>
      <c r="P2385">
        <v>255758.73860952989</v>
      </c>
    </row>
    <row r="2386" spans="1:16" x14ac:dyDescent="0.25">
      <c r="A2386" s="10">
        <v>41130</v>
      </c>
      <c r="B2386">
        <v>1189.573504610222</v>
      </c>
      <c r="C2386">
        <v>-114.99850000000001</v>
      </c>
      <c r="D2386">
        <v>0</v>
      </c>
      <c r="E2386">
        <v>0</v>
      </c>
      <c r="F2386">
        <v>0</v>
      </c>
      <c r="G2386">
        <v>62.283873989999996</v>
      </c>
      <c r="H2386">
        <v>1225.2596304300021</v>
      </c>
      <c r="I2386">
        <v>0</v>
      </c>
      <c r="J2386">
        <v>0</v>
      </c>
      <c r="K2386">
        <v>3.9569999999999999</v>
      </c>
      <c r="L2386">
        <v>0</v>
      </c>
      <c r="M2386">
        <v>0</v>
      </c>
      <c r="N2386">
        <v>0</v>
      </c>
      <c r="O2386">
        <v>13.071500190219149</v>
      </c>
      <c r="P2386">
        <v>256948.31211414019</v>
      </c>
    </row>
    <row r="2387" spans="1:16" x14ac:dyDescent="0.25">
      <c r="A2387" s="10">
        <v>41131</v>
      </c>
      <c r="B2387">
        <v>-907.37969770046857</v>
      </c>
      <c r="C2387">
        <v>461.81335000000001</v>
      </c>
      <c r="D2387">
        <v>0</v>
      </c>
      <c r="E2387">
        <v>0</v>
      </c>
      <c r="F2387">
        <v>0</v>
      </c>
      <c r="G2387">
        <v>-272.96325597999999</v>
      </c>
      <c r="H2387">
        <v>-893.26778954000474</v>
      </c>
      <c r="I2387">
        <v>0</v>
      </c>
      <c r="J2387">
        <v>4.5999999999999091</v>
      </c>
      <c r="K2387">
        <v>4.2595488499999998</v>
      </c>
      <c r="L2387">
        <v>0</v>
      </c>
      <c r="M2387">
        <v>0</v>
      </c>
      <c r="N2387">
        <v>0</v>
      </c>
      <c r="O2387">
        <v>-211.82155103046381</v>
      </c>
      <c r="P2387">
        <v>256040.9324164397</v>
      </c>
    </row>
    <row r="2388" spans="1:16" x14ac:dyDescent="0.25">
      <c r="A2388" s="10">
        <v>41134</v>
      </c>
      <c r="B2388">
        <v>1688.744969360182</v>
      </c>
      <c r="C2388">
        <v>64.456000000000003</v>
      </c>
      <c r="D2388">
        <v>0</v>
      </c>
      <c r="E2388">
        <v>0</v>
      </c>
      <c r="F2388">
        <v>0</v>
      </c>
      <c r="G2388">
        <v>75.36812119999999</v>
      </c>
      <c r="H2388">
        <v>1511.7526714399969</v>
      </c>
      <c r="I2388">
        <v>0</v>
      </c>
      <c r="J2388">
        <v>0</v>
      </c>
      <c r="K2388">
        <v>6.8413400499999986</v>
      </c>
      <c r="L2388">
        <v>55.3</v>
      </c>
      <c r="M2388">
        <v>0</v>
      </c>
      <c r="N2388">
        <v>0</v>
      </c>
      <c r="O2388">
        <v>-24.97316332981573</v>
      </c>
      <c r="P2388">
        <v>257729.67738579991</v>
      </c>
    </row>
    <row r="2389" spans="1:16" x14ac:dyDescent="0.25">
      <c r="A2389" s="10">
        <v>41135</v>
      </c>
      <c r="B2389">
        <v>554.60472434983137</v>
      </c>
      <c r="C2389">
        <v>-189.77520000000001</v>
      </c>
      <c r="D2389">
        <v>0</v>
      </c>
      <c r="E2389">
        <v>0</v>
      </c>
      <c r="F2389">
        <v>0</v>
      </c>
      <c r="G2389">
        <v>74.617627780000021</v>
      </c>
      <c r="H2389">
        <v>641.3120405600057</v>
      </c>
      <c r="I2389">
        <v>0</v>
      </c>
      <c r="J2389">
        <v>0</v>
      </c>
      <c r="K2389">
        <v>5.7688211299999992</v>
      </c>
      <c r="L2389">
        <v>0</v>
      </c>
      <c r="M2389">
        <v>0</v>
      </c>
      <c r="N2389">
        <v>0</v>
      </c>
      <c r="O2389">
        <v>22.681434879825719</v>
      </c>
      <c r="P2389">
        <v>258284.28211014971</v>
      </c>
    </row>
    <row r="2390" spans="1:16" x14ac:dyDescent="0.25">
      <c r="A2390" s="10">
        <v>41136</v>
      </c>
      <c r="B2390">
        <v>1418.2993975803829</v>
      </c>
      <c r="C2390">
        <v>3.000000000000114E-2</v>
      </c>
      <c r="D2390">
        <v>0</v>
      </c>
      <c r="E2390">
        <v>0</v>
      </c>
      <c r="F2390">
        <v>0</v>
      </c>
      <c r="G2390">
        <v>-29.015485080000079</v>
      </c>
      <c r="H2390">
        <v>1261.9162681299999</v>
      </c>
      <c r="I2390">
        <v>0</v>
      </c>
      <c r="J2390">
        <v>25</v>
      </c>
      <c r="K2390">
        <v>5.6178613200000003</v>
      </c>
      <c r="L2390">
        <v>151.19999999999999</v>
      </c>
      <c r="M2390">
        <v>0</v>
      </c>
      <c r="N2390">
        <v>0</v>
      </c>
      <c r="O2390">
        <v>3.5507532103826631</v>
      </c>
      <c r="P2390">
        <v>259702.58150773009</v>
      </c>
    </row>
    <row r="2391" spans="1:16" x14ac:dyDescent="0.25">
      <c r="A2391" s="10">
        <v>41137</v>
      </c>
      <c r="B2391">
        <v>-992.29495702011707</v>
      </c>
      <c r="C2391">
        <v>11.5375</v>
      </c>
      <c r="D2391">
        <v>0</v>
      </c>
      <c r="E2391">
        <v>0</v>
      </c>
      <c r="F2391">
        <v>0</v>
      </c>
      <c r="G2391">
        <v>-357.40000308999998</v>
      </c>
      <c r="H2391">
        <v>-617.44101791999856</v>
      </c>
      <c r="I2391">
        <v>0</v>
      </c>
      <c r="J2391">
        <v>0</v>
      </c>
      <c r="K2391">
        <v>5.3639131999999998</v>
      </c>
      <c r="L2391">
        <v>0</v>
      </c>
      <c r="M2391">
        <v>0</v>
      </c>
      <c r="N2391">
        <v>0</v>
      </c>
      <c r="O2391">
        <v>-34.355349210118433</v>
      </c>
      <c r="P2391">
        <v>258710.28655071001</v>
      </c>
    </row>
    <row r="2392" spans="1:16" x14ac:dyDescent="0.25">
      <c r="A2392" s="10">
        <v>41138</v>
      </c>
      <c r="B2392">
        <v>-4364.0176762600286</v>
      </c>
      <c r="C2392">
        <v>94.607199999999978</v>
      </c>
      <c r="D2392">
        <v>0</v>
      </c>
      <c r="E2392">
        <v>0</v>
      </c>
      <c r="F2392">
        <v>0</v>
      </c>
      <c r="G2392">
        <v>-169.63691242999991</v>
      </c>
      <c r="H2392">
        <v>-4275.543229490002</v>
      </c>
      <c r="I2392">
        <v>0</v>
      </c>
      <c r="J2392">
        <v>0</v>
      </c>
      <c r="K2392">
        <v>4.26263843</v>
      </c>
      <c r="L2392">
        <v>0</v>
      </c>
      <c r="M2392">
        <v>0</v>
      </c>
      <c r="N2392">
        <v>0</v>
      </c>
      <c r="O2392">
        <v>-17.707372770028272</v>
      </c>
      <c r="P2392">
        <v>254346.26887444989</v>
      </c>
    </row>
    <row r="2393" spans="1:16" x14ac:dyDescent="0.25">
      <c r="A2393" s="10">
        <v>41142</v>
      </c>
      <c r="B2393">
        <v>2350.569127819821</v>
      </c>
      <c r="C2393">
        <v>-115.459</v>
      </c>
      <c r="D2393">
        <v>0</v>
      </c>
      <c r="E2393">
        <v>0</v>
      </c>
      <c r="F2393">
        <v>0</v>
      </c>
      <c r="G2393">
        <v>386.45169157999987</v>
      </c>
      <c r="H2393">
        <v>1921.188525359998</v>
      </c>
      <c r="I2393">
        <v>0</v>
      </c>
      <c r="J2393">
        <v>12.400000000000089</v>
      </c>
      <c r="K2393">
        <v>14.91248788</v>
      </c>
      <c r="L2393">
        <v>159.6</v>
      </c>
      <c r="M2393">
        <v>0</v>
      </c>
      <c r="N2393">
        <v>0</v>
      </c>
      <c r="O2393">
        <v>-28.524577000175761</v>
      </c>
      <c r="P2393">
        <v>256696.8380022698</v>
      </c>
    </row>
    <row r="2394" spans="1:16" x14ac:dyDescent="0.25">
      <c r="A2394" s="10">
        <v>41143</v>
      </c>
      <c r="B2394">
        <v>2782.735873040132</v>
      </c>
      <c r="C2394">
        <v>-296.84386000000001</v>
      </c>
      <c r="D2394">
        <v>0</v>
      </c>
      <c r="E2394">
        <v>0</v>
      </c>
      <c r="F2394">
        <v>0</v>
      </c>
      <c r="G2394">
        <v>240.41210791</v>
      </c>
      <c r="H2394">
        <v>2716.9157420100018</v>
      </c>
      <c r="I2394">
        <v>0</v>
      </c>
      <c r="J2394">
        <v>0</v>
      </c>
      <c r="K2394">
        <v>5.7076374199999993</v>
      </c>
      <c r="L2394">
        <v>148.60000000000011</v>
      </c>
      <c r="M2394">
        <v>0</v>
      </c>
      <c r="N2394">
        <v>0</v>
      </c>
      <c r="O2394">
        <v>-32.055754299870387</v>
      </c>
      <c r="P2394">
        <v>259479.5738753099</v>
      </c>
    </row>
    <row r="2395" spans="1:16" x14ac:dyDescent="0.25">
      <c r="A2395" s="10">
        <v>41144</v>
      </c>
      <c r="B2395">
        <v>1122.405341200182</v>
      </c>
      <c r="C2395">
        <v>104.2921</v>
      </c>
      <c r="D2395">
        <v>0</v>
      </c>
      <c r="E2395">
        <v>5700</v>
      </c>
      <c r="F2395">
        <v>0</v>
      </c>
      <c r="G2395">
        <v>-625.7704692899996</v>
      </c>
      <c r="H2395">
        <v>-4006.1072087499961</v>
      </c>
      <c r="I2395">
        <v>0</v>
      </c>
      <c r="J2395">
        <v>9.3760000000002037</v>
      </c>
      <c r="K2395">
        <v>5.4256544599999996</v>
      </c>
      <c r="L2395">
        <v>0</v>
      </c>
      <c r="M2395">
        <v>0</v>
      </c>
      <c r="N2395">
        <v>0</v>
      </c>
      <c r="O2395">
        <v>-64.810735219822121</v>
      </c>
      <c r="P2395">
        <v>260601.97921651011</v>
      </c>
    </row>
    <row r="2396" spans="1:16" x14ac:dyDescent="0.25">
      <c r="A2396" s="10">
        <v>41145</v>
      </c>
      <c r="B2396">
        <v>348.15162030982748</v>
      </c>
      <c r="C2396">
        <v>453.75240000000008</v>
      </c>
      <c r="D2396">
        <v>0</v>
      </c>
      <c r="E2396">
        <v>0</v>
      </c>
      <c r="F2396">
        <v>0</v>
      </c>
      <c r="G2396">
        <v>-291.92565009999998</v>
      </c>
      <c r="H2396">
        <v>213.89055939999531</v>
      </c>
      <c r="I2396">
        <v>0</v>
      </c>
      <c r="J2396">
        <v>0</v>
      </c>
      <c r="K2396">
        <v>5.7839177800000003</v>
      </c>
      <c r="L2396">
        <v>0</v>
      </c>
      <c r="M2396">
        <v>0</v>
      </c>
      <c r="N2396">
        <v>0</v>
      </c>
      <c r="O2396">
        <v>-33.349606770167853</v>
      </c>
      <c r="P2396">
        <v>260950.13083681991</v>
      </c>
    </row>
    <row r="2397" spans="1:16" x14ac:dyDescent="0.25">
      <c r="A2397" s="10">
        <v>41148</v>
      </c>
      <c r="B2397">
        <v>-1343.7656513800021</v>
      </c>
      <c r="C2397">
        <v>-349.55450000000002</v>
      </c>
      <c r="D2397">
        <v>0</v>
      </c>
      <c r="E2397">
        <v>0</v>
      </c>
      <c r="F2397">
        <v>0</v>
      </c>
      <c r="G2397">
        <v>188.94558333000001</v>
      </c>
      <c r="H2397">
        <v>-1182.066227220002</v>
      </c>
      <c r="I2397">
        <v>0</v>
      </c>
      <c r="J2397">
        <v>0</v>
      </c>
      <c r="K2397">
        <v>4.9707047200000014</v>
      </c>
      <c r="L2397">
        <v>0</v>
      </c>
      <c r="M2397">
        <v>0</v>
      </c>
      <c r="N2397">
        <v>0</v>
      </c>
      <c r="O2397">
        <v>-6.0612122099993968</v>
      </c>
      <c r="P2397">
        <v>259606.36518543991</v>
      </c>
    </row>
    <row r="2398" spans="1:16" x14ac:dyDescent="0.25">
      <c r="A2398" s="10">
        <v>41149</v>
      </c>
      <c r="B2398">
        <v>1368.581268800101</v>
      </c>
      <c r="C2398">
        <v>-20.012239999999991</v>
      </c>
      <c r="D2398">
        <v>0</v>
      </c>
      <c r="E2398">
        <v>0</v>
      </c>
      <c r="F2398">
        <v>0</v>
      </c>
      <c r="G2398">
        <v>757.49062935000006</v>
      </c>
      <c r="H2398">
        <v>575.58769645000211</v>
      </c>
      <c r="I2398">
        <v>0</v>
      </c>
      <c r="J2398">
        <v>1.6999999999998181</v>
      </c>
      <c r="K2398">
        <v>2.8847340300000002</v>
      </c>
      <c r="L2398">
        <v>38.6</v>
      </c>
      <c r="M2398">
        <v>0</v>
      </c>
      <c r="N2398">
        <v>0</v>
      </c>
      <c r="O2398">
        <v>12.33044897009872</v>
      </c>
      <c r="P2398">
        <v>260974.94645424001</v>
      </c>
    </row>
    <row r="2399" spans="1:16" x14ac:dyDescent="0.25">
      <c r="A2399" s="10">
        <v>41150</v>
      </c>
      <c r="B2399">
        <v>-3034.4824209400399</v>
      </c>
      <c r="C2399">
        <v>-288.49950000000001</v>
      </c>
      <c r="D2399">
        <v>0</v>
      </c>
      <c r="E2399">
        <v>0</v>
      </c>
      <c r="F2399">
        <v>0</v>
      </c>
      <c r="G2399">
        <v>6.5183773000000116</v>
      </c>
      <c r="H2399">
        <v>-1423.7745944200001</v>
      </c>
      <c r="I2399">
        <v>0</v>
      </c>
      <c r="J2399">
        <v>0</v>
      </c>
      <c r="K2399">
        <v>5.6360178200000002</v>
      </c>
      <c r="L2399">
        <v>-1285</v>
      </c>
      <c r="M2399">
        <v>0</v>
      </c>
      <c r="N2399">
        <v>0</v>
      </c>
      <c r="O2399">
        <v>-49.362721640041038</v>
      </c>
      <c r="P2399">
        <v>257940.4640333</v>
      </c>
    </row>
    <row r="2400" spans="1:16" x14ac:dyDescent="0.25">
      <c r="A2400" s="10">
        <v>41151</v>
      </c>
      <c r="B2400">
        <v>2411.60519412023</v>
      </c>
      <c r="C2400">
        <v>171.376</v>
      </c>
      <c r="D2400">
        <v>0</v>
      </c>
      <c r="E2400">
        <v>0</v>
      </c>
      <c r="F2400">
        <v>0</v>
      </c>
      <c r="G2400">
        <v>7.0363429599999989</v>
      </c>
      <c r="H2400">
        <v>2272.3914255299969</v>
      </c>
      <c r="I2400">
        <v>0</v>
      </c>
      <c r="J2400">
        <v>0</v>
      </c>
      <c r="K2400">
        <v>8.4998373400000009</v>
      </c>
      <c r="L2400">
        <v>0</v>
      </c>
      <c r="M2400">
        <v>0</v>
      </c>
      <c r="N2400">
        <v>0</v>
      </c>
      <c r="O2400">
        <v>-47.69841170976688</v>
      </c>
      <c r="P2400">
        <v>260352.0692274202</v>
      </c>
    </row>
    <row r="2401" spans="1:16" x14ac:dyDescent="0.25">
      <c r="A2401" s="10">
        <v>41152</v>
      </c>
      <c r="B2401">
        <v>405.38008458993818</v>
      </c>
      <c r="C2401">
        <v>162.32749999999999</v>
      </c>
      <c r="D2401">
        <v>0</v>
      </c>
      <c r="E2401">
        <v>0</v>
      </c>
      <c r="F2401">
        <v>0</v>
      </c>
      <c r="G2401">
        <v>-67.076414140000054</v>
      </c>
      <c r="H2401">
        <v>283.63629497999858</v>
      </c>
      <c r="I2401">
        <v>0</v>
      </c>
      <c r="J2401">
        <v>0</v>
      </c>
      <c r="K2401">
        <v>6.4821787500000001</v>
      </c>
      <c r="L2401">
        <v>0</v>
      </c>
      <c r="M2401">
        <v>0</v>
      </c>
      <c r="N2401">
        <v>0</v>
      </c>
      <c r="O2401">
        <v>20.01052499993958</v>
      </c>
      <c r="P2401">
        <v>260757.44931201011</v>
      </c>
    </row>
    <row r="2402" spans="1:16" x14ac:dyDescent="0.25">
      <c r="A2402" s="10">
        <v>41155</v>
      </c>
      <c r="B2402">
        <v>2555.8467490898911</v>
      </c>
      <c r="C2402">
        <v>0</v>
      </c>
      <c r="D2402">
        <v>0</v>
      </c>
      <c r="E2402">
        <v>0</v>
      </c>
      <c r="F2402">
        <v>0</v>
      </c>
      <c r="G2402">
        <v>220.68357896000001</v>
      </c>
      <c r="H2402">
        <v>2193.8649139300001</v>
      </c>
      <c r="I2402">
        <v>0</v>
      </c>
      <c r="J2402">
        <v>64.099999999999909</v>
      </c>
      <c r="K2402">
        <v>8.4572869399999995</v>
      </c>
      <c r="L2402">
        <v>0</v>
      </c>
      <c r="M2402">
        <v>0</v>
      </c>
      <c r="N2402">
        <v>0</v>
      </c>
      <c r="O2402">
        <v>68.740969259891614</v>
      </c>
      <c r="P2402">
        <v>263313.29606109997</v>
      </c>
    </row>
    <row r="2403" spans="1:16" x14ac:dyDescent="0.25">
      <c r="A2403" s="10">
        <v>41156</v>
      </c>
      <c r="B2403">
        <v>-144.8723986502159</v>
      </c>
      <c r="C2403">
        <v>42.46275</v>
      </c>
      <c r="D2403">
        <v>0</v>
      </c>
      <c r="E2403">
        <v>0</v>
      </c>
      <c r="F2403">
        <v>0</v>
      </c>
      <c r="G2403">
        <v>-483.98803336999998</v>
      </c>
      <c r="H2403">
        <v>315.00614252999731</v>
      </c>
      <c r="I2403">
        <v>0</v>
      </c>
      <c r="J2403">
        <v>8.8000000000001819</v>
      </c>
      <c r="K2403">
        <v>4.0976178500000007</v>
      </c>
      <c r="L2403">
        <v>0</v>
      </c>
      <c r="M2403">
        <v>0</v>
      </c>
      <c r="N2403">
        <v>0</v>
      </c>
      <c r="O2403">
        <v>-31.25087566021341</v>
      </c>
      <c r="P2403">
        <v>263168.42366244982</v>
      </c>
    </row>
    <row r="2404" spans="1:16" x14ac:dyDescent="0.25">
      <c r="A2404" s="10">
        <v>41157</v>
      </c>
      <c r="B2404">
        <v>-390.99539795989392</v>
      </c>
      <c r="C2404">
        <v>-46.505000000000003</v>
      </c>
      <c r="D2404">
        <v>0</v>
      </c>
      <c r="E2404">
        <v>0</v>
      </c>
      <c r="F2404">
        <v>0</v>
      </c>
      <c r="G2404">
        <v>-8.7202623500000414</v>
      </c>
      <c r="H2404">
        <v>251.40185285999721</v>
      </c>
      <c r="I2404">
        <v>0</v>
      </c>
      <c r="J2404">
        <v>0</v>
      </c>
      <c r="K2404">
        <v>5.2579600100000006</v>
      </c>
      <c r="L2404">
        <v>-730.2</v>
      </c>
      <c r="M2404">
        <v>0</v>
      </c>
      <c r="N2404">
        <v>0</v>
      </c>
      <c r="O2404">
        <v>137.77005152010901</v>
      </c>
      <c r="P2404">
        <v>262777.42826448992</v>
      </c>
    </row>
    <row r="2405" spans="1:16" x14ac:dyDescent="0.25">
      <c r="A2405" s="10">
        <v>41158</v>
      </c>
      <c r="B2405">
        <v>140.48787406005499</v>
      </c>
      <c r="C2405">
        <v>180.6232</v>
      </c>
      <c r="D2405">
        <v>0</v>
      </c>
      <c r="E2405">
        <v>0</v>
      </c>
      <c r="F2405">
        <v>0</v>
      </c>
      <c r="G2405">
        <v>278.6954178200001</v>
      </c>
      <c r="H2405">
        <v>-318.53711121999908</v>
      </c>
      <c r="I2405">
        <v>0</v>
      </c>
      <c r="J2405">
        <v>0</v>
      </c>
      <c r="K2405">
        <v>4.5728861500000004</v>
      </c>
      <c r="L2405">
        <v>0</v>
      </c>
      <c r="M2405">
        <v>0</v>
      </c>
      <c r="N2405">
        <v>0</v>
      </c>
      <c r="O2405">
        <v>-4.8665186899459059</v>
      </c>
      <c r="P2405">
        <v>262917.91613854998</v>
      </c>
    </row>
    <row r="2406" spans="1:16" x14ac:dyDescent="0.25">
      <c r="A2406" s="10">
        <v>41159</v>
      </c>
      <c r="B2406">
        <v>-1838.3851640699129</v>
      </c>
      <c r="C2406">
        <v>272.55160000000001</v>
      </c>
      <c r="D2406">
        <v>0</v>
      </c>
      <c r="E2406">
        <v>0</v>
      </c>
      <c r="F2406">
        <v>0</v>
      </c>
      <c r="G2406">
        <v>136.88030047000009</v>
      </c>
      <c r="H2406">
        <v>-2288.270786860001</v>
      </c>
      <c r="I2406">
        <v>0</v>
      </c>
      <c r="J2406">
        <v>0</v>
      </c>
      <c r="K2406">
        <v>4.1977585099999999</v>
      </c>
      <c r="L2406">
        <v>0</v>
      </c>
      <c r="M2406">
        <v>0</v>
      </c>
      <c r="N2406">
        <v>0</v>
      </c>
      <c r="O2406">
        <v>36.255963810087451</v>
      </c>
      <c r="P2406">
        <v>261079.53097448009</v>
      </c>
    </row>
    <row r="2407" spans="1:16" x14ac:dyDescent="0.25">
      <c r="A2407" s="10">
        <v>41162</v>
      </c>
      <c r="B2407">
        <v>76.735641910082506</v>
      </c>
      <c r="C2407">
        <v>-106.758</v>
      </c>
      <c r="D2407">
        <v>0</v>
      </c>
      <c r="E2407">
        <v>0</v>
      </c>
      <c r="F2407">
        <v>0</v>
      </c>
      <c r="G2407">
        <v>-388.21514644999991</v>
      </c>
      <c r="H2407">
        <v>698.75872686000366</v>
      </c>
      <c r="I2407">
        <v>0</v>
      </c>
      <c r="J2407">
        <v>-31.900000000000091</v>
      </c>
      <c r="K2407">
        <v>-18.727533409999911</v>
      </c>
      <c r="L2407">
        <v>0</v>
      </c>
      <c r="M2407">
        <v>0</v>
      </c>
      <c r="N2407">
        <v>0</v>
      </c>
      <c r="O2407">
        <v>-76.422405089921199</v>
      </c>
      <c r="P2407">
        <v>261156.26661639009</v>
      </c>
    </row>
    <row r="2408" spans="1:16" x14ac:dyDescent="0.25">
      <c r="A2408" s="10">
        <v>41163</v>
      </c>
      <c r="B2408">
        <v>248.24537159001989</v>
      </c>
      <c r="C2408">
        <v>0</v>
      </c>
      <c r="D2408">
        <v>0</v>
      </c>
      <c r="E2408">
        <v>0</v>
      </c>
      <c r="F2408">
        <v>0</v>
      </c>
      <c r="G2408">
        <v>240.20690664</v>
      </c>
      <c r="H2408">
        <v>-22.059964289997879</v>
      </c>
      <c r="I2408">
        <v>0</v>
      </c>
      <c r="J2408">
        <v>0</v>
      </c>
      <c r="K2408">
        <v>4.7082112499999997</v>
      </c>
      <c r="L2408">
        <v>0</v>
      </c>
      <c r="M2408">
        <v>0</v>
      </c>
      <c r="N2408">
        <v>0</v>
      </c>
      <c r="O2408">
        <v>25.390217990017771</v>
      </c>
      <c r="P2408">
        <v>261404.51198798019</v>
      </c>
    </row>
    <row r="2409" spans="1:16" x14ac:dyDescent="0.25">
      <c r="A2409" s="10">
        <v>41164</v>
      </c>
      <c r="B2409">
        <v>1343.4520891796569</v>
      </c>
      <c r="C2409">
        <v>0</v>
      </c>
      <c r="D2409">
        <v>0</v>
      </c>
      <c r="E2409">
        <v>0</v>
      </c>
      <c r="F2409">
        <v>0</v>
      </c>
      <c r="G2409">
        <v>-189.05400932000001</v>
      </c>
      <c r="H2409">
        <v>1784.9568685700001</v>
      </c>
      <c r="I2409">
        <v>0</v>
      </c>
      <c r="J2409">
        <v>0</v>
      </c>
      <c r="K2409">
        <v>5.4947990600000001</v>
      </c>
      <c r="L2409">
        <v>-225.1999999999999</v>
      </c>
      <c r="M2409">
        <v>0</v>
      </c>
      <c r="N2409">
        <v>0</v>
      </c>
      <c r="O2409">
        <v>-32.745569130342837</v>
      </c>
      <c r="P2409">
        <v>262747.96407715982</v>
      </c>
    </row>
    <row r="2410" spans="1:16" x14ac:dyDescent="0.25">
      <c r="A2410" s="10">
        <v>41165</v>
      </c>
      <c r="B2410">
        <v>420.35119122994439</v>
      </c>
      <c r="C2410">
        <v>0</v>
      </c>
      <c r="D2410">
        <v>0</v>
      </c>
      <c r="E2410">
        <v>0</v>
      </c>
      <c r="F2410">
        <v>0</v>
      </c>
      <c r="G2410">
        <v>-53.385477440000052</v>
      </c>
      <c r="H2410">
        <v>482.92491451000211</v>
      </c>
      <c r="I2410">
        <v>0</v>
      </c>
      <c r="J2410">
        <v>4.0999999999999091</v>
      </c>
      <c r="K2410">
        <v>5.5211256100000003</v>
      </c>
      <c r="L2410">
        <v>0</v>
      </c>
      <c r="M2410">
        <v>0</v>
      </c>
      <c r="N2410">
        <v>0</v>
      </c>
      <c r="O2410">
        <v>-18.809371450057458</v>
      </c>
      <c r="P2410">
        <v>263168.31526838982</v>
      </c>
    </row>
    <row r="2411" spans="1:16" x14ac:dyDescent="0.25">
      <c r="A2411" s="10">
        <v>41166</v>
      </c>
      <c r="B2411">
        <v>-40.201237879635883</v>
      </c>
      <c r="C2411">
        <v>172.74600000000001</v>
      </c>
      <c r="D2411">
        <v>0</v>
      </c>
      <c r="E2411">
        <v>0</v>
      </c>
      <c r="F2411">
        <v>0</v>
      </c>
      <c r="G2411">
        <v>-356.97486364999997</v>
      </c>
      <c r="H2411">
        <v>154.72472518999891</v>
      </c>
      <c r="I2411">
        <v>0</v>
      </c>
      <c r="J2411">
        <v>0</v>
      </c>
      <c r="K2411">
        <v>6.2036394000000001</v>
      </c>
      <c r="L2411">
        <v>0</v>
      </c>
      <c r="M2411">
        <v>0</v>
      </c>
      <c r="N2411">
        <v>0</v>
      </c>
      <c r="O2411">
        <v>-16.900738819634849</v>
      </c>
      <c r="P2411">
        <v>263128.11403051019</v>
      </c>
    </row>
    <row r="2412" spans="1:16" x14ac:dyDescent="0.25">
      <c r="A2412" s="10">
        <v>41169</v>
      </c>
      <c r="B2412">
        <v>-913.7137748403469</v>
      </c>
      <c r="C2412">
        <v>-91.130499999999998</v>
      </c>
      <c r="D2412">
        <v>0</v>
      </c>
      <c r="E2412">
        <v>0</v>
      </c>
      <c r="F2412">
        <v>0</v>
      </c>
      <c r="G2412">
        <v>-59.163239299999987</v>
      </c>
      <c r="H2412">
        <v>-751.51465103999908</v>
      </c>
      <c r="I2412">
        <v>0</v>
      </c>
      <c r="J2412">
        <v>0</v>
      </c>
      <c r="K2412">
        <v>5.5382090799999997</v>
      </c>
      <c r="L2412">
        <v>0</v>
      </c>
      <c r="M2412">
        <v>0</v>
      </c>
      <c r="N2412">
        <v>0</v>
      </c>
      <c r="O2412">
        <v>-17.443593580347869</v>
      </c>
      <c r="P2412">
        <v>262214.40025566978</v>
      </c>
    </row>
    <row r="2413" spans="1:16" x14ac:dyDescent="0.25">
      <c r="A2413" s="10">
        <v>41170</v>
      </c>
      <c r="B2413">
        <v>-713.10266453001657</v>
      </c>
      <c r="C2413">
        <v>49.097999999999999</v>
      </c>
      <c r="D2413">
        <v>0</v>
      </c>
      <c r="E2413">
        <v>0</v>
      </c>
      <c r="F2413">
        <v>0</v>
      </c>
      <c r="G2413">
        <v>-96.753882900000036</v>
      </c>
      <c r="H2413">
        <v>-716.11763230999895</v>
      </c>
      <c r="I2413">
        <v>0</v>
      </c>
      <c r="J2413">
        <v>10.80000000000018</v>
      </c>
      <c r="K2413">
        <v>4.7073133</v>
      </c>
      <c r="L2413">
        <v>48.599999999999987</v>
      </c>
      <c r="M2413">
        <v>0</v>
      </c>
      <c r="N2413">
        <v>0</v>
      </c>
      <c r="O2413">
        <v>-13.436462620017799</v>
      </c>
      <c r="P2413">
        <v>261501.2975911398</v>
      </c>
    </row>
    <row r="2414" spans="1:16" x14ac:dyDescent="0.25">
      <c r="A2414" s="10">
        <v>41171</v>
      </c>
      <c r="B2414">
        <v>-218.28045550969429</v>
      </c>
      <c r="C2414">
        <v>-191.91</v>
      </c>
      <c r="D2414">
        <v>0</v>
      </c>
      <c r="E2414">
        <v>0</v>
      </c>
      <c r="F2414">
        <v>0</v>
      </c>
      <c r="G2414">
        <v>702.45431122999992</v>
      </c>
      <c r="H2414">
        <v>-1316.18552228</v>
      </c>
      <c r="I2414">
        <v>0</v>
      </c>
      <c r="J2414">
        <v>7.4000000000000909</v>
      </c>
      <c r="K2414">
        <v>3.8829180399999998</v>
      </c>
      <c r="L2414">
        <v>568.80000000000007</v>
      </c>
      <c r="M2414">
        <v>0</v>
      </c>
      <c r="N2414">
        <v>0</v>
      </c>
      <c r="O2414">
        <v>7.2778375003060098</v>
      </c>
      <c r="P2414">
        <v>261283.0171356301</v>
      </c>
    </row>
    <row r="2415" spans="1:16" x14ac:dyDescent="0.25">
      <c r="A2415" s="10">
        <v>41172</v>
      </c>
      <c r="B2415">
        <v>-223.56040880034581</v>
      </c>
      <c r="C2415">
        <v>18.698000000000011</v>
      </c>
      <c r="D2415">
        <v>0</v>
      </c>
      <c r="E2415">
        <v>0</v>
      </c>
      <c r="F2415">
        <v>0</v>
      </c>
      <c r="G2415">
        <v>-155.85067678999999</v>
      </c>
      <c r="H2415">
        <v>-67.73781885000426</v>
      </c>
      <c r="I2415">
        <v>0</v>
      </c>
      <c r="J2415">
        <v>0</v>
      </c>
      <c r="K2415">
        <v>4.8014390599999999</v>
      </c>
      <c r="L2415">
        <v>0</v>
      </c>
      <c r="M2415">
        <v>0</v>
      </c>
      <c r="N2415">
        <v>0</v>
      </c>
      <c r="O2415">
        <v>-23.471352220341501</v>
      </c>
      <c r="P2415">
        <v>261059.4567268297</v>
      </c>
    </row>
    <row r="2416" spans="1:16" x14ac:dyDescent="0.25">
      <c r="A2416" s="10">
        <v>41173</v>
      </c>
      <c r="B2416">
        <v>-3574.8162869697549</v>
      </c>
      <c r="C2416">
        <v>169.76050000000001</v>
      </c>
      <c r="D2416">
        <v>0</v>
      </c>
      <c r="E2416">
        <v>-4000</v>
      </c>
      <c r="F2416">
        <v>0</v>
      </c>
      <c r="G2416">
        <v>223.95717325999999</v>
      </c>
      <c r="H2416">
        <v>44.704455060003973</v>
      </c>
      <c r="I2416">
        <v>0</v>
      </c>
      <c r="J2416">
        <v>0</v>
      </c>
      <c r="K2416">
        <v>4.71792693</v>
      </c>
      <c r="L2416">
        <v>0</v>
      </c>
      <c r="M2416">
        <v>0</v>
      </c>
      <c r="N2416">
        <v>0</v>
      </c>
      <c r="O2416">
        <v>-17.956342219758881</v>
      </c>
      <c r="P2416">
        <v>257484.64043986</v>
      </c>
    </row>
    <row r="2417" spans="1:16" x14ac:dyDescent="0.25">
      <c r="A2417" s="10">
        <v>41177</v>
      </c>
      <c r="B2417">
        <v>1603.597919210122</v>
      </c>
      <c r="C2417">
        <v>-316.51749999999998</v>
      </c>
      <c r="D2417">
        <v>0</v>
      </c>
      <c r="E2417">
        <v>0</v>
      </c>
      <c r="F2417">
        <v>0</v>
      </c>
      <c r="G2417">
        <v>84.743063919999997</v>
      </c>
      <c r="H2417">
        <v>1841.654181639999</v>
      </c>
      <c r="I2417">
        <v>0</v>
      </c>
      <c r="J2417">
        <v>2.75</v>
      </c>
      <c r="K2417">
        <v>12.85758585</v>
      </c>
      <c r="L2417">
        <v>0</v>
      </c>
      <c r="M2417">
        <v>0</v>
      </c>
      <c r="N2417">
        <v>0</v>
      </c>
      <c r="O2417">
        <v>-21.889412199877231</v>
      </c>
      <c r="P2417">
        <v>259088.23835907009</v>
      </c>
    </row>
    <row r="2418" spans="1:16" x14ac:dyDescent="0.25">
      <c r="A2418" s="10">
        <v>41178</v>
      </c>
      <c r="B2418">
        <v>-172.87632517039339</v>
      </c>
      <c r="C2418">
        <v>-185.261</v>
      </c>
      <c r="D2418">
        <v>0</v>
      </c>
      <c r="E2418">
        <v>0</v>
      </c>
      <c r="F2418">
        <v>0</v>
      </c>
      <c r="G2418">
        <v>-62.013550330000001</v>
      </c>
      <c r="H2418">
        <v>-454.44794126000488</v>
      </c>
      <c r="I2418">
        <v>0</v>
      </c>
      <c r="J2418">
        <v>0</v>
      </c>
      <c r="K2418">
        <v>5.6214791699999997</v>
      </c>
      <c r="L2418">
        <v>515.29999999999995</v>
      </c>
      <c r="M2418">
        <v>0</v>
      </c>
      <c r="N2418">
        <v>0</v>
      </c>
      <c r="O2418">
        <v>7.924687249611452</v>
      </c>
      <c r="P2418">
        <v>258915.3620338997</v>
      </c>
    </row>
    <row r="2419" spans="1:16" x14ac:dyDescent="0.25">
      <c r="A2419" s="10">
        <v>41179</v>
      </c>
      <c r="B2419">
        <v>5446.5032065302948</v>
      </c>
      <c r="C2419">
        <v>90.732280000000003</v>
      </c>
      <c r="D2419">
        <v>0</v>
      </c>
      <c r="E2419">
        <v>4000</v>
      </c>
      <c r="F2419">
        <v>1825</v>
      </c>
      <c r="G2419">
        <v>-173.8178307499995</v>
      </c>
      <c r="H2419">
        <v>-273.68109145999921</v>
      </c>
      <c r="I2419">
        <v>0</v>
      </c>
      <c r="J2419">
        <v>40.599999999999909</v>
      </c>
      <c r="K2419">
        <v>6.126669480000003</v>
      </c>
      <c r="L2419">
        <v>0</v>
      </c>
      <c r="M2419">
        <v>0</v>
      </c>
      <c r="N2419">
        <v>0</v>
      </c>
      <c r="O2419">
        <v>-68.456820739706387</v>
      </c>
      <c r="P2419">
        <v>264361.86524042999</v>
      </c>
    </row>
    <row r="2420" spans="1:16" x14ac:dyDescent="0.25">
      <c r="A2420" s="10">
        <v>41180</v>
      </c>
      <c r="B2420">
        <v>827.11919078003848</v>
      </c>
      <c r="C2420">
        <v>490.80650000000003</v>
      </c>
      <c r="D2420">
        <v>0</v>
      </c>
      <c r="E2420">
        <v>0</v>
      </c>
      <c r="F2420">
        <v>0</v>
      </c>
      <c r="G2420">
        <v>-55.02852426000004</v>
      </c>
      <c r="H2420">
        <v>375.14390695000111</v>
      </c>
      <c r="I2420">
        <v>0</v>
      </c>
      <c r="J2420">
        <v>0</v>
      </c>
      <c r="K2420">
        <v>5.8625044900000001</v>
      </c>
      <c r="L2420">
        <v>0</v>
      </c>
      <c r="M2420">
        <v>0</v>
      </c>
      <c r="N2420">
        <v>0</v>
      </c>
      <c r="O2420">
        <v>10.33480360003737</v>
      </c>
      <c r="P2420">
        <v>265188.98443120997</v>
      </c>
    </row>
    <row r="2421" spans="1:16" x14ac:dyDescent="0.25">
      <c r="A2421" s="10">
        <v>41183</v>
      </c>
      <c r="B2421">
        <v>4716.9257716200082</v>
      </c>
      <c r="C2421">
        <v>90.184900000000027</v>
      </c>
      <c r="D2421">
        <v>0</v>
      </c>
      <c r="E2421">
        <v>0</v>
      </c>
      <c r="F2421">
        <v>0</v>
      </c>
      <c r="G2421">
        <v>276.41149844000012</v>
      </c>
      <c r="H2421">
        <v>4371.4531068500037</v>
      </c>
      <c r="I2421">
        <v>0</v>
      </c>
      <c r="J2421">
        <v>0</v>
      </c>
      <c r="K2421">
        <v>6.517388200000001</v>
      </c>
      <c r="L2421">
        <v>0</v>
      </c>
      <c r="M2421">
        <v>0</v>
      </c>
      <c r="N2421">
        <v>0</v>
      </c>
      <c r="O2421">
        <v>-27.641121869995551</v>
      </c>
      <c r="P2421">
        <v>269905.91020282998</v>
      </c>
    </row>
    <row r="2422" spans="1:16" x14ac:dyDescent="0.25">
      <c r="A2422" s="10">
        <v>41184</v>
      </c>
      <c r="B2422">
        <v>-540.604919010191</v>
      </c>
      <c r="C2422">
        <v>-256.149</v>
      </c>
      <c r="D2422">
        <v>0</v>
      </c>
      <c r="E2422">
        <v>0</v>
      </c>
      <c r="F2422">
        <v>0</v>
      </c>
      <c r="G2422">
        <v>-328.80710297000002</v>
      </c>
      <c r="H2422">
        <v>46.250604970000502</v>
      </c>
      <c r="I2422">
        <v>0</v>
      </c>
      <c r="J2422">
        <v>0</v>
      </c>
      <c r="K2422">
        <v>3.1845989499999998</v>
      </c>
      <c r="L2422">
        <v>11.5</v>
      </c>
      <c r="M2422">
        <v>0</v>
      </c>
      <c r="N2422">
        <v>0</v>
      </c>
      <c r="O2422">
        <v>-16.584019960191451</v>
      </c>
      <c r="P2422">
        <v>269365.30528381979</v>
      </c>
    </row>
    <row r="2423" spans="1:16" x14ac:dyDescent="0.25">
      <c r="A2423" s="10">
        <v>41185</v>
      </c>
      <c r="B2423">
        <v>-296.53775786008839</v>
      </c>
      <c r="C2423">
        <v>56.386000000000003</v>
      </c>
      <c r="D2423">
        <v>0</v>
      </c>
      <c r="E2423">
        <v>0</v>
      </c>
      <c r="F2423">
        <v>0</v>
      </c>
      <c r="G2423">
        <v>-6.3248276899998928</v>
      </c>
      <c r="H2423">
        <v>-882.38163960999918</v>
      </c>
      <c r="I2423">
        <v>0</v>
      </c>
      <c r="J2423">
        <v>8.0999999999999091</v>
      </c>
      <c r="K2423">
        <v>2.4543162700000001</v>
      </c>
      <c r="L2423">
        <v>538.89999999999986</v>
      </c>
      <c r="M2423">
        <v>0</v>
      </c>
      <c r="N2423">
        <v>0</v>
      </c>
      <c r="O2423">
        <v>-13.671606830089081</v>
      </c>
      <c r="P2423">
        <v>269068.76752595982</v>
      </c>
    </row>
    <row r="2424" spans="1:16" x14ac:dyDescent="0.25">
      <c r="A2424" s="10">
        <v>41186</v>
      </c>
      <c r="B2424">
        <v>-937.60927923995803</v>
      </c>
      <c r="C2424">
        <v>117.643</v>
      </c>
      <c r="D2424">
        <v>0</v>
      </c>
      <c r="E2424">
        <v>0</v>
      </c>
      <c r="F2424">
        <v>0</v>
      </c>
      <c r="G2424">
        <v>77.387758329999997</v>
      </c>
      <c r="H2424">
        <v>-1186.3190615000001</v>
      </c>
      <c r="I2424">
        <v>0</v>
      </c>
      <c r="J2424">
        <v>55.5</v>
      </c>
      <c r="K2424">
        <v>4.0503116500000003</v>
      </c>
      <c r="L2424">
        <v>0</v>
      </c>
      <c r="M2424">
        <v>0</v>
      </c>
      <c r="N2424">
        <v>0</v>
      </c>
      <c r="O2424">
        <v>-5.8712877199578104</v>
      </c>
      <c r="P2424">
        <v>268131.15824671969</v>
      </c>
    </row>
    <row r="2425" spans="1:16" x14ac:dyDescent="0.25">
      <c r="A2425" s="10">
        <v>41187</v>
      </c>
      <c r="B2425">
        <v>-345.94619321991968</v>
      </c>
      <c r="C2425">
        <v>537.85979999999995</v>
      </c>
      <c r="D2425">
        <v>0</v>
      </c>
      <c r="E2425">
        <v>-1000</v>
      </c>
      <c r="F2425">
        <v>0</v>
      </c>
      <c r="G2425">
        <v>150.95545929000011</v>
      </c>
      <c r="H2425">
        <v>-111.29678532000069</v>
      </c>
      <c r="I2425">
        <v>0</v>
      </c>
      <c r="J2425">
        <v>0</v>
      </c>
      <c r="K2425">
        <v>4.4480078999999986</v>
      </c>
      <c r="L2425">
        <v>0</v>
      </c>
      <c r="M2425">
        <v>0</v>
      </c>
      <c r="N2425">
        <v>0</v>
      </c>
      <c r="O2425">
        <v>72.087324910080966</v>
      </c>
      <c r="P2425">
        <v>267785.21205349988</v>
      </c>
    </row>
    <row r="2426" spans="1:16" x14ac:dyDescent="0.25">
      <c r="A2426" s="10">
        <v>41191</v>
      </c>
      <c r="B2426">
        <v>-2735.7989639898301</v>
      </c>
      <c r="C2426">
        <v>-2.0499999999998408E-2</v>
      </c>
      <c r="D2426">
        <v>0</v>
      </c>
      <c r="E2426">
        <v>0</v>
      </c>
      <c r="F2426">
        <v>0</v>
      </c>
      <c r="G2426">
        <v>-123.66091765</v>
      </c>
      <c r="H2426">
        <v>-2545.5616577599981</v>
      </c>
      <c r="I2426">
        <v>0</v>
      </c>
      <c r="J2426">
        <v>-37.199999999999818</v>
      </c>
      <c r="K2426">
        <v>-14.39703375</v>
      </c>
      <c r="L2426">
        <v>0</v>
      </c>
      <c r="M2426">
        <v>0</v>
      </c>
      <c r="N2426">
        <v>0</v>
      </c>
      <c r="O2426">
        <v>-14.958854829832401</v>
      </c>
      <c r="P2426">
        <v>265049.41308951011</v>
      </c>
    </row>
    <row r="2427" spans="1:16" x14ac:dyDescent="0.25">
      <c r="A2427" s="10">
        <v>41192</v>
      </c>
      <c r="B2427">
        <v>-1877.877337310287</v>
      </c>
      <c r="C2427">
        <v>18.886500000000002</v>
      </c>
      <c r="D2427">
        <v>0</v>
      </c>
      <c r="E2427">
        <v>0</v>
      </c>
      <c r="F2427">
        <v>0</v>
      </c>
      <c r="G2427">
        <v>-49.002530999999983</v>
      </c>
      <c r="H2427">
        <v>-1541.923761880003</v>
      </c>
      <c r="I2427">
        <v>0</v>
      </c>
      <c r="J2427">
        <v>20.900000000000091</v>
      </c>
      <c r="K2427">
        <v>4.8006064300000002</v>
      </c>
      <c r="L2427">
        <v>-318.8</v>
      </c>
      <c r="M2427">
        <v>0</v>
      </c>
      <c r="N2427">
        <v>0</v>
      </c>
      <c r="O2427">
        <v>-12.73815086028403</v>
      </c>
      <c r="P2427">
        <v>263171.53575219971</v>
      </c>
    </row>
    <row r="2428" spans="1:16" x14ac:dyDescent="0.25">
      <c r="A2428" s="10">
        <v>41193</v>
      </c>
      <c r="B2428">
        <v>211.60187826020231</v>
      </c>
      <c r="C2428">
        <v>-86.8339</v>
      </c>
      <c r="D2428">
        <v>0</v>
      </c>
      <c r="E2428">
        <v>400</v>
      </c>
      <c r="F2428">
        <v>0</v>
      </c>
      <c r="G2428">
        <v>14.94322719999999</v>
      </c>
      <c r="H2428">
        <v>-106.9957602299983</v>
      </c>
      <c r="I2428">
        <v>0</v>
      </c>
      <c r="J2428">
        <v>0</v>
      </c>
      <c r="K2428">
        <v>3.9192776899999999</v>
      </c>
      <c r="L2428">
        <v>0</v>
      </c>
      <c r="M2428">
        <v>0</v>
      </c>
      <c r="N2428">
        <v>0</v>
      </c>
      <c r="O2428">
        <v>-13.4309663997994</v>
      </c>
      <c r="P2428">
        <v>263383.13763046003</v>
      </c>
    </row>
    <row r="2429" spans="1:16" x14ac:dyDescent="0.25">
      <c r="A2429" s="10">
        <v>41194</v>
      </c>
      <c r="B2429">
        <v>314.03397065988872</v>
      </c>
      <c r="C2429">
        <v>-311.685</v>
      </c>
      <c r="D2429">
        <v>0</v>
      </c>
      <c r="E2429">
        <v>0</v>
      </c>
      <c r="F2429">
        <v>0</v>
      </c>
      <c r="G2429">
        <v>-8.4931249400000084</v>
      </c>
      <c r="H2429">
        <v>697.36738400000104</v>
      </c>
      <c r="I2429">
        <v>0</v>
      </c>
      <c r="J2429">
        <v>0</v>
      </c>
      <c r="K2429">
        <v>3.9264542800000002</v>
      </c>
      <c r="L2429">
        <v>0</v>
      </c>
      <c r="M2429">
        <v>0</v>
      </c>
      <c r="N2429">
        <v>0</v>
      </c>
      <c r="O2429">
        <v>-67.081742680112313</v>
      </c>
      <c r="P2429">
        <v>263697.17160111992</v>
      </c>
    </row>
    <row r="2430" spans="1:16" x14ac:dyDescent="0.25">
      <c r="A2430" s="10">
        <v>41197</v>
      </c>
      <c r="B2430">
        <v>1655.0333276102299</v>
      </c>
      <c r="C2430">
        <v>28.356000000000002</v>
      </c>
      <c r="D2430">
        <v>0</v>
      </c>
      <c r="E2430">
        <v>600</v>
      </c>
      <c r="F2430">
        <v>0</v>
      </c>
      <c r="G2430">
        <v>-112.39456260999999</v>
      </c>
      <c r="H2430">
        <v>1174.3268960900059</v>
      </c>
      <c r="I2430">
        <v>0</v>
      </c>
      <c r="J2430">
        <v>1</v>
      </c>
      <c r="K2430">
        <v>3.9553408299999999</v>
      </c>
      <c r="L2430">
        <v>0</v>
      </c>
      <c r="M2430">
        <v>0</v>
      </c>
      <c r="N2430">
        <v>0</v>
      </c>
      <c r="O2430">
        <v>-40.210346699775528</v>
      </c>
      <c r="P2430">
        <v>265352.20492873009</v>
      </c>
    </row>
    <row r="2431" spans="1:16" x14ac:dyDescent="0.25">
      <c r="A2431" s="10">
        <v>41198</v>
      </c>
      <c r="B2431">
        <v>-353.5910782899021</v>
      </c>
      <c r="C2431">
        <v>-170.26599999999999</v>
      </c>
      <c r="D2431">
        <v>0</v>
      </c>
      <c r="E2431">
        <v>0</v>
      </c>
      <c r="F2431">
        <v>0</v>
      </c>
      <c r="G2431">
        <v>99.835374100000067</v>
      </c>
      <c r="H2431">
        <v>-272.09120894000807</v>
      </c>
      <c r="I2431">
        <v>0</v>
      </c>
      <c r="J2431">
        <v>5.1999999999998181</v>
      </c>
      <c r="K2431">
        <v>5.6957471299999982</v>
      </c>
      <c r="L2431">
        <v>0</v>
      </c>
      <c r="M2431">
        <v>0</v>
      </c>
      <c r="N2431">
        <v>0</v>
      </c>
      <c r="O2431">
        <v>-21.9649905798939</v>
      </c>
      <c r="P2431">
        <v>264998.61385044019</v>
      </c>
    </row>
    <row r="2432" spans="1:16" x14ac:dyDescent="0.25">
      <c r="A2432" s="10">
        <v>41199</v>
      </c>
      <c r="B2432">
        <v>1090.265050659714</v>
      </c>
      <c r="C2432">
        <v>33.593800000000002</v>
      </c>
      <c r="D2432">
        <v>0</v>
      </c>
      <c r="E2432">
        <v>0</v>
      </c>
      <c r="F2432">
        <v>0</v>
      </c>
      <c r="G2432">
        <v>-31.166405350000101</v>
      </c>
      <c r="H2432">
        <v>1281.2020090900039</v>
      </c>
      <c r="I2432">
        <v>0</v>
      </c>
      <c r="J2432">
        <v>5.4000000000000909</v>
      </c>
      <c r="K2432">
        <v>5.6520901999999982</v>
      </c>
      <c r="L2432">
        <v>-518.29999999999995</v>
      </c>
      <c r="M2432">
        <v>0</v>
      </c>
      <c r="N2432">
        <v>0</v>
      </c>
      <c r="O2432">
        <v>313.8835567197093</v>
      </c>
      <c r="P2432">
        <v>266088.8789010999</v>
      </c>
    </row>
    <row r="2433" spans="1:16" x14ac:dyDescent="0.25">
      <c r="A2433" s="10">
        <v>41200</v>
      </c>
      <c r="B2433">
        <v>-47.544624249684567</v>
      </c>
      <c r="C2433">
        <v>234.82339999999999</v>
      </c>
      <c r="D2433">
        <v>0</v>
      </c>
      <c r="E2433">
        <v>0</v>
      </c>
      <c r="F2433">
        <v>0</v>
      </c>
      <c r="G2433">
        <v>-135.49962471000001</v>
      </c>
      <c r="H2433">
        <v>-117.5015583099994</v>
      </c>
      <c r="I2433">
        <v>0</v>
      </c>
      <c r="J2433">
        <v>0</v>
      </c>
      <c r="K2433">
        <v>5.3940687399999989</v>
      </c>
      <c r="L2433">
        <v>0</v>
      </c>
      <c r="M2433">
        <v>0</v>
      </c>
      <c r="N2433">
        <v>0</v>
      </c>
      <c r="O2433">
        <v>-34.760909969685201</v>
      </c>
      <c r="P2433">
        <v>266041.33427685022</v>
      </c>
    </row>
    <row r="2434" spans="1:16" x14ac:dyDescent="0.25">
      <c r="A2434" s="10">
        <v>41201</v>
      </c>
      <c r="B2434">
        <v>18.72713676985591</v>
      </c>
      <c r="C2434">
        <v>252.86496</v>
      </c>
      <c r="D2434">
        <v>0</v>
      </c>
      <c r="E2434">
        <v>0</v>
      </c>
      <c r="F2434">
        <v>0</v>
      </c>
      <c r="G2434">
        <v>279.44876269999997</v>
      </c>
      <c r="H2434">
        <v>-524.76444090000223</v>
      </c>
      <c r="I2434">
        <v>0</v>
      </c>
      <c r="J2434">
        <v>0</v>
      </c>
      <c r="K2434">
        <v>4.7907787400000004</v>
      </c>
      <c r="L2434">
        <v>0</v>
      </c>
      <c r="M2434">
        <v>0</v>
      </c>
      <c r="N2434">
        <v>0</v>
      </c>
      <c r="O2434">
        <v>6.3870762298581667</v>
      </c>
      <c r="P2434">
        <v>266060.06141362007</v>
      </c>
    </row>
    <row r="2435" spans="1:16" x14ac:dyDescent="0.25">
      <c r="A2435" s="10">
        <v>41204</v>
      </c>
      <c r="B2435">
        <v>-3834.0485477200109</v>
      </c>
      <c r="C2435">
        <v>-1.259999999999906E-2</v>
      </c>
      <c r="D2435">
        <v>0</v>
      </c>
      <c r="E2435">
        <v>-3980</v>
      </c>
      <c r="F2435">
        <v>0</v>
      </c>
      <c r="G2435">
        <v>14.53093578000021</v>
      </c>
      <c r="H2435">
        <v>139.0110300700035</v>
      </c>
      <c r="I2435">
        <v>0</v>
      </c>
      <c r="J2435">
        <v>0</v>
      </c>
      <c r="K2435">
        <v>5.4144814399999994</v>
      </c>
      <c r="L2435">
        <v>0</v>
      </c>
      <c r="M2435">
        <v>0</v>
      </c>
      <c r="N2435">
        <v>0</v>
      </c>
      <c r="O2435">
        <v>-12.992395010015301</v>
      </c>
      <c r="P2435">
        <v>262226.01286590012</v>
      </c>
    </row>
    <row r="2436" spans="1:16" x14ac:dyDescent="0.25">
      <c r="A2436" s="10">
        <v>41205</v>
      </c>
      <c r="B2436">
        <v>-2424.4839271503452</v>
      </c>
      <c r="C2436">
        <v>-301.19099999999997</v>
      </c>
      <c r="D2436">
        <v>0</v>
      </c>
      <c r="E2436">
        <v>0</v>
      </c>
      <c r="F2436">
        <v>0</v>
      </c>
      <c r="G2436">
        <v>-62.858497190000001</v>
      </c>
      <c r="H2436">
        <v>-2048.4882571800008</v>
      </c>
      <c r="I2436">
        <v>0</v>
      </c>
      <c r="J2436">
        <v>6.5</v>
      </c>
      <c r="K2436">
        <v>4.9820329099999991</v>
      </c>
      <c r="L2436">
        <v>0</v>
      </c>
      <c r="M2436">
        <v>0</v>
      </c>
      <c r="N2436">
        <v>0</v>
      </c>
      <c r="O2436">
        <v>-23.428205690344019</v>
      </c>
      <c r="P2436">
        <v>259801.52893874969</v>
      </c>
    </row>
    <row r="2437" spans="1:16" x14ac:dyDescent="0.25">
      <c r="A2437" s="10">
        <v>41206</v>
      </c>
      <c r="B2437">
        <v>2568.8438866900678</v>
      </c>
      <c r="C2437">
        <v>0</v>
      </c>
      <c r="D2437">
        <v>0</v>
      </c>
      <c r="E2437">
        <v>0</v>
      </c>
      <c r="F2437">
        <v>0</v>
      </c>
      <c r="G2437">
        <v>-46.079665489999996</v>
      </c>
      <c r="H2437">
        <v>2729.7457460700011</v>
      </c>
      <c r="I2437">
        <v>0</v>
      </c>
      <c r="J2437">
        <v>0</v>
      </c>
      <c r="K2437">
        <v>3.2097574999999998</v>
      </c>
      <c r="L2437">
        <v>-105.3</v>
      </c>
      <c r="M2437">
        <v>0</v>
      </c>
      <c r="N2437">
        <v>0</v>
      </c>
      <c r="O2437">
        <v>-12.73195138993287</v>
      </c>
      <c r="P2437">
        <v>262370.37282543979</v>
      </c>
    </row>
    <row r="2438" spans="1:16" x14ac:dyDescent="0.25">
      <c r="A2438" s="10">
        <v>41207</v>
      </c>
      <c r="B2438">
        <v>2594.2809126100028</v>
      </c>
      <c r="C2438">
        <v>-56.978000000000002</v>
      </c>
      <c r="D2438">
        <v>0</v>
      </c>
      <c r="E2438">
        <v>5980</v>
      </c>
      <c r="F2438">
        <v>0</v>
      </c>
      <c r="G2438">
        <v>-33.759312310000041</v>
      </c>
      <c r="H2438">
        <v>-3274.331299179999</v>
      </c>
      <c r="I2438">
        <v>0</v>
      </c>
      <c r="J2438">
        <v>0</v>
      </c>
      <c r="K2438">
        <v>5.1408064600000003</v>
      </c>
      <c r="L2438">
        <v>0</v>
      </c>
      <c r="M2438">
        <v>0</v>
      </c>
      <c r="N2438">
        <v>0</v>
      </c>
      <c r="O2438">
        <v>-25.791282359997059</v>
      </c>
      <c r="P2438">
        <v>264964.65373804979</v>
      </c>
    </row>
    <row r="2439" spans="1:16" x14ac:dyDescent="0.25">
      <c r="A2439" s="10">
        <v>41208</v>
      </c>
      <c r="B2439">
        <v>-1967.125626830092</v>
      </c>
      <c r="C2439">
        <v>-19.018000000000001</v>
      </c>
      <c r="D2439">
        <v>0</v>
      </c>
      <c r="E2439">
        <v>0</v>
      </c>
      <c r="F2439">
        <v>0</v>
      </c>
      <c r="G2439">
        <v>122.51829257</v>
      </c>
      <c r="H2439">
        <v>-2169.0707085699978</v>
      </c>
      <c r="I2439">
        <v>0</v>
      </c>
      <c r="J2439">
        <v>0.5</v>
      </c>
      <c r="K2439">
        <v>5.4192801000000008</v>
      </c>
      <c r="L2439">
        <v>109</v>
      </c>
      <c r="M2439">
        <v>0</v>
      </c>
      <c r="N2439">
        <v>0</v>
      </c>
      <c r="O2439">
        <v>-16.474490930094181</v>
      </c>
      <c r="P2439">
        <v>262997.5281112197</v>
      </c>
    </row>
    <row r="2440" spans="1:16" x14ac:dyDescent="0.25">
      <c r="A2440" s="10">
        <v>41211</v>
      </c>
      <c r="B2440">
        <v>1330.4575284504119</v>
      </c>
      <c r="C2440">
        <v>17.821999999999999</v>
      </c>
      <c r="D2440">
        <v>0</v>
      </c>
      <c r="E2440">
        <v>0</v>
      </c>
      <c r="F2440">
        <v>0</v>
      </c>
      <c r="G2440">
        <v>15.964795539999979</v>
      </c>
      <c r="H2440">
        <v>1170.6841759499951</v>
      </c>
      <c r="I2440">
        <v>0</v>
      </c>
      <c r="J2440">
        <v>10.900000000000089</v>
      </c>
      <c r="K2440">
        <v>9.493119489999998</v>
      </c>
      <c r="L2440">
        <v>134.1</v>
      </c>
      <c r="M2440">
        <v>0</v>
      </c>
      <c r="N2440">
        <v>0</v>
      </c>
      <c r="O2440">
        <v>-28.506562529583061</v>
      </c>
      <c r="P2440">
        <v>264327.98563967011</v>
      </c>
    </row>
    <row r="2441" spans="1:16" x14ac:dyDescent="0.25">
      <c r="A2441" s="10">
        <v>41212</v>
      </c>
      <c r="B2441">
        <v>-1462.3424214504209</v>
      </c>
      <c r="C2441">
        <v>-252.26300000000001</v>
      </c>
      <c r="D2441">
        <v>0</v>
      </c>
      <c r="E2441">
        <v>0</v>
      </c>
      <c r="F2441">
        <v>0</v>
      </c>
      <c r="G2441">
        <v>-44.387932000000554</v>
      </c>
      <c r="H2441">
        <v>-1121.7810251699991</v>
      </c>
      <c r="I2441">
        <v>0</v>
      </c>
      <c r="J2441">
        <v>0</v>
      </c>
      <c r="K2441">
        <v>6.1319658700000002</v>
      </c>
      <c r="L2441">
        <v>0</v>
      </c>
      <c r="M2441">
        <v>0</v>
      </c>
      <c r="N2441">
        <v>0</v>
      </c>
      <c r="O2441">
        <v>-50.042430150420749</v>
      </c>
      <c r="P2441">
        <v>262865.64321821969</v>
      </c>
    </row>
    <row r="2442" spans="1:16" x14ac:dyDescent="0.25">
      <c r="A2442" s="10">
        <v>41213</v>
      </c>
      <c r="B2442">
        <v>2250.5170302503379</v>
      </c>
      <c r="C2442">
        <v>188.32849999999999</v>
      </c>
      <c r="D2442">
        <v>0</v>
      </c>
      <c r="E2442">
        <v>0</v>
      </c>
      <c r="F2442">
        <v>0</v>
      </c>
      <c r="G2442">
        <v>66.982919609999982</v>
      </c>
      <c r="H2442">
        <v>611.20226207999804</v>
      </c>
      <c r="I2442">
        <v>0</v>
      </c>
      <c r="J2442">
        <v>0</v>
      </c>
      <c r="K2442">
        <v>4.3594612899999996</v>
      </c>
      <c r="L2442">
        <v>1372.8</v>
      </c>
      <c r="M2442">
        <v>0</v>
      </c>
      <c r="N2442">
        <v>0</v>
      </c>
      <c r="O2442">
        <v>6.8438872703399269</v>
      </c>
      <c r="P2442">
        <v>265116.16024847003</v>
      </c>
    </row>
    <row r="2443" spans="1:16" x14ac:dyDescent="0.25">
      <c r="A2443" s="10">
        <v>41214</v>
      </c>
      <c r="B2443">
        <v>9604.2311064400128</v>
      </c>
      <c r="C2443">
        <v>69.139499999999998</v>
      </c>
      <c r="D2443">
        <v>0</v>
      </c>
      <c r="E2443">
        <v>0</v>
      </c>
      <c r="F2443">
        <v>0</v>
      </c>
      <c r="G2443">
        <v>-48.960437740000003</v>
      </c>
      <c r="H2443">
        <v>9576.2882454200007</v>
      </c>
      <c r="I2443">
        <v>0</v>
      </c>
      <c r="J2443">
        <v>0</v>
      </c>
      <c r="K2443">
        <v>6.0449596299999993</v>
      </c>
      <c r="L2443">
        <v>0</v>
      </c>
      <c r="M2443">
        <v>0</v>
      </c>
      <c r="N2443">
        <v>0</v>
      </c>
      <c r="O2443">
        <v>1.718839130012203</v>
      </c>
      <c r="P2443">
        <v>274720.39135490998</v>
      </c>
    </row>
    <row r="2444" spans="1:16" x14ac:dyDescent="0.25">
      <c r="A2444" s="10">
        <v>41215</v>
      </c>
      <c r="B2444">
        <v>-773.76360791031061</v>
      </c>
      <c r="C2444">
        <v>-71.754000000000019</v>
      </c>
      <c r="D2444">
        <v>0</v>
      </c>
      <c r="E2444">
        <v>0</v>
      </c>
      <c r="F2444">
        <v>0</v>
      </c>
      <c r="G2444">
        <v>-13.959726370000009</v>
      </c>
      <c r="H2444">
        <v>-773.04046067999843</v>
      </c>
      <c r="I2444">
        <v>0</v>
      </c>
      <c r="J2444">
        <v>0</v>
      </c>
      <c r="K2444">
        <v>3.564487119999999</v>
      </c>
      <c r="L2444">
        <v>0</v>
      </c>
      <c r="M2444">
        <v>0</v>
      </c>
      <c r="N2444">
        <v>0</v>
      </c>
      <c r="O2444">
        <v>81.426092019687871</v>
      </c>
      <c r="P2444">
        <v>273946.62774699967</v>
      </c>
    </row>
    <row r="2445" spans="1:16" x14ac:dyDescent="0.25">
      <c r="A2445" s="10">
        <v>41218</v>
      </c>
      <c r="B2445">
        <v>179.59535519010319</v>
      </c>
      <c r="C2445">
        <v>323.85070000000002</v>
      </c>
      <c r="D2445">
        <v>0</v>
      </c>
      <c r="E2445">
        <v>0</v>
      </c>
      <c r="F2445">
        <v>0</v>
      </c>
      <c r="G2445">
        <v>-305.96496230999998</v>
      </c>
      <c r="H2445">
        <v>185.5788915100002</v>
      </c>
      <c r="I2445">
        <v>0</v>
      </c>
      <c r="J2445">
        <v>12.19999999999982</v>
      </c>
      <c r="K2445">
        <v>5.0030746400000004</v>
      </c>
      <c r="L2445">
        <v>0</v>
      </c>
      <c r="M2445">
        <v>0</v>
      </c>
      <c r="N2445">
        <v>0</v>
      </c>
      <c r="O2445">
        <v>-41.07234864989686</v>
      </c>
      <c r="P2445">
        <v>274126.22310218978</v>
      </c>
    </row>
    <row r="2446" spans="1:16" x14ac:dyDescent="0.25">
      <c r="A2446" s="10">
        <v>41220</v>
      </c>
      <c r="B2446">
        <v>-1069.422866519657</v>
      </c>
      <c r="C2446">
        <v>553.27229999999997</v>
      </c>
      <c r="D2446">
        <v>0</v>
      </c>
      <c r="E2446">
        <v>0</v>
      </c>
      <c r="F2446">
        <v>0</v>
      </c>
      <c r="G2446">
        <v>235.73212899999999</v>
      </c>
      <c r="H2446">
        <v>-1853.953297999999</v>
      </c>
      <c r="I2446">
        <v>0</v>
      </c>
      <c r="J2446">
        <v>30</v>
      </c>
      <c r="K2446">
        <v>4.2040728600000001</v>
      </c>
      <c r="L2446">
        <v>-78.400000000000091</v>
      </c>
      <c r="M2446">
        <v>0</v>
      </c>
      <c r="N2446">
        <v>0</v>
      </c>
      <c r="O2446">
        <v>39.721929620341193</v>
      </c>
      <c r="P2446">
        <v>273056.80023567018</v>
      </c>
    </row>
    <row r="2447" spans="1:16" x14ac:dyDescent="0.25">
      <c r="A2447" s="10">
        <v>41221</v>
      </c>
      <c r="B2447">
        <v>-1048.341625310248</v>
      </c>
      <c r="C2447">
        <v>159.923</v>
      </c>
      <c r="D2447">
        <v>0</v>
      </c>
      <c r="E2447">
        <v>1000</v>
      </c>
      <c r="F2447">
        <v>0</v>
      </c>
      <c r="G2447">
        <v>-255.97019821000001</v>
      </c>
      <c r="H2447">
        <v>-1992.2594867400001</v>
      </c>
      <c r="I2447">
        <v>0</v>
      </c>
      <c r="J2447">
        <v>63.300000000000182</v>
      </c>
      <c r="K2447">
        <v>2.0963078400000001</v>
      </c>
      <c r="L2447">
        <v>0</v>
      </c>
      <c r="M2447">
        <v>0</v>
      </c>
      <c r="N2447">
        <v>0</v>
      </c>
      <c r="O2447">
        <v>-25.431248200247641</v>
      </c>
      <c r="P2447">
        <v>272008.45861035993</v>
      </c>
    </row>
    <row r="2448" spans="1:16" x14ac:dyDescent="0.25">
      <c r="A2448" s="10">
        <v>41222</v>
      </c>
      <c r="B2448">
        <v>1283.035888560232</v>
      </c>
      <c r="C2448">
        <v>298.59899999999999</v>
      </c>
      <c r="D2448">
        <v>0</v>
      </c>
      <c r="E2448">
        <v>0</v>
      </c>
      <c r="F2448">
        <v>0</v>
      </c>
      <c r="G2448">
        <v>195.83379733000001</v>
      </c>
      <c r="H2448">
        <v>938.19034643999657</v>
      </c>
      <c r="I2448">
        <v>0</v>
      </c>
      <c r="J2448">
        <v>-42.5</v>
      </c>
      <c r="K2448">
        <v>-21.748176909999909</v>
      </c>
      <c r="L2448">
        <v>0</v>
      </c>
      <c r="M2448">
        <v>0</v>
      </c>
      <c r="N2448">
        <v>0</v>
      </c>
      <c r="O2448">
        <v>-85.339078299764836</v>
      </c>
      <c r="P2448">
        <v>273291.49449892022</v>
      </c>
    </row>
    <row r="2449" spans="1:16" x14ac:dyDescent="0.25">
      <c r="A2449" s="10">
        <v>41225</v>
      </c>
      <c r="B2449">
        <v>-3176.987779420218</v>
      </c>
      <c r="C2449">
        <v>0</v>
      </c>
      <c r="D2449">
        <v>0</v>
      </c>
      <c r="E2449">
        <v>-2800</v>
      </c>
      <c r="F2449">
        <v>0</v>
      </c>
      <c r="G2449">
        <v>-149.00341956</v>
      </c>
      <c r="H2449">
        <v>-234.69925866999981</v>
      </c>
      <c r="I2449">
        <v>0</v>
      </c>
      <c r="J2449">
        <v>0</v>
      </c>
      <c r="K2449">
        <v>5.6097569299999996</v>
      </c>
      <c r="L2449">
        <v>0</v>
      </c>
      <c r="M2449">
        <v>0</v>
      </c>
      <c r="N2449">
        <v>0</v>
      </c>
      <c r="O2449">
        <v>1.1051418797813319</v>
      </c>
      <c r="P2449">
        <v>270114.50671949988</v>
      </c>
    </row>
    <row r="2450" spans="1:16" x14ac:dyDescent="0.25">
      <c r="A2450" s="10">
        <v>41226</v>
      </c>
      <c r="B2450">
        <v>-865.23592985008054</v>
      </c>
      <c r="C2450">
        <v>-100.21835</v>
      </c>
      <c r="D2450">
        <v>0</v>
      </c>
      <c r="E2450">
        <v>0</v>
      </c>
      <c r="F2450">
        <v>0</v>
      </c>
      <c r="G2450">
        <v>123.22902981999999</v>
      </c>
      <c r="H2450">
        <v>-820.22992986999998</v>
      </c>
      <c r="I2450">
        <v>0</v>
      </c>
      <c r="J2450">
        <v>18.599999999999909</v>
      </c>
      <c r="K2450">
        <v>1.05399347</v>
      </c>
      <c r="L2450">
        <v>0</v>
      </c>
      <c r="M2450">
        <v>0</v>
      </c>
      <c r="N2450">
        <v>0</v>
      </c>
      <c r="O2450">
        <v>-87.670673270080485</v>
      </c>
      <c r="P2450">
        <v>269249.27078964992</v>
      </c>
    </row>
    <row r="2451" spans="1:16" x14ac:dyDescent="0.25">
      <c r="A2451" s="10">
        <v>41227</v>
      </c>
      <c r="B2451">
        <v>1865.4532217202359</v>
      </c>
      <c r="C2451">
        <v>117.28189999999999</v>
      </c>
      <c r="D2451">
        <v>0</v>
      </c>
      <c r="E2451">
        <v>0</v>
      </c>
      <c r="F2451">
        <v>0</v>
      </c>
      <c r="G2451">
        <v>-158.81182816</v>
      </c>
      <c r="H2451">
        <v>1133.358396560003</v>
      </c>
      <c r="I2451">
        <v>0</v>
      </c>
      <c r="J2451">
        <v>0</v>
      </c>
      <c r="K2451">
        <v>4.9203950799999996</v>
      </c>
      <c r="L2451">
        <v>719</v>
      </c>
      <c r="M2451">
        <v>0</v>
      </c>
      <c r="N2451">
        <v>0</v>
      </c>
      <c r="O2451">
        <v>49.70435824023307</v>
      </c>
      <c r="P2451">
        <v>271114.7240113701</v>
      </c>
    </row>
    <row r="2452" spans="1:16" x14ac:dyDescent="0.25">
      <c r="A2452" s="10">
        <v>41228</v>
      </c>
      <c r="B2452">
        <v>2953.3441190497251</v>
      </c>
      <c r="C2452">
        <v>-64.691500000000005</v>
      </c>
      <c r="D2452">
        <v>0</v>
      </c>
      <c r="E2452">
        <v>2850</v>
      </c>
      <c r="F2452">
        <v>0</v>
      </c>
      <c r="G2452">
        <v>-39.090005820000208</v>
      </c>
      <c r="H2452">
        <v>182.6401985499979</v>
      </c>
      <c r="I2452">
        <v>0</v>
      </c>
      <c r="J2452">
        <v>0</v>
      </c>
      <c r="K2452">
        <v>4.2999122500000002</v>
      </c>
      <c r="L2452">
        <v>-0.69999999999999929</v>
      </c>
      <c r="M2452">
        <v>0</v>
      </c>
      <c r="N2452">
        <v>0</v>
      </c>
      <c r="O2452">
        <v>20.88551406972692</v>
      </c>
      <c r="P2452">
        <v>274068.06813041982</v>
      </c>
    </row>
    <row r="2453" spans="1:16" x14ac:dyDescent="0.25">
      <c r="A2453" s="10">
        <v>41229</v>
      </c>
      <c r="B2453">
        <v>-1664.9380807998241</v>
      </c>
      <c r="C2453">
        <v>-86.42</v>
      </c>
      <c r="D2453">
        <v>0</v>
      </c>
      <c r="E2453">
        <v>0</v>
      </c>
      <c r="F2453">
        <v>0</v>
      </c>
      <c r="G2453">
        <v>-468.02877518999992</v>
      </c>
      <c r="H2453">
        <v>-1114.7907667699999</v>
      </c>
      <c r="I2453">
        <v>0</v>
      </c>
      <c r="J2453">
        <v>0.6999999999998181</v>
      </c>
      <c r="K2453">
        <v>3.9159855000000001</v>
      </c>
      <c r="L2453">
        <v>0</v>
      </c>
      <c r="M2453">
        <v>0</v>
      </c>
      <c r="N2453">
        <v>0</v>
      </c>
      <c r="O2453">
        <v>-0.31452433982367373</v>
      </c>
      <c r="P2453">
        <v>272403.13004962</v>
      </c>
    </row>
    <row r="2454" spans="1:16" x14ac:dyDescent="0.25">
      <c r="A2454" s="10">
        <v>41232</v>
      </c>
      <c r="B2454">
        <v>-118.0813372000125</v>
      </c>
      <c r="C2454">
        <v>-52.843000000000004</v>
      </c>
      <c r="D2454">
        <v>0</v>
      </c>
      <c r="E2454">
        <v>0</v>
      </c>
      <c r="F2454">
        <v>0</v>
      </c>
      <c r="G2454">
        <v>694.46530296999993</v>
      </c>
      <c r="H2454">
        <v>-675.67382510000061</v>
      </c>
      <c r="I2454">
        <v>0</v>
      </c>
      <c r="J2454">
        <v>10.400000000000089</v>
      </c>
      <c r="K2454">
        <v>6.2309061999999997</v>
      </c>
      <c r="L2454">
        <v>0</v>
      </c>
      <c r="M2454">
        <v>0</v>
      </c>
      <c r="N2454">
        <v>0</v>
      </c>
      <c r="O2454">
        <v>-100.6607212700119</v>
      </c>
      <c r="P2454">
        <v>272285.04871241999</v>
      </c>
    </row>
    <row r="2455" spans="1:16" x14ac:dyDescent="0.25">
      <c r="A2455" s="10">
        <v>41233</v>
      </c>
      <c r="B2455">
        <v>-2857.1412712598681</v>
      </c>
      <c r="C2455">
        <v>-389.82119999999998</v>
      </c>
      <c r="D2455">
        <v>0</v>
      </c>
      <c r="E2455">
        <v>-1650</v>
      </c>
      <c r="F2455">
        <v>0</v>
      </c>
      <c r="G2455">
        <v>-19.119517290000061</v>
      </c>
      <c r="H2455">
        <v>-902.14943456999754</v>
      </c>
      <c r="I2455">
        <v>0</v>
      </c>
      <c r="J2455">
        <v>0</v>
      </c>
      <c r="K2455">
        <v>3.2812370899999999</v>
      </c>
      <c r="L2455">
        <v>109.8</v>
      </c>
      <c r="M2455">
        <v>0</v>
      </c>
      <c r="N2455">
        <v>0</v>
      </c>
      <c r="O2455">
        <v>-9.1323564898702898</v>
      </c>
      <c r="P2455">
        <v>269427.90744116018</v>
      </c>
    </row>
    <row r="2456" spans="1:16" x14ac:dyDescent="0.25">
      <c r="A2456" s="10">
        <v>41234</v>
      </c>
      <c r="B2456">
        <v>3127.8402584497239</v>
      </c>
      <c r="C2456">
        <v>-43.323</v>
      </c>
      <c r="D2456">
        <v>0</v>
      </c>
      <c r="E2456">
        <v>0</v>
      </c>
      <c r="F2456">
        <v>0</v>
      </c>
      <c r="G2456">
        <v>-386.42850034000008</v>
      </c>
      <c r="H2456">
        <v>2145.1449400800011</v>
      </c>
      <c r="I2456">
        <v>0</v>
      </c>
      <c r="J2456">
        <v>11.5</v>
      </c>
      <c r="K2456">
        <v>4.5112721799999997</v>
      </c>
      <c r="L2456">
        <v>1407.3</v>
      </c>
      <c r="M2456">
        <v>0</v>
      </c>
      <c r="N2456">
        <v>0</v>
      </c>
      <c r="O2456">
        <v>-10.86445347027693</v>
      </c>
      <c r="P2456">
        <v>272555.74769960978</v>
      </c>
    </row>
    <row r="2457" spans="1:16" x14ac:dyDescent="0.25">
      <c r="A2457" s="10">
        <v>41235</v>
      </c>
      <c r="B2457">
        <v>2992.1366367803421</v>
      </c>
      <c r="C2457">
        <v>0</v>
      </c>
      <c r="D2457">
        <v>0</v>
      </c>
      <c r="E2457">
        <v>1600</v>
      </c>
      <c r="F2457">
        <v>0</v>
      </c>
      <c r="G2457">
        <v>-118.31192864</v>
      </c>
      <c r="H2457">
        <v>1467.9124020499969</v>
      </c>
      <c r="I2457">
        <v>0</v>
      </c>
      <c r="J2457">
        <v>0.59999999999990905</v>
      </c>
      <c r="K2457">
        <v>3.6523988200000002</v>
      </c>
      <c r="L2457">
        <v>58.400000000000013</v>
      </c>
      <c r="M2457">
        <v>0</v>
      </c>
      <c r="N2457">
        <v>0</v>
      </c>
      <c r="O2457">
        <v>-20.116235449655409</v>
      </c>
      <c r="P2457">
        <v>275547.88433639018</v>
      </c>
    </row>
    <row r="2458" spans="1:16" x14ac:dyDescent="0.25">
      <c r="A2458" s="10">
        <v>41236</v>
      </c>
      <c r="B2458">
        <v>-4578.7606019200184</v>
      </c>
      <c r="C2458">
        <v>-164.46399999999991</v>
      </c>
      <c r="D2458">
        <v>0</v>
      </c>
      <c r="E2458">
        <v>8150</v>
      </c>
      <c r="F2458">
        <v>0</v>
      </c>
      <c r="G2458">
        <v>558.85032575000014</v>
      </c>
      <c r="H2458">
        <v>-13086.57254064</v>
      </c>
      <c r="I2458">
        <v>0</v>
      </c>
      <c r="J2458">
        <v>13.80000000000018</v>
      </c>
      <c r="K2458">
        <v>4.5681974999999992</v>
      </c>
      <c r="L2458">
        <v>0</v>
      </c>
      <c r="M2458">
        <v>0</v>
      </c>
      <c r="N2458">
        <v>0</v>
      </c>
      <c r="O2458">
        <v>-54.942584530018763</v>
      </c>
      <c r="P2458">
        <v>270969.12373447022</v>
      </c>
    </row>
    <row r="2459" spans="1:16" x14ac:dyDescent="0.25">
      <c r="A2459" s="10">
        <v>41240</v>
      </c>
      <c r="B2459">
        <v>-1154.1781499503979</v>
      </c>
      <c r="C2459">
        <v>-142.30199999999999</v>
      </c>
      <c r="D2459">
        <v>0</v>
      </c>
      <c r="E2459">
        <v>0</v>
      </c>
      <c r="F2459">
        <v>0</v>
      </c>
      <c r="G2459">
        <v>-17.624625859999998</v>
      </c>
      <c r="H2459">
        <v>-1005.981360229991</v>
      </c>
      <c r="I2459">
        <v>0</v>
      </c>
      <c r="J2459">
        <v>0</v>
      </c>
      <c r="K2459">
        <v>20.686282129999999</v>
      </c>
      <c r="L2459">
        <v>0</v>
      </c>
      <c r="M2459">
        <v>0</v>
      </c>
      <c r="N2459">
        <v>0</v>
      </c>
      <c r="O2459">
        <v>-8.9564459904066993</v>
      </c>
      <c r="P2459">
        <v>269814.94558451982</v>
      </c>
    </row>
    <row r="2460" spans="1:16" x14ac:dyDescent="0.25">
      <c r="A2460" s="10">
        <v>41241</v>
      </c>
      <c r="B2460">
        <v>-1951.1831349497679</v>
      </c>
      <c r="C2460">
        <v>-125.52800000000001</v>
      </c>
      <c r="D2460">
        <v>0</v>
      </c>
      <c r="E2460">
        <v>0</v>
      </c>
      <c r="F2460">
        <v>0</v>
      </c>
      <c r="G2460">
        <v>-243.48614316000001</v>
      </c>
      <c r="H2460">
        <v>-2031.3415343700001</v>
      </c>
      <c r="I2460">
        <v>0</v>
      </c>
      <c r="J2460">
        <v>1.5</v>
      </c>
      <c r="K2460">
        <v>8.4536545099999998</v>
      </c>
      <c r="L2460">
        <v>489.6</v>
      </c>
      <c r="M2460">
        <v>0</v>
      </c>
      <c r="N2460">
        <v>0</v>
      </c>
      <c r="O2460">
        <v>-50.381111929768117</v>
      </c>
      <c r="P2460">
        <v>267863.76244957</v>
      </c>
    </row>
    <row r="2461" spans="1:16" x14ac:dyDescent="0.25">
      <c r="A2461" s="10">
        <v>41242</v>
      </c>
      <c r="B2461">
        <v>-564.47544286981974</v>
      </c>
      <c r="C2461">
        <v>198.06549999999999</v>
      </c>
      <c r="D2461">
        <v>0</v>
      </c>
      <c r="E2461">
        <v>1900</v>
      </c>
      <c r="F2461">
        <v>0</v>
      </c>
      <c r="G2461">
        <v>43.927655830000162</v>
      </c>
      <c r="H2461">
        <v>-2691.2951543299969</v>
      </c>
      <c r="I2461">
        <v>0</v>
      </c>
      <c r="J2461">
        <v>0</v>
      </c>
      <c r="K2461">
        <v>7.0404873599999993</v>
      </c>
      <c r="L2461">
        <v>0</v>
      </c>
      <c r="M2461">
        <v>0</v>
      </c>
      <c r="N2461">
        <v>0</v>
      </c>
      <c r="O2461">
        <v>-22.21393172982339</v>
      </c>
      <c r="P2461">
        <v>267299.28700670018</v>
      </c>
    </row>
    <row r="2462" spans="1:16" x14ac:dyDescent="0.25">
      <c r="A2462" s="10">
        <v>41243</v>
      </c>
      <c r="B2462">
        <v>1360.1185663196941</v>
      </c>
      <c r="C2462">
        <v>187.19800000000001</v>
      </c>
      <c r="D2462">
        <v>0</v>
      </c>
      <c r="E2462">
        <v>0</v>
      </c>
      <c r="F2462">
        <v>0</v>
      </c>
      <c r="G2462">
        <v>158.35252326</v>
      </c>
      <c r="H2462">
        <v>976.29824633999669</v>
      </c>
      <c r="I2462">
        <v>0</v>
      </c>
      <c r="J2462">
        <v>0</v>
      </c>
      <c r="K2462">
        <v>9.9378472799999997</v>
      </c>
      <c r="L2462">
        <v>0</v>
      </c>
      <c r="M2462">
        <v>0</v>
      </c>
      <c r="N2462">
        <v>0</v>
      </c>
      <c r="O2462">
        <v>28.33194943969734</v>
      </c>
      <c r="P2462">
        <v>268659.40557301987</v>
      </c>
    </row>
    <row r="2463" spans="1:16" x14ac:dyDescent="0.25">
      <c r="A2463" s="10">
        <v>41246</v>
      </c>
      <c r="B2463">
        <v>19713.030773939969</v>
      </c>
      <c r="C2463">
        <v>339.51774</v>
      </c>
      <c r="D2463">
        <v>0</v>
      </c>
      <c r="E2463">
        <v>0</v>
      </c>
      <c r="F2463">
        <v>0</v>
      </c>
      <c r="G2463">
        <v>46.597507330000013</v>
      </c>
      <c r="H2463">
        <v>19288.322358649999</v>
      </c>
      <c r="I2463">
        <v>0</v>
      </c>
      <c r="J2463">
        <v>-0.3000000000001819</v>
      </c>
      <c r="K2463">
        <v>15.55304905</v>
      </c>
      <c r="L2463">
        <v>0</v>
      </c>
      <c r="M2463">
        <v>0</v>
      </c>
      <c r="N2463">
        <v>0</v>
      </c>
      <c r="O2463">
        <v>23.3401189099779</v>
      </c>
      <c r="P2463">
        <v>288372.43634695979</v>
      </c>
    </row>
    <row r="2464" spans="1:16" x14ac:dyDescent="0.25">
      <c r="A2464" s="10">
        <v>41247</v>
      </c>
      <c r="B2464">
        <v>364.84604061016512</v>
      </c>
      <c r="C2464">
        <v>291.93180000000001</v>
      </c>
      <c r="D2464">
        <v>0</v>
      </c>
      <c r="E2464">
        <v>0</v>
      </c>
      <c r="F2464">
        <v>0</v>
      </c>
      <c r="G2464">
        <v>-77.648094469999947</v>
      </c>
      <c r="H2464">
        <v>148.91792478000019</v>
      </c>
      <c r="I2464">
        <v>0</v>
      </c>
      <c r="J2464">
        <v>0</v>
      </c>
      <c r="K2464">
        <v>2.8149853600000001</v>
      </c>
      <c r="L2464">
        <v>0</v>
      </c>
      <c r="M2464">
        <v>0</v>
      </c>
      <c r="N2464">
        <v>0</v>
      </c>
      <c r="O2464">
        <v>-1.1705750598352329</v>
      </c>
      <c r="P2464">
        <v>288737.28238757001</v>
      </c>
    </row>
    <row r="2465" spans="1:16" x14ac:dyDescent="0.25">
      <c r="A2465" s="10">
        <v>41248</v>
      </c>
      <c r="B2465">
        <v>821.26481824973632</v>
      </c>
      <c r="C2465">
        <v>29.103000000000002</v>
      </c>
      <c r="D2465">
        <v>0</v>
      </c>
      <c r="E2465">
        <v>0</v>
      </c>
      <c r="F2465">
        <v>0</v>
      </c>
      <c r="G2465">
        <v>-199.53776117999999</v>
      </c>
      <c r="H2465">
        <v>-74.954863109998769</v>
      </c>
      <c r="I2465">
        <v>0</v>
      </c>
      <c r="J2465">
        <v>0</v>
      </c>
      <c r="K2465">
        <v>3.06122111</v>
      </c>
      <c r="L2465">
        <v>1098.3</v>
      </c>
      <c r="M2465">
        <v>0</v>
      </c>
      <c r="N2465">
        <v>0</v>
      </c>
      <c r="O2465">
        <v>-34.706778570264888</v>
      </c>
      <c r="P2465">
        <v>289558.54720581969</v>
      </c>
    </row>
    <row r="2466" spans="1:16" x14ac:dyDescent="0.25">
      <c r="A2466" s="10">
        <v>41249</v>
      </c>
      <c r="B2466">
        <v>-333.73330932983708</v>
      </c>
      <c r="C2466">
        <v>14.545999999999999</v>
      </c>
      <c r="D2466">
        <v>0</v>
      </c>
      <c r="E2466">
        <v>-50</v>
      </c>
      <c r="F2466">
        <v>0</v>
      </c>
      <c r="G2466">
        <v>263.60862212000001</v>
      </c>
      <c r="H2466">
        <v>-551.2936573800016</v>
      </c>
      <c r="I2466">
        <v>0</v>
      </c>
      <c r="J2466">
        <v>1.9000000000000909</v>
      </c>
      <c r="K2466">
        <v>5.1356274399999986</v>
      </c>
      <c r="L2466">
        <v>0</v>
      </c>
      <c r="M2466">
        <v>0</v>
      </c>
      <c r="N2466">
        <v>0</v>
      </c>
      <c r="O2466">
        <v>-17.62990150983557</v>
      </c>
      <c r="P2466">
        <v>289224.81389648991</v>
      </c>
    </row>
    <row r="2467" spans="1:16" x14ac:dyDescent="0.25">
      <c r="A2467" s="10">
        <v>41250</v>
      </c>
      <c r="B2467">
        <v>2145.199877210136</v>
      </c>
      <c r="C2467">
        <v>948.0865</v>
      </c>
      <c r="D2467">
        <v>0</v>
      </c>
      <c r="E2467">
        <v>0</v>
      </c>
      <c r="F2467">
        <v>0</v>
      </c>
      <c r="G2467">
        <v>-60.874864509999981</v>
      </c>
      <c r="H2467">
        <v>1208.3727116200009</v>
      </c>
      <c r="I2467">
        <v>0</v>
      </c>
      <c r="J2467">
        <v>20.5</v>
      </c>
      <c r="K2467">
        <v>4.5290663299999991</v>
      </c>
      <c r="L2467">
        <v>0</v>
      </c>
      <c r="M2467">
        <v>0</v>
      </c>
      <c r="N2467">
        <v>0</v>
      </c>
      <c r="O2467">
        <v>24.586463770135289</v>
      </c>
      <c r="P2467">
        <v>291370.01377369999</v>
      </c>
    </row>
    <row r="2468" spans="1:16" x14ac:dyDescent="0.25">
      <c r="A2468" s="10">
        <v>41253</v>
      </c>
      <c r="B2468">
        <v>-2488.8142858002111</v>
      </c>
      <c r="C2468">
        <v>472.40109999999999</v>
      </c>
      <c r="D2468">
        <v>0</v>
      </c>
      <c r="E2468">
        <v>0</v>
      </c>
      <c r="F2468">
        <v>0</v>
      </c>
      <c r="G2468">
        <v>-362.07798395999998</v>
      </c>
      <c r="H2468">
        <v>-2499.682311250001</v>
      </c>
      <c r="I2468">
        <v>0</v>
      </c>
      <c r="J2468">
        <v>-55.699999999999818</v>
      </c>
      <c r="K2468">
        <v>-23.830030090000001</v>
      </c>
      <c r="L2468">
        <v>0</v>
      </c>
      <c r="M2468">
        <v>0</v>
      </c>
      <c r="N2468">
        <v>0</v>
      </c>
      <c r="O2468">
        <v>-19.92506050021057</v>
      </c>
      <c r="P2468">
        <v>288881.19948789978</v>
      </c>
    </row>
    <row r="2469" spans="1:16" x14ac:dyDescent="0.25">
      <c r="A2469" s="10">
        <v>41254</v>
      </c>
      <c r="B2469">
        <v>-5897.8995952997939</v>
      </c>
      <c r="C2469">
        <v>505.22300000000001</v>
      </c>
      <c r="D2469">
        <v>0</v>
      </c>
      <c r="E2469">
        <v>0</v>
      </c>
      <c r="F2469">
        <v>0</v>
      </c>
      <c r="G2469">
        <v>167.6592248</v>
      </c>
      <c r="H2469">
        <v>-6556.988744809998</v>
      </c>
      <c r="I2469">
        <v>0</v>
      </c>
      <c r="J2469">
        <v>0</v>
      </c>
      <c r="K2469">
        <v>3.0951463700000001</v>
      </c>
      <c r="L2469">
        <v>0</v>
      </c>
      <c r="M2469">
        <v>0</v>
      </c>
      <c r="N2469">
        <v>0</v>
      </c>
      <c r="O2469">
        <v>-16.88822165979618</v>
      </c>
      <c r="P2469">
        <v>282983.29989259999</v>
      </c>
    </row>
    <row r="2470" spans="1:16" x14ac:dyDescent="0.25">
      <c r="A2470" s="10">
        <v>41255</v>
      </c>
      <c r="B2470">
        <v>1588.256883579772</v>
      </c>
      <c r="C2470">
        <v>151.00550000000001</v>
      </c>
      <c r="D2470">
        <v>0</v>
      </c>
      <c r="E2470">
        <v>0</v>
      </c>
      <c r="F2470">
        <v>0</v>
      </c>
      <c r="G2470">
        <v>-472.10103875999988</v>
      </c>
      <c r="H2470">
        <v>2145.1187943599939</v>
      </c>
      <c r="I2470">
        <v>0</v>
      </c>
      <c r="J2470">
        <v>31.599999999999909</v>
      </c>
      <c r="K2470">
        <v>5.5333617100000003</v>
      </c>
      <c r="L2470">
        <v>-178.9</v>
      </c>
      <c r="M2470">
        <v>0</v>
      </c>
      <c r="N2470">
        <v>0</v>
      </c>
      <c r="O2470">
        <v>-93.999733730222772</v>
      </c>
      <c r="P2470">
        <v>284571.55677617982</v>
      </c>
    </row>
    <row r="2471" spans="1:16" x14ac:dyDescent="0.25">
      <c r="A2471" s="10">
        <v>41256</v>
      </c>
      <c r="B2471">
        <v>7591.9443082199441</v>
      </c>
      <c r="C2471">
        <v>377.71499999999997</v>
      </c>
      <c r="D2471">
        <v>-3000.0544399999999</v>
      </c>
      <c r="E2471">
        <v>9550</v>
      </c>
      <c r="F2471">
        <v>0</v>
      </c>
      <c r="G2471">
        <v>-72.289861760000349</v>
      </c>
      <c r="H2471">
        <v>725.42515324000124</v>
      </c>
      <c r="I2471">
        <v>0</v>
      </c>
      <c r="J2471">
        <v>0.5</v>
      </c>
      <c r="K2471">
        <v>5.6309480099999982</v>
      </c>
      <c r="L2471">
        <v>0</v>
      </c>
      <c r="M2471">
        <v>0</v>
      </c>
      <c r="N2471">
        <v>0</v>
      </c>
      <c r="O2471">
        <v>5.0175087299428931</v>
      </c>
      <c r="P2471">
        <v>292163.5010843997</v>
      </c>
    </row>
    <row r="2472" spans="1:16" x14ac:dyDescent="0.25">
      <c r="A2472" s="10">
        <v>41257</v>
      </c>
      <c r="B2472">
        <v>-100.9345690096368</v>
      </c>
      <c r="C2472">
        <v>536.59</v>
      </c>
      <c r="D2472">
        <v>0</v>
      </c>
      <c r="E2472">
        <v>0</v>
      </c>
      <c r="F2472">
        <v>0</v>
      </c>
      <c r="G2472">
        <v>-461.96120356000029</v>
      </c>
      <c r="H2472">
        <v>-214.89534196999381</v>
      </c>
      <c r="I2472">
        <v>0</v>
      </c>
      <c r="J2472">
        <v>41.300000000000182</v>
      </c>
      <c r="K2472">
        <v>3.2634684699999998</v>
      </c>
      <c r="L2472">
        <v>0</v>
      </c>
      <c r="M2472">
        <v>0</v>
      </c>
      <c r="N2472">
        <v>0</v>
      </c>
      <c r="O2472">
        <v>-5.2314919496429786</v>
      </c>
      <c r="P2472">
        <v>292062.56651539018</v>
      </c>
    </row>
    <row r="2473" spans="1:16" x14ac:dyDescent="0.25">
      <c r="A2473" s="10">
        <v>41260</v>
      </c>
      <c r="B2473">
        <v>-3798.963763360282</v>
      </c>
      <c r="C2473">
        <v>-227.053</v>
      </c>
      <c r="D2473">
        <v>0</v>
      </c>
      <c r="E2473">
        <v>0</v>
      </c>
      <c r="F2473">
        <v>0</v>
      </c>
      <c r="G2473">
        <v>-231.8265952700001</v>
      </c>
      <c r="H2473">
        <v>-3334.1643112000061</v>
      </c>
      <c r="I2473">
        <v>0</v>
      </c>
      <c r="J2473">
        <v>0</v>
      </c>
      <c r="K2473">
        <v>8.1797953000000021</v>
      </c>
      <c r="L2473">
        <v>0</v>
      </c>
      <c r="M2473">
        <v>0</v>
      </c>
      <c r="N2473">
        <v>0</v>
      </c>
      <c r="O2473">
        <v>-14.09965219027627</v>
      </c>
      <c r="P2473">
        <v>288263.6027520299</v>
      </c>
    </row>
    <row r="2474" spans="1:16" x14ac:dyDescent="0.25">
      <c r="A2474" s="10">
        <v>41261</v>
      </c>
      <c r="B2474">
        <v>625.53915879997601</v>
      </c>
      <c r="C2474">
        <v>293.291</v>
      </c>
      <c r="D2474">
        <v>0</v>
      </c>
      <c r="E2474">
        <v>0</v>
      </c>
      <c r="F2474">
        <v>0</v>
      </c>
      <c r="G2474">
        <v>-103.43584489999969</v>
      </c>
      <c r="H2474">
        <v>393.35189168000221</v>
      </c>
      <c r="I2474">
        <v>0</v>
      </c>
      <c r="J2474">
        <v>3.456000000000131</v>
      </c>
      <c r="K2474">
        <v>5.5919844299999992</v>
      </c>
      <c r="L2474">
        <v>52.7</v>
      </c>
      <c r="M2474">
        <v>0</v>
      </c>
      <c r="N2474">
        <v>0</v>
      </c>
      <c r="O2474">
        <v>-19.41587241002658</v>
      </c>
      <c r="P2474">
        <v>288889.14191082981</v>
      </c>
    </row>
    <row r="2475" spans="1:16" x14ac:dyDescent="0.25">
      <c r="A2475" s="10">
        <v>41262</v>
      </c>
      <c r="B2475">
        <v>11885.26193934004</v>
      </c>
      <c r="C2475">
        <v>-9.7899999999999991</v>
      </c>
      <c r="D2475">
        <v>0</v>
      </c>
      <c r="E2475">
        <v>0</v>
      </c>
      <c r="F2475">
        <v>0</v>
      </c>
      <c r="G2475">
        <v>1410.15474105</v>
      </c>
      <c r="H2475">
        <v>9502.8813831400003</v>
      </c>
      <c r="I2475">
        <v>0</v>
      </c>
      <c r="J2475">
        <v>0</v>
      </c>
      <c r="K2475">
        <v>5.9160611399999974</v>
      </c>
      <c r="L2475">
        <v>947.2</v>
      </c>
      <c r="M2475">
        <v>0</v>
      </c>
      <c r="N2475">
        <v>0</v>
      </c>
      <c r="O2475">
        <v>28.899754010036851</v>
      </c>
      <c r="P2475">
        <v>300774.40385016991</v>
      </c>
    </row>
    <row r="2476" spans="1:16" x14ac:dyDescent="0.25">
      <c r="A2476" s="10">
        <v>41263</v>
      </c>
      <c r="B2476">
        <v>-10187.60397005</v>
      </c>
      <c r="C2476">
        <v>371.35449999999997</v>
      </c>
      <c r="D2476">
        <v>-3000.0229199999999</v>
      </c>
      <c r="E2476">
        <v>9950</v>
      </c>
      <c r="F2476">
        <v>0</v>
      </c>
      <c r="G2476">
        <v>-7042.1987410500014</v>
      </c>
      <c r="H2476">
        <v>-10459.585032180001</v>
      </c>
      <c r="I2476">
        <v>0</v>
      </c>
      <c r="J2476">
        <v>10</v>
      </c>
      <c r="K2476">
        <v>2.9934533399999999</v>
      </c>
      <c r="L2476">
        <v>0</v>
      </c>
      <c r="M2476">
        <v>0</v>
      </c>
      <c r="N2476">
        <v>0</v>
      </c>
      <c r="O2476">
        <v>-20.145230159998029</v>
      </c>
      <c r="P2476">
        <v>290586.79988011991</v>
      </c>
    </row>
    <row r="2477" spans="1:16" x14ac:dyDescent="0.25">
      <c r="A2477" s="10">
        <v>41264</v>
      </c>
      <c r="B2477">
        <v>943.5496522499003</v>
      </c>
      <c r="C2477">
        <v>245.66739999999999</v>
      </c>
      <c r="D2477">
        <v>0</v>
      </c>
      <c r="E2477">
        <v>0</v>
      </c>
      <c r="F2477">
        <v>0</v>
      </c>
      <c r="G2477">
        <v>8.0569631499999961</v>
      </c>
      <c r="H2477">
        <v>677.2392414100068</v>
      </c>
      <c r="I2477">
        <v>0</v>
      </c>
      <c r="J2477">
        <v>0</v>
      </c>
      <c r="K2477">
        <v>3.97388466</v>
      </c>
      <c r="L2477">
        <v>0</v>
      </c>
      <c r="M2477">
        <v>0</v>
      </c>
      <c r="N2477">
        <v>0</v>
      </c>
      <c r="O2477">
        <v>8.6121630298934875</v>
      </c>
      <c r="P2477">
        <v>291530.34953236982</v>
      </c>
    </row>
    <row r="2478" spans="1:16" x14ac:dyDescent="0.25">
      <c r="A2478" s="10">
        <v>41269</v>
      </c>
      <c r="B2478">
        <v>9222.0871568603343</v>
      </c>
      <c r="C2478">
        <v>130.08099999999999</v>
      </c>
      <c r="D2478">
        <v>0</v>
      </c>
      <c r="E2478">
        <v>5000</v>
      </c>
      <c r="F2478">
        <v>1847.2</v>
      </c>
      <c r="G2478">
        <v>1865.047581470001</v>
      </c>
      <c r="H2478">
        <v>-886.4475138600028</v>
      </c>
      <c r="I2478">
        <v>0</v>
      </c>
      <c r="J2478">
        <v>0</v>
      </c>
      <c r="K2478">
        <v>7.2070046699999999</v>
      </c>
      <c r="L2478">
        <v>1209.5</v>
      </c>
      <c r="M2478">
        <v>0</v>
      </c>
      <c r="N2478">
        <v>0</v>
      </c>
      <c r="O2478">
        <v>49.499084580334603</v>
      </c>
      <c r="P2478">
        <v>300752.43668923009</v>
      </c>
    </row>
    <row r="2479" spans="1:16" x14ac:dyDescent="0.25">
      <c r="A2479" s="10">
        <v>41270</v>
      </c>
      <c r="B2479">
        <v>3564.849026609852</v>
      </c>
      <c r="C2479">
        <v>4.9110000000000014</v>
      </c>
      <c r="D2479">
        <v>0</v>
      </c>
      <c r="E2479">
        <v>0</v>
      </c>
      <c r="F2479">
        <v>0</v>
      </c>
      <c r="G2479">
        <v>-17.520572120000001</v>
      </c>
      <c r="H2479">
        <v>3596.2751685500039</v>
      </c>
      <c r="I2479">
        <v>0</v>
      </c>
      <c r="J2479">
        <v>0</v>
      </c>
      <c r="K2479">
        <v>9.0337716200000013</v>
      </c>
      <c r="L2479">
        <v>0</v>
      </c>
      <c r="M2479">
        <v>0</v>
      </c>
      <c r="N2479">
        <v>0</v>
      </c>
      <c r="O2479">
        <v>-27.850341440153169</v>
      </c>
      <c r="P2479">
        <v>304317.28571584</v>
      </c>
    </row>
    <row r="2480" spans="1:16" x14ac:dyDescent="0.25">
      <c r="A2480" s="10">
        <v>41271</v>
      </c>
      <c r="B2480">
        <v>4206.4615674499073</v>
      </c>
      <c r="C2480">
        <v>878.40899999999999</v>
      </c>
      <c r="D2480">
        <v>0</v>
      </c>
      <c r="E2480">
        <v>0</v>
      </c>
      <c r="F2480">
        <v>0</v>
      </c>
      <c r="G2480">
        <v>-87.726829969999926</v>
      </c>
      <c r="H2480">
        <v>3465.4142346600001</v>
      </c>
      <c r="I2480">
        <v>0</v>
      </c>
      <c r="J2480">
        <v>0</v>
      </c>
      <c r="K2480">
        <v>16.80054522</v>
      </c>
      <c r="L2480">
        <v>0</v>
      </c>
      <c r="M2480">
        <v>0</v>
      </c>
      <c r="N2480">
        <v>0</v>
      </c>
      <c r="O2480">
        <v>-66.435382460092114</v>
      </c>
      <c r="P2480">
        <v>308523.74728328979</v>
      </c>
    </row>
    <row r="2481" spans="1:16" x14ac:dyDescent="0.25">
      <c r="A2481" s="10">
        <v>41274</v>
      </c>
      <c r="B2481">
        <v>-1172.2310360301051</v>
      </c>
      <c r="C2481">
        <v>0</v>
      </c>
      <c r="D2481">
        <v>0</v>
      </c>
      <c r="E2481">
        <v>0</v>
      </c>
      <c r="F2481">
        <v>0</v>
      </c>
      <c r="G2481">
        <v>-344.9</v>
      </c>
      <c r="H2481">
        <v>-828.43092012000125</v>
      </c>
      <c r="I2481">
        <v>0</v>
      </c>
      <c r="J2481">
        <v>0</v>
      </c>
      <c r="K2481">
        <v>4.2402346599999996</v>
      </c>
      <c r="L2481">
        <v>0</v>
      </c>
      <c r="M2481">
        <v>0</v>
      </c>
      <c r="N2481">
        <v>0</v>
      </c>
      <c r="O2481">
        <v>-3.1403505701032368</v>
      </c>
      <c r="P2481">
        <v>307351.51624725969</v>
      </c>
    </row>
    <row r="2482" spans="1:16" x14ac:dyDescent="0.25">
      <c r="A2482" s="10">
        <v>41276</v>
      </c>
      <c r="B2482">
        <v>-1944.6117269397359</v>
      </c>
      <c r="C2482">
        <v>9.8470000000000013</v>
      </c>
      <c r="D2482">
        <v>0</v>
      </c>
      <c r="E2482">
        <v>0</v>
      </c>
      <c r="F2482">
        <v>0</v>
      </c>
      <c r="G2482">
        <v>103.1499154699999</v>
      </c>
      <c r="H2482">
        <v>-2382.5111124899981</v>
      </c>
      <c r="I2482">
        <v>0</v>
      </c>
      <c r="J2482">
        <v>0</v>
      </c>
      <c r="K2482">
        <v>8.1567373899999982</v>
      </c>
      <c r="L2482">
        <v>188.5</v>
      </c>
      <c r="M2482">
        <v>0</v>
      </c>
      <c r="N2482">
        <v>0</v>
      </c>
      <c r="O2482">
        <v>128.2457326902616</v>
      </c>
      <c r="P2482">
        <v>305406.90452032012</v>
      </c>
    </row>
    <row r="2483" spans="1:16" x14ac:dyDescent="0.25">
      <c r="A2483" s="10">
        <v>41277</v>
      </c>
      <c r="B2483">
        <v>277.7767519901405</v>
      </c>
      <c r="C2483">
        <v>-5.0000000000238742E-4</v>
      </c>
      <c r="D2483">
        <v>0</v>
      </c>
      <c r="E2483">
        <v>0</v>
      </c>
      <c r="F2483">
        <v>0</v>
      </c>
      <c r="G2483">
        <v>-63.36781407999996</v>
      </c>
      <c r="H2483">
        <v>300.45904888999939</v>
      </c>
      <c r="I2483">
        <v>0</v>
      </c>
      <c r="J2483">
        <v>0</v>
      </c>
      <c r="K2483">
        <v>5.6679806799999994</v>
      </c>
      <c r="L2483">
        <v>53</v>
      </c>
      <c r="M2483">
        <v>0</v>
      </c>
      <c r="N2483">
        <v>0</v>
      </c>
      <c r="O2483">
        <v>-17.9819634998589</v>
      </c>
      <c r="P2483">
        <v>305684.68127231009</v>
      </c>
    </row>
    <row r="2484" spans="1:16" x14ac:dyDescent="0.25">
      <c r="A2484" s="10">
        <v>41278</v>
      </c>
      <c r="B2484">
        <v>-3112.313342279986</v>
      </c>
      <c r="C2484">
        <v>-93.590999999999994</v>
      </c>
      <c r="D2484">
        <v>0</v>
      </c>
      <c r="E2484">
        <v>0</v>
      </c>
      <c r="F2484">
        <v>0</v>
      </c>
      <c r="G2484">
        <v>-191.73933414999999</v>
      </c>
      <c r="H2484">
        <v>-2762.3563906900022</v>
      </c>
      <c r="I2484">
        <v>0</v>
      </c>
      <c r="J2484">
        <v>0</v>
      </c>
      <c r="K2484">
        <v>3.9556600799999999</v>
      </c>
      <c r="L2484">
        <v>0</v>
      </c>
      <c r="M2484">
        <v>0</v>
      </c>
      <c r="N2484">
        <v>0</v>
      </c>
      <c r="O2484">
        <v>-68.582277519984387</v>
      </c>
      <c r="P2484">
        <v>302572.36793003022</v>
      </c>
    </row>
    <row r="2485" spans="1:16" x14ac:dyDescent="0.25">
      <c r="A2485" s="10">
        <v>41281</v>
      </c>
      <c r="B2485">
        <v>-1303.8130956903931</v>
      </c>
      <c r="C2485">
        <v>-9.8569999999999993</v>
      </c>
      <c r="D2485">
        <v>0</v>
      </c>
      <c r="E2485">
        <v>0</v>
      </c>
      <c r="F2485">
        <v>0</v>
      </c>
      <c r="G2485">
        <v>240.53255756999991</v>
      </c>
      <c r="H2485">
        <v>-1551.575253630002</v>
      </c>
      <c r="I2485">
        <v>0</v>
      </c>
      <c r="J2485">
        <v>0</v>
      </c>
      <c r="K2485">
        <v>7.10264965</v>
      </c>
      <c r="L2485">
        <v>0</v>
      </c>
      <c r="M2485">
        <v>0</v>
      </c>
      <c r="N2485">
        <v>0</v>
      </c>
      <c r="O2485">
        <v>9.9839507196093109</v>
      </c>
      <c r="P2485">
        <v>301268.55483433983</v>
      </c>
    </row>
    <row r="2486" spans="1:16" x14ac:dyDescent="0.25">
      <c r="A2486" s="10">
        <v>41282</v>
      </c>
      <c r="B2486">
        <v>-53.874128419789344</v>
      </c>
      <c r="C2486">
        <v>172.58799999999999</v>
      </c>
      <c r="D2486">
        <v>0</v>
      </c>
      <c r="E2486">
        <v>0</v>
      </c>
      <c r="F2486">
        <v>0</v>
      </c>
      <c r="G2486">
        <v>0.29099800000000192</v>
      </c>
      <c r="H2486">
        <v>-161.2317480199963</v>
      </c>
      <c r="I2486">
        <v>0</v>
      </c>
      <c r="J2486">
        <v>0</v>
      </c>
      <c r="K2486">
        <v>2.01266357</v>
      </c>
      <c r="L2486">
        <v>0</v>
      </c>
      <c r="M2486">
        <v>0</v>
      </c>
      <c r="N2486">
        <v>0</v>
      </c>
      <c r="O2486">
        <v>-67.534041969793037</v>
      </c>
      <c r="P2486">
        <v>301214.68070591998</v>
      </c>
    </row>
    <row r="2487" spans="1:16" x14ac:dyDescent="0.25">
      <c r="A2487" s="10">
        <v>41283</v>
      </c>
      <c r="B2487">
        <v>-2686.6444425099771</v>
      </c>
      <c r="C2487">
        <v>34.521800000000013</v>
      </c>
      <c r="D2487">
        <v>0</v>
      </c>
      <c r="E2487">
        <v>0</v>
      </c>
      <c r="F2487">
        <v>0</v>
      </c>
      <c r="G2487">
        <v>115.10088872999999</v>
      </c>
      <c r="H2487">
        <v>189.3875342900028</v>
      </c>
      <c r="I2487">
        <v>0</v>
      </c>
      <c r="J2487">
        <v>-51.199999999999818</v>
      </c>
      <c r="K2487">
        <v>-21.70887032000018</v>
      </c>
      <c r="L2487">
        <v>-2969.2</v>
      </c>
      <c r="M2487">
        <v>0</v>
      </c>
      <c r="N2487">
        <v>0</v>
      </c>
      <c r="O2487">
        <v>16.454204790020409</v>
      </c>
      <c r="P2487">
        <v>298528.03626341</v>
      </c>
    </row>
    <row r="2488" spans="1:16" x14ac:dyDescent="0.25">
      <c r="A2488" s="10">
        <v>41284</v>
      </c>
      <c r="B2488">
        <v>1575.3657797001069</v>
      </c>
      <c r="C2488">
        <v>49.38</v>
      </c>
      <c r="D2488">
        <v>0</v>
      </c>
      <c r="E2488">
        <v>0</v>
      </c>
      <c r="F2488">
        <v>0</v>
      </c>
      <c r="G2488">
        <v>-261.23282447000003</v>
      </c>
      <c r="H2488">
        <v>1794.563751909998</v>
      </c>
      <c r="I2488">
        <v>0</v>
      </c>
      <c r="J2488">
        <v>0</v>
      </c>
      <c r="K2488">
        <v>5.3743591600000009</v>
      </c>
      <c r="L2488">
        <v>0</v>
      </c>
      <c r="M2488">
        <v>0</v>
      </c>
      <c r="N2488">
        <v>0</v>
      </c>
      <c r="O2488">
        <v>-12.719506899890799</v>
      </c>
      <c r="P2488">
        <v>300103.40204311011</v>
      </c>
    </row>
    <row r="2489" spans="1:16" x14ac:dyDescent="0.25">
      <c r="A2489" s="10">
        <v>41285</v>
      </c>
      <c r="B2489">
        <v>1677.356748709745</v>
      </c>
      <c r="C2489">
        <v>46.942500000000003</v>
      </c>
      <c r="D2489">
        <v>0</v>
      </c>
      <c r="E2489">
        <v>0</v>
      </c>
      <c r="F2489">
        <v>0</v>
      </c>
      <c r="G2489">
        <v>159.88217308</v>
      </c>
      <c r="H2489">
        <v>1515.960263509998</v>
      </c>
      <c r="I2489">
        <v>0</v>
      </c>
      <c r="J2489">
        <v>78.400000000000091</v>
      </c>
      <c r="K2489">
        <v>5.8071351599999987</v>
      </c>
      <c r="L2489">
        <v>0</v>
      </c>
      <c r="M2489">
        <v>0</v>
      </c>
      <c r="N2489">
        <v>0</v>
      </c>
      <c r="O2489">
        <v>-129.63532304025321</v>
      </c>
      <c r="P2489">
        <v>301780.75879181991</v>
      </c>
    </row>
    <row r="2490" spans="1:16" x14ac:dyDescent="0.25">
      <c r="A2490" s="10">
        <v>41288</v>
      </c>
      <c r="B2490">
        <v>-1219.231786149787</v>
      </c>
      <c r="C2490">
        <v>76.643000000000001</v>
      </c>
      <c r="D2490">
        <v>0</v>
      </c>
      <c r="E2490">
        <v>0</v>
      </c>
      <c r="F2490">
        <v>0</v>
      </c>
      <c r="G2490">
        <v>-89.462887740000014</v>
      </c>
      <c r="H2490">
        <v>-1259.661166189999</v>
      </c>
      <c r="I2490">
        <v>0</v>
      </c>
      <c r="J2490">
        <v>60.400000000000091</v>
      </c>
      <c r="K2490">
        <v>7.3619541900000014</v>
      </c>
      <c r="L2490">
        <v>0</v>
      </c>
      <c r="M2490">
        <v>0</v>
      </c>
      <c r="N2490">
        <v>0</v>
      </c>
      <c r="O2490">
        <v>-14.512686409788881</v>
      </c>
      <c r="P2490">
        <v>300561.52700567013</v>
      </c>
    </row>
    <row r="2491" spans="1:16" x14ac:dyDescent="0.25">
      <c r="A2491" s="10">
        <v>41289</v>
      </c>
      <c r="B2491">
        <v>1292.872008819774</v>
      </c>
      <c r="C2491">
        <v>-243.61670000000001</v>
      </c>
      <c r="D2491">
        <v>0</v>
      </c>
      <c r="E2491">
        <v>0</v>
      </c>
      <c r="F2491">
        <v>0</v>
      </c>
      <c r="G2491">
        <v>-44.902919289999993</v>
      </c>
      <c r="H2491">
        <v>1601.719334000001</v>
      </c>
      <c r="I2491">
        <v>0</v>
      </c>
      <c r="J2491">
        <v>9.8000000000001819</v>
      </c>
      <c r="K2491">
        <v>5.4907191099999997</v>
      </c>
      <c r="L2491">
        <v>0</v>
      </c>
      <c r="M2491">
        <v>0</v>
      </c>
      <c r="N2491">
        <v>0</v>
      </c>
      <c r="O2491">
        <v>-35.618425000227219</v>
      </c>
      <c r="P2491">
        <v>301854.39901448978</v>
      </c>
    </row>
    <row r="2492" spans="1:16" x14ac:dyDescent="0.25">
      <c r="A2492" s="10">
        <v>41290</v>
      </c>
      <c r="B2492">
        <v>-2352.3521159497341</v>
      </c>
      <c r="C2492">
        <v>69.265999999999991</v>
      </c>
      <c r="D2492">
        <v>0</v>
      </c>
      <c r="E2492">
        <v>0</v>
      </c>
      <c r="F2492">
        <v>0</v>
      </c>
      <c r="G2492">
        <v>-298.98068584000009</v>
      </c>
      <c r="H2492">
        <v>-537.86208169999736</v>
      </c>
      <c r="I2492">
        <v>0</v>
      </c>
      <c r="J2492">
        <v>49.099999999999909</v>
      </c>
      <c r="K2492">
        <v>7.2723054400000002</v>
      </c>
      <c r="L2492">
        <v>-1607.8</v>
      </c>
      <c r="M2492">
        <v>0</v>
      </c>
      <c r="N2492">
        <v>0</v>
      </c>
      <c r="O2492">
        <v>-33.347653849735977</v>
      </c>
      <c r="P2492">
        <v>299502.04689854023</v>
      </c>
    </row>
    <row r="2493" spans="1:16" x14ac:dyDescent="0.25">
      <c r="A2493" s="10">
        <v>41291</v>
      </c>
      <c r="B2493">
        <v>-647.17373532010333</v>
      </c>
      <c r="C2493">
        <v>65.760699999999986</v>
      </c>
      <c r="D2493">
        <v>0</v>
      </c>
      <c r="E2493">
        <v>0</v>
      </c>
      <c r="F2493">
        <v>0</v>
      </c>
      <c r="G2493">
        <v>237.26920097000001</v>
      </c>
      <c r="H2493">
        <v>-938.7310669000035</v>
      </c>
      <c r="I2493">
        <v>0</v>
      </c>
      <c r="J2493">
        <v>0</v>
      </c>
      <c r="K2493">
        <v>5.8374237699999991</v>
      </c>
      <c r="L2493">
        <v>0</v>
      </c>
      <c r="M2493">
        <v>0</v>
      </c>
      <c r="N2493">
        <v>0</v>
      </c>
      <c r="O2493">
        <v>-17.309993160099769</v>
      </c>
      <c r="P2493">
        <v>298854.87316322001</v>
      </c>
    </row>
    <row r="2494" spans="1:16" x14ac:dyDescent="0.25">
      <c r="A2494" s="10">
        <v>41292</v>
      </c>
      <c r="B2494">
        <v>-1020.719844020146</v>
      </c>
      <c r="C2494">
        <v>211.40700000000001</v>
      </c>
      <c r="D2494">
        <v>0</v>
      </c>
      <c r="E2494">
        <v>0</v>
      </c>
      <c r="F2494">
        <v>0</v>
      </c>
      <c r="G2494">
        <v>-74.989934570000003</v>
      </c>
      <c r="H2494">
        <v>-1147.966288929998</v>
      </c>
      <c r="I2494">
        <v>0</v>
      </c>
      <c r="J2494">
        <v>1.6999999999998181</v>
      </c>
      <c r="K2494">
        <v>4.8697275700000002</v>
      </c>
      <c r="L2494">
        <v>0</v>
      </c>
      <c r="M2494">
        <v>0</v>
      </c>
      <c r="N2494">
        <v>0</v>
      </c>
      <c r="O2494">
        <v>-15.740348090148061</v>
      </c>
      <c r="P2494">
        <v>297834.15331919992</v>
      </c>
    </row>
    <row r="2495" spans="1:16" x14ac:dyDescent="0.25">
      <c r="A2495" s="10">
        <v>41295</v>
      </c>
      <c r="B2495">
        <v>1144.5927793102469</v>
      </c>
      <c r="C2495">
        <v>0</v>
      </c>
      <c r="D2495">
        <v>0</v>
      </c>
      <c r="E2495">
        <v>0</v>
      </c>
      <c r="F2495">
        <v>0</v>
      </c>
      <c r="G2495">
        <v>294.59494168999998</v>
      </c>
      <c r="H2495">
        <v>846.22925460999977</v>
      </c>
      <c r="I2495">
        <v>0</v>
      </c>
      <c r="J2495">
        <v>2.3000000000001819</v>
      </c>
      <c r="K2495">
        <v>8.6940558900000013</v>
      </c>
      <c r="L2495">
        <v>0</v>
      </c>
      <c r="M2495">
        <v>0</v>
      </c>
      <c r="N2495">
        <v>0</v>
      </c>
      <c r="O2495">
        <v>-7.2254728797532621</v>
      </c>
      <c r="P2495">
        <v>298978.74609850999</v>
      </c>
    </row>
    <row r="2496" spans="1:16" x14ac:dyDescent="0.25">
      <c r="A2496" s="10">
        <v>41296</v>
      </c>
      <c r="B2496">
        <v>294.37176722998151</v>
      </c>
      <c r="C2496">
        <v>96.655000000000001</v>
      </c>
      <c r="D2496">
        <v>0</v>
      </c>
      <c r="E2496">
        <v>0</v>
      </c>
      <c r="F2496">
        <v>0</v>
      </c>
      <c r="G2496">
        <v>135.70496725000001</v>
      </c>
      <c r="H2496">
        <v>29.213196880002219</v>
      </c>
      <c r="I2496">
        <v>0</v>
      </c>
      <c r="J2496">
        <v>56.099999999999909</v>
      </c>
      <c r="K2496">
        <v>4.4355328800000002</v>
      </c>
      <c r="L2496">
        <v>0</v>
      </c>
      <c r="M2496">
        <v>0</v>
      </c>
      <c r="N2496">
        <v>0</v>
      </c>
      <c r="O2496">
        <v>-27.736929780020581</v>
      </c>
      <c r="P2496">
        <v>299273.11786574009</v>
      </c>
    </row>
    <row r="2497" spans="1:16" x14ac:dyDescent="0.25">
      <c r="A2497" s="10">
        <v>41297</v>
      </c>
      <c r="B2497">
        <v>-5021.472752260277</v>
      </c>
      <c r="C2497">
        <v>-178.74</v>
      </c>
      <c r="D2497">
        <v>0</v>
      </c>
      <c r="E2497">
        <v>0</v>
      </c>
      <c r="F2497">
        <v>0</v>
      </c>
      <c r="G2497">
        <v>-250.36501914999999</v>
      </c>
      <c r="H2497">
        <v>-1980.7497932399931</v>
      </c>
      <c r="I2497">
        <v>0</v>
      </c>
      <c r="J2497">
        <v>0</v>
      </c>
      <c r="K2497">
        <v>5.3217249799999991</v>
      </c>
      <c r="L2497">
        <v>-2574.599999999999</v>
      </c>
      <c r="M2497">
        <v>0</v>
      </c>
      <c r="N2497">
        <v>0</v>
      </c>
      <c r="O2497">
        <v>-42.339664850284677</v>
      </c>
      <c r="P2497">
        <v>294251.64511347981</v>
      </c>
    </row>
    <row r="2498" spans="1:16" x14ac:dyDescent="0.25">
      <c r="A2498" s="10">
        <v>41298</v>
      </c>
      <c r="B2498">
        <v>-335.86694425967198</v>
      </c>
      <c r="C2498">
        <v>-119.202</v>
      </c>
      <c r="D2498">
        <v>0</v>
      </c>
      <c r="E2498">
        <v>0</v>
      </c>
      <c r="F2498">
        <v>0</v>
      </c>
      <c r="G2498">
        <v>147.92863577</v>
      </c>
      <c r="H2498">
        <v>-355.92724262000769</v>
      </c>
      <c r="I2498">
        <v>0</v>
      </c>
      <c r="J2498">
        <v>0</v>
      </c>
      <c r="K2498">
        <v>5.6565141899999993</v>
      </c>
      <c r="L2498">
        <v>32.9</v>
      </c>
      <c r="M2498">
        <v>0</v>
      </c>
      <c r="N2498">
        <v>0</v>
      </c>
      <c r="O2498">
        <v>-47.222851599664303</v>
      </c>
      <c r="P2498">
        <v>293915.77816922008</v>
      </c>
    </row>
    <row r="2499" spans="1:16" x14ac:dyDescent="0.25">
      <c r="A2499" s="10">
        <v>41299</v>
      </c>
      <c r="B2499">
        <v>-1275.6731325303549</v>
      </c>
      <c r="C2499">
        <v>11.353999999999999</v>
      </c>
      <c r="D2499">
        <v>0</v>
      </c>
      <c r="E2499">
        <v>-1800</v>
      </c>
      <c r="F2499">
        <v>0</v>
      </c>
      <c r="G2499">
        <v>1809.25133099</v>
      </c>
      <c r="H2499">
        <v>-1353.324905569996</v>
      </c>
      <c r="I2499">
        <v>0</v>
      </c>
      <c r="J2499">
        <v>21.400000000000091</v>
      </c>
      <c r="K2499">
        <v>5.9811316299999993</v>
      </c>
      <c r="L2499">
        <v>0</v>
      </c>
      <c r="M2499">
        <v>0</v>
      </c>
      <c r="N2499">
        <v>0</v>
      </c>
      <c r="O2499">
        <v>29.665310419640761</v>
      </c>
      <c r="P2499">
        <v>292640.10503668978</v>
      </c>
    </row>
    <row r="2500" spans="1:16" x14ac:dyDescent="0.25">
      <c r="A2500" s="10">
        <v>41302</v>
      </c>
      <c r="B2500">
        <v>-2218.9789933400471</v>
      </c>
      <c r="C2500">
        <v>47.225000000000001</v>
      </c>
      <c r="D2500">
        <v>0</v>
      </c>
      <c r="E2500">
        <v>0</v>
      </c>
      <c r="F2500">
        <v>0</v>
      </c>
      <c r="G2500">
        <v>22.998170200000001</v>
      </c>
      <c r="H2500">
        <v>-2408.540114779993</v>
      </c>
      <c r="I2500">
        <v>0</v>
      </c>
      <c r="J2500">
        <v>0</v>
      </c>
      <c r="K2500">
        <v>9.5535201299999972</v>
      </c>
      <c r="L2500">
        <v>142.19999999999999</v>
      </c>
      <c r="M2500">
        <v>0</v>
      </c>
      <c r="N2500">
        <v>0</v>
      </c>
      <c r="O2500">
        <v>-32.415568890053883</v>
      </c>
      <c r="P2500">
        <v>290421.12604334968</v>
      </c>
    </row>
    <row r="2501" spans="1:16" x14ac:dyDescent="0.25">
      <c r="A2501" s="10">
        <v>41303</v>
      </c>
      <c r="B2501">
        <v>-439.79797244968512</v>
      </c>
      <c r="C2501">
        <v>-296.04500000000002</v>
      </c>
      <c r="D2501">
        <v>0</v>
      </c>
      <c r="E2501">
        <v>0</v>
      </c>
      <c r="F2501">
        <v>0</v>
      </c>
      <c r="G2501">
        <v>47.075237749999999</v>
      </c>
      <c r="H2501">
        <v>-188.9712565600021</v>
      </c>
      <c r="I2501">
        <v>0</v>
      </c>
      <c r="J2501">
        <v>0</v>
      </c>
      <c r="K2501">
        <v>6.8457235799999996</v>
      </c>
      <c r="L2501">
        <v>0</v>
      </c>
      <c r="M2501">
        <v>0</v>
      </c>
      <c r="N2501">
        <v>0</v>
      </c>
      <c r="O2501">
        <v>-8.7026772196829612</v>
      </c>
      <c r="P2501">
        <v>289981.32807090011</v>
      </c>
    </row>
    <row r="2502" spans="1:16" x14ac:dyDescent="0.25">
      <c r="A2502" s="10">
        <v>41304</v>
      </c>
      <c r="B2502">
        <v>-2435.071509500151</v>
      </c>
      <c r="C2502">
        <v>541.09760000000006</v>
      </c>
      <c r="D2502">
        <v>0</v>
      </c>
      <c r="E2502">
        <v>1850</v>
      </c>
      <c r="F2502">
        <v>0</v>
      </c>
      <c r="G2502">
        <v>-1960.03331721</v>
      </c>
      <c r="H2502">
        <v>758.96593862000009</v>
      </c>
      <c r="I2502">
        <v>0</v>
      </c>
      <c r="J2502">
        <v>0</v>
      </c>
      <c r="K2502">
        <v>8.1368441699999998</v>
      </c>
      <c r="L2502">
        <v>-3592.5</v>
      </c>
      <c r="M2502">
        <v>0</v>
      </c>
      <c r="N2502">
        <v>0</v>
      </c>
      <c r="O2502">
        <v>-40.738575080150262</v>
      </c>
      <c r="P2502">
        <v>287546.25656139979</v>
      </c>
    </row>
    <row r="2503" spans="1:16" x14ac:dyDescent="0.25">
      <c r="A2503" s="10">
        <v>41306</v>
      </c>
      <c r="B2503">
        <v>1980.898778690143</v>
      </c>
      <c r="C2503">
        <v>34.874499999999998</v>
      </c>
      <c r="D2503">
        <v>0</v>
      </c>
      <c r="E2503">
        <v>0</v>
      </c>
      <c r="F2503">
        <v>0</v>
      </c>
      <c r="G2503">
        <v>-7.5216296300000067</v>
      </c>
      <c r="H2503">
        <v>1940.8304974300081</v>
      </c>
      <c r="I2503">
        <v>0</v>
      </c>
      <c r="J2503">
        <v>0</v>
      </c>
      <c r="K2503">
        <v>13.855689119999999</v>
      </c>
      <c r="L2503">
        <v>0</v>
      </c>
      <c r="M2503">
        <v>0</v>
      </c>
      <c r="N2503">
        <v>0</v>
      </c>
      <c r="O2503">
        <v>-1.1402782298650891</v>
      </c>
      <c r="P2503">
        <v>289527.1553400901</v>
      </c>
    </row>
    <row r="2504" spans="1:16" x14ac:dyDescent="0.25">
      <c r="A2504" s="10">
        <v>41309</v>
      </c>
      <c r="B2504">
        <v>-707.45607816031952</v>
      </c>
      <c r="C2504">
        <v>164.37200000000001</v>
      </c>
      <c r="D2504">
        <v>0</v>
      </c>
      <c r="E2504">
        <v>0</v>
      </c>
      <c r="F2504">
        <v>0</v>
      </c>
      <c r="G2504">
        <v>-108.97251273000001</v>
      </c>
      <c r="H2504">
        <v>-725.44909072000519</v>
      </c>
      <c r="I2504">
        <v>0</v>
      </c>
      <c r="J2504">
        <v>0</v>
      </c>
      <c r="K2504">
        <v>11.910411829999999</v>
      </c>
      <c r="L2504">
        <v>0</v>
      </c>
      <c r="M2504">
        <v>0</v>
      </c>
      <c r="N2504">
        <v>0</v>
      </c>
      <c r="O2504">
        <v>-49.316886540314428</v>
      </c>
      <c r="P2504">
        <v>288819.69926192972</v>
      </c>
    </row>
    <row r="2505" spans="1:16" x14ac:dyDescent="0.25">
      <c r="A2505" s="10">
        <v>41310</v>
      </c>
      <c r="B2505">
        <v>-470.06583177985021</v>
      </c>
      <c r="C2505">
        <v>3.9819999999999989</v>
      </c>
      <c r="D2505">
        <v>0</v>
      </c>
      <c r="E2505">
        <v>0</v>
      </c>
      <c r="F2505">
        <v>0</v>
      </c>
      <c r="G2505">
        <v>-213.87188467999991</v>
      </c>
      <c r="H2505">
        <v>-236.02181107000069</v>
      </c>
      <c r="I2505">
        <v>0</v>
      </c>
      <c r="J2505">
        <v>0</v>
      </c>
      <c r="K2505">
        <v>7.2223960599999986</v>
      </c>
      <c r="L2505">
        <v>0</v>
      </c>
      <c r="M2505">
        <v>0</v>
      </c>
      <c r="N2505">
        <v>0</v>
      </c>
      <c r="O2505">
        <v>-31.376532089849562</v>
      </c>
      <c r="P2505">
        <v>288349.63343014987</v>
      </c>
    </row>
    <row r="2506" spans="1:16" x14ac:dyDescent="0.25">
      <c r="A2506" s="10">
        <v>41311</v>
      </c>
      <c r="B2506">
        <v>406.46796725993221</v>
      </c>
      <c r="C2506">
        <v>-50.023000000000017</v>
      </c>
      <c r="D2506">
        <v>0</v>
      </c>
      <c r="E2506">
        <v>0</v>
      </c>
      <c r="F2506">
        <v>0</v>
      </c>
      <c r="G2506">
        <v>282.85067900000001</v>
      </c>
      <c r="H2506">
        <v>2632.41818302</v>
      </c>
      <c r="I2506">
        <v>0</v>
      </c>
      <c r="J2506">
        <v>43.699999999999818</v>
      </c>
      <c r="K2506">
        <v>6.8414362200000003</v>
      </c>
      <c r="L2506">
        <v>-2511.3000000000002</v>
      </c>
      <c r="M2506">
        <v>0</v>
      </c>
      <c r="N2506">
        <v>0</v>
      </c>
      <c r="O2506">
        <v>1.980669019932884</v>
      </c>
      <c r="P2506">
        <v>288756.1013974098</v>
      </c>
    </row>
    <row r="2507" spans="1:16" x14ac:dyDescent="0.25">
      <c r="A2507" s="10">
        <v>41312</v>
      </c>
      <c r="B2507">
        <v>414.13188030029278</v>
      </c>
      <c r="C2507">
        <v>-430.11</v>
      </c>
      <c r="D2507">
        <v>0</v>
      </c>
      <c r="E2507">
        <v>0</v>
      </c>
      <c r="F2507">
        <v>0</v>
      </c>
      <c r="G2507">
        <v>-282.43169907999999</v>
      </c>
      <c r="H2507">
        <v>1070.5555971899989</v>
      </c>
      <c r="I2507">
        <v>0</v>
      </c>
      <c r="J2507">
        <v>0</v>
      </c>
      <c r="K2507">
        <v>1.6020547999999999</v>
      </c>
      <c r="L2507">
        <v>0</v>
      </c>
      <c r="M2507">
        <v>0</v>
      </c>
      <c r="N2507">
        <v>0</v>
      </c>
      <c r="O2507">
        <v>54.515927390293307</v>
      </c>
      <c r="P2507">
        <v>289170.2332777101</v>
      </c>
    </row>
    <row r="2508" spans="1:16" x14ac:dyDescent="0.25">
      <c r="A2508" s="10">
        <v>41313</v>
      </c>
      <c r="B2508">
        <v>2205.6479416699149</v>
      </c>
      <c r="C2508">
        <v>-77.998999999999995</v>
      </c>
      <c r="D2508">
        <v>0</v>
      </c>
      <c r="E2508">
        <v>-1800</v>
      </c>
      <c r="F2508">
        <v>0</v>
      </c>
      <c r="G2508">
        <v>2087.9990475200002</v>
      </c>
      <c r="H2508">
        <v>2075.7178746600039</v>
      </c>
      <c r="I2508">
        <v>0</v>
      </c>
      <c r="J2508">
        <v>14.200000000000269</v>
      </c>
      <c r="K2508">
        <v>-20.28618678000009</v>
      </c>
      <c r="L2508">
        <v>0</v>
      </c>
      <c r="M2508">
        <v>0</v>
      </c>
      <c r="N2508">
        <v>0</v>
      </c>
      <c r="O2508">
        <v>-73.983793730088024</v>
      </c>
      <c r="P2508">
        <v>291375.88121938001</v>
      </c>
    </row>
    <row r="2509" spans="1:16" x14ac:dyDescent="0.25">
      <c r="A2509" s="10">
        <v>41318</v>
      </c>
      <c r="B2509">
        <v>4945.3282331397641</v>
      </c>
      <c r="C2509">
        <v>40.024000000000001</v>
      </c>
      <c r="D2509">
        <v>0</v>
      </c>
      <c r="E2509">
        <v>0</v>
      </c>
      <c r="F2509">
        <v>0</v>
      </c>
      <c r="G2509">
        <v>-256.70098601000001</v>
      </c>
      <c r="H2509">
        <v>5797.6747861399999</v>
      </c>
      <c r="I2509">
        <v>0</v>
      </c>
      <c r="J2509">
        <v>0</v>
      </c>
      <c r="K2509">
        <v>21.474911689999999</v>
      </c>
      <c r="L2509">
        <v>-627.5</v>
      </c>
      <c r="M2509">
        <v>0</v>
      </c>
      <c r="N2509">
        <v>0</v>
      </c>
      <c r="O2509">
        <v>-29.644478680236169</v>
      </c>
      <c r="P2509">
        <v>296321.20945251978</v>
      </c>
    </row>
    <row r="2510" spans="1:16" x14ac:dyDescent="0.25">
      <c r="A2510" s="10">
        <v>41319</v>
      </c>
      <c r="B2510">
        <v>1607.5625406900649</v>
      </c>
      <c r="C2510">
        <v>401.40199999999999</v>
      </c>
      <c r="D2510">
        <v>0</v>
      </c>
      <c r="E2510">
        <v>1750</v>
      </c>
      <c r="F2510">
        <v>0</v>
      </c>
      <c r="G2510">
        <v>-1571.25913021</v>
      </c>
      <c r="H2510">
        <v>1042.455135040002</v>
      </c>
      <c r="I2510">
        <v>0</v>
      </c>
      <c r="J2510">
        <v>2.0999999999999091</v>
      </c>
      <c r="K2510">
        <v>2.1692753200000001</v>
      </c>
      <c r="L2510">
        <v>0</v>
      </c>
      <c r="M2510">
        <v>0</v>
      </c>
      <c r="N2510">
        <v>0</v>
      </c>
      <c r="O2510">
        <v>-19.304739459936531</v>
      </c>
      <c r="P2510">
        <v>297928.77199320978</v>
      </c>
    </row>
    <row r="2511" spans="1:16" x14ac:dyDescent="0.25">
      <c r="A2511" s="10">
        <v>41320</v>
      </c>
      <c r="B2511">
        <v>2256.505059039861</v>
      </c>
      <c r="C2511">
        <v>17.5425</v>
      </c>
      <c r="D2511">
        <v>0</v>
      </c>
      <c r="E2511">
        <v>-1000</v>
      </c>
      <c r="F2511">
        <v>0</v>
      </c>
      <c r="G2511">
        <v>775.55885083999999</v>
      </c>
      <c r="H2511">
        <v>2350.51489808</v>
      </c>
      <c r="I2511">
        <v>0</v>
      </c>
      <c r="J2511">
        <v>0</v>
      </c>
      <c r="K2511">
        <v>5.9252489700000002</v>
      </c>
      <c r="L2511">
        <v>0</v>
      </c>
      <c r="M2511">
        <v>0</v>
      </c>
      <c r="N2511">
        <v>0</v>
      </c>
      <c r="O2511">
        <v>106.96356114986069</v>
      </c>
      <c r="P2511">
        <v>300185.27705224982</v>
      </c>
    </row>
    <row r="2512" spans="1:16" x14ac:dyDescent="0.25">
      <c r="A2512" s="10">
        <v>41323</v>
      </c>
      <c r="B2512">
        <v>-4597.6080960999252</v>
      </c>
      <c r="C2512">
        <v>0</v>
      </c>
      <c r="D2512">
        <v>0</v>
      </c>
      <c r="E2512">
        <v>0</v>
      </c>
      <c r="F2512">
        <v>0</v>
      </c>
      <c r="G2512">
        <v>-92.381383150000033</v>
      </c>
      <c r="H2512">
        <v>-4513.4787575500004</v>
      </c>
      <c r="I2512">
        <v>0</v>
      </c>
      <c r="J2512">
        <v>14.69999999999982</v>
      </c>
      <c r="K2512">
        <v>2.8834480899999999</v>
      </c>
      <c r="L2512">
        <v>0</v>
      </c>
      <c r="M2512">
        <v>0</v>
      </c>
      <c r="N2512">
        <v>0</v>
      </c>
      <c r="O2512">
        <v>-9.3314034899247424</v>
      </c>
      <c r="P2512">
        <v>295587.66895614978</v>
      </c>
    </row>
    <row r="2513" spans="1:16" x14ac:dyDescent="0.25">
      <c r="A2513" s="10">
        <v>41324</v>
      </c>
      <c r="B2513">
        <v>-3001.2068708698489</v>
      </c>
      <c r="C2513">
        <v>-677.40729999999996</v>
      </c>
      <c r="D2513">
        <v>0</v>
      </c>
      <c r="E2513">
        <v>0</v>
      </c>
      <c r="F2513">
        <v>0</v>
      </c>
      <c r="G2513">
        <v>41.750946189999993</v>
      </c>
      <c r="H2513">
        <v>-2363.2214867100029</v>
      </c>
      <c r="I2513">
        <v>0</v>
      </c>
      <c r="J2513">
        <v>1.9000000000000909</v>
      </c>
      <c r="K2513">
        <v>1.69858026</v>
      </c>
      <c r="L2513">
        <v>0</v>
      </c>
      <c r="M2513">
        <v>0</v>
      </c>
      <c r="N2513">
        <v>0</v>
      </c>
      <c r="O2513">
        <v>-5.9276106098463046</v>
      </c>
      <c r="P2513">
        <v>292586.46208527993</v>
      </c>
    </row>
    <row r="2514" spans="1:16" x14ac:dyDescent="0.25">
      <c r="A2514" s="10">
        <v>41326</v>
      </c>
      <c r="B2514">
        <v>79.602137000242578</v>
      </c>
      <c r="C2514">
        <v>-238.82599999999999</v>
      </c>
      <c r="D2514">
        <v>0</v>
      </c>
      <c r="E2514">
        <v>1050</v>
      </c>
      <c r="F2514">
        <v>0</v>
      </c>
      <c r="G2514">
        <v>-1166.7957621999999</v>
      </c>
      <c r="H2514">
        <v>512.1052430999971</v>
      </c>
      <c r="I2514">
        <v>0</v>
      </c>
      <c r="J2514">
        <v>0</v>
      </c>
      <c r="K2514">
        <v>10.11288856</v>
      </c>
      <c r="L2514">
        <v>-45.399999999999991</v>
      </c>
      <c r="M2514">
        <v>0</v>
      </c>
      <c r="N2514">
        <v>0</v>
      </c>
      <c r="O2514">
        <v>-41.594232459754359</v>
      </c>
      <c r="P2514">
        <v>292666.06422228023</v>
      </c>
    </row>
    <row r="2515" spans="1:16" x14ac:dyDescent="0.25">
      <c r="A2515" s="10">
        <v>41327</v>
      </c>
      <c r="B2515">
        <v>-959.34639598015929</v>
      </c>
      <c r="C2515">
        <v>42.670499999999997</v>
      </c>
      <c r="D2515">
        <v>-299.78354999999999</v>
      </c>
      <c r="E2515">
        <v>-2350</v>
      </c>
      <c r="F2515">
        <v>0</v>
      </c>
      <c r="G2515">
        <v>4984.0625859900001</v>
      </c>
      <c r="H2515">
        <v>-3412.6721220799991</v>
      </c>
      <c r="I2515">
        <v>0</v>
      </c>
      <c r="J2515">
        <v>14.19999999999982</v>
      </c>
      <c r="K2515">
        <v>3.21634894</v>
      </c>
      <c r="L2515">
        <v>60.2</v>
      </c>
      <c r="M2515">
        <v>0</v>
      </c>
      <c r="N2515">
        <v>0</v>
      </c>
      <c r="O2515">
        <v>-1.240158830160272</v>
      </c>
      <c r="P2515">
        <v>291706.71782630013</v>
      </c>
    </row>
    <row r="2516" spans="1:16" x14ac:dyDescent="0.25">
      <c r="A2516" s="10">
        <v>41330</v>
      </c>
      <c r="B2516">
        <v>-612.23042519990042</v>
      </c>
      <c r="C2516">
        <v>144.92740000000001</v>
      </c>
      <c r="D2516">
        <v>0</v>
      </c>
      <c r="E2516">
        <v>0</v>
      </c>
      <c r="F2516">
        <v>0</v>
      </c>
      <c r="G2516">
        <v>160.27380998999999</v>
      </c>
      <c r="H2516">
        <v>-939.01220731999638</v>
      </c>
      <c r="I2516">
        <v>0</v>
      </c>
      <c r="J2516">
        <v>0</v>
      </c>
      <c r="K2516">
        <v>10.35346775</v>
      </c>
      <c r="L2516">
        <v>0</v>
      </c>
      <c r="M2516">
        <v>0</v>
      </c>
      <c r="N2516">
        <v>0</v>
      </c>
      <c r="O2516">
        <v>11.22710438009597</v>
      </c>
      <c r="P2516">
        <v>291094.48740110022</v>
      </c>
    </row>
    <row r="2517" spans="1:16" x14ac:dyDescent="0.25">
      <c r="A2517" s="10">
        <v>41331</v>
      </c>
      <c r="B2517">
        <v>-132.21868077036851</v>
      </c>
      <c r="C2517">
        <v>-75.540499999999994</v>
      </c>
      <c r="D2517">
        <v>0</v>
      </c>
      <c r="E2517">
        <v>0</v>
      </c>
      <c r="F2517">
        <v>0</v>
      </c>
      <c r="G2517">
        <v>-157.59963759999999</v>
      </c>
      <c r="H2517">
        <v>111.0227064299943</v>
      </c>
      <c r="I2517">
        <v>0</v>
      </c>
      <c r="J2517">
        <v>0</v>
      </c>
      <c r="K2517">
        <v>4.0437626099999999</v>
      </c>
      <c r="L2517">
        <v>0</v>
      </c>
      <c r="M2517">
        <v>0</v>
      </c>
      <c r="N2517">
        <v>0</v>
      </c>
      <c r="O2517">
        <v>-14.14501221036276</v>
      </c>
      <c r="P2517">
        <v>290962.26872032968</v>
      </c>
    </row>
    <row r="2518" spans="1:16" x14ac:dyDescent="0.25">
      <c r="A2518" s="10">
        <v>41332</v>
      </c>
      <c r="B2518">
        <v>-1150.301180519687</v>
      </c>
      <c r="C2518">
        <v>-232.35050000000001</v>
      </c>
      <c r="D2518">
        <v>0</v>
      </c>
      <c r="E2518">
        <v>0</v>
      </c>
      <c r="F2518">
        <v>0</v>
      </c>
      <c r="G2518">
        <v>-87.856511579999946</v>
      </c>
      <c r="H2518">
        <v>-608.17653614999654</v>
      </c>
      <c r="I2518">
        <v>0</v>
      </c>
      <c r="J2518">
        <v>20.300000000000178</v>
      </c>
      <c r="K2518">
        <v>3.0950282699999998</v>
      </c>
      <c r="L2518">
        <v>-230.7</v>
      </c>
      <c r="M2518">
        <v>0</v>
      </c>
      <c r="N2518">
        <v>0</v>
      </c>
      <c r="O2518">
        <v>-14.61266105969084</v>
      </c>
      <c r="P2518">
        <v>289811.96753981011</v>
      </c>
    </row>
    <row r="2519" spans="1:16" x14ac:dyDescent="0.25">
      <c r="A2519" s="10">
        <v>41333</v>
      </c>
      <c r="B2519">
        <v>1339.254174929637</v>
      </c>
      <c r="C2519">
        <v>80.72</v>
      </c>
      <c r="D2519">
        <v>-360</v>
      </c>
      <c r="E2519">
        <v>2300</v>
      </c>
      <c r="F2519">
        <v>2400</v>
      </c>
      <c r="G2519">
        <v>-2145.598570130001</v>
      </c>
      <c r="H2519">
        <v>-1007.984786410001</v>
      </c>
      <c r="I2519">
        <v>0</v>
      </c>
      <c r="J2519">
        <v>0</v>
      </c>
      <c r="K2519">
        <v>6.9599797700000003</v>
      </c>
      <c r="L2519">
        <v>43.3</v>
      </c>
      <c r="M2519">
        <v>0</v>
      </c>
      <c r="N2519">
        <v>0</v>
      </c>
      <c r="O2519">
        <v>21.857551699638091</v>
      </c>
      <c r="P2519">
        <v>291151.22171473969</v>
      </c>
    </row>
    <row r="2520" spans="1:16" x14ac:dyDescent="0.25">
      <c r="A2520" s="10">
        <v>41334</v>
      </c>
      <c r="B2520">
        <v>9114.6874976303661</v>
      </c>
      <c r="C2520">
        <v>126.314652</v>
      </c>
      <c r="D2520">
        <v>0</v>
      </c>
      <c r="E2520">
        <v>0</v>
      </c>
      <c r="F2520">
        <v>0</v>
      </c>
      <c r="G2520">
        <v>-4.7269524200000026</v>
      </c>
      <c r="H2520">
        <v>9020.4785215299999</v>
      </c>
      <c r="I2520">
        <v>0</v>
      </c>
      <c r="J2520">
        <v>8.5</v>
      </c>
      <c r="K2520">
        <v>4.6397238099999987</v>
      </c>
      <c r="L2520">
        <v>0</v>
      </c>
      <c r="M2520">
        <v>0</v>
      </c>
      <c r="N2520">
        <v>0</v>
      </c>
      <c r="O2520">
        <v>-40.518447289634061</v>
      </c>
      <c r="P2520">
        <v>300265.90921237011</v>
      </c>
    </row>
    <row r="2521" spans="1:16" x14ac:dyDescent="0.25">
      <c r="A2521" s="10">
        <v>41337</v>
      </c>
      <c r="B2521">
        <v>295.87032114015977</v>
      </c>
      <c r="C2521">
        <v>-10.211152</v>
      </c>
      <c r="D2521">
        <v>0</v>
      </c>
      <c r="E2521">
        <v>0</v>
      </c>
      <c r="F2521">
        <v>0</v>
      </c>
      <c r="G2521">
        <v>-178.86473864000001</v>
      </c>
      <c r="H2521">
        <v>501.51207834999877</v>
      </c>
      <c r="I2521">
        <v>0</v>
      </c>
      <c r="J2521">
        <v>0</v>
      </c>
      <c r="K2521">
        <v>5.0038393399999999</v>
      </c>
      <c r="L2521">
        <v>0</v>
      </c>
      <c r="M2521">
        <v>0</v>
      </c>
      <c r="N2521">
        <v>0</v>
      </c>
      <c r="O2521">
        <v>-21.569705909838959</v>
      </c>
      <c r="P2521">
        <v>300561.77953351021</v>
      </c>
    </row>
    <row r="2522" spans="1:16" x14ac:dyDescent="0.25">
      <c r="A2522" s="10">
        <v>41338</v>
      </c>
      <c r="B2522">
        <v>-201.11197518999731</v>
      </c>
      <c r="C2522">
        <v>-185.03559999999999</v>
      </c>
      <c r="D2522">
        <v>0</v>
      </c>
      <c r="E2522">
        <v>0</v>
      </c>
      <c r="F2522">
        <v>0</v>
      </c>
      <c r="G2522">
        <v>7.9796150700000226</v>
      </c>
      <c r="H2522">
        <v>13.175999729999599</v>
      </c>
      <c r="I2522">
        <v>0</v>
      </c>
      <c r="J2522">
        <v>0</v>
      </c>
      <c r="K2522">
        <v>1.46805008</v>
      </c>
      <c r="L2522">
        <v>0</v>
      </c>
      <c r="M2522">
        <v>0</v>
      </c>
      <c r="N2522">
        <v>0</v>
      </c>
      <c r="O2522">
        <v>-38.700040069996987</v>
      </c>
      <c r="P2522">
        <v>300360.66755832022</v>
      </c>
    </row>
    <row r="2523" spans="1:16" x14ac:dyDescent="0.25">
      <c r="A2523" s="10">
        <v>41339</v>
      </c>
      <c r="B2523">
        <v>-2024.007435200037</v>
      </c>
      <c r="C2523">
        <v>-69.313699999999997</v>
      </c>
      <c r="D2523">
        <v>0</v>
      </c>
      <c r="E2523">
        <v>0</v>
      </c>
      <c r="F2523">
        <v>0</v>
      </c>
      <c r="G2523">
        <v>74.349871530000001</v>
      </c>
      <c r="H2523">
        <v>-486.9771248299985</v>
      </c>
      <c r="I2523">
        <v>0</v>
      </c>
      <c r="J2523">
        <v>0</v>
      </c>
      <c r="K2523">
        <v>2.5699208800000002</v>
      </c>
      <c r="L2523">
        <v>-1531.4</v>
      </c>
      <c r="M2523">
        <v>0</v>
      </c>
      <c r="N2523">
        <v>0</v>
      </c>
      <c r="O2523">
        <v>-13.2364027800385</v>
      </c>
      <c r="P2523">
        <v>298336.66012312012</v>
      </c>
    </row>
    <row r="2524" spans="1:16" x14ac:dyDescent="0.25">
      <c r="A2524" s="10">
        <v>41340</v>
      </c>
      <c r="B2524">
        <v>-228.64682533999471</v>
      </c>
      <c r="C2524">
        <v>-9.9999999999056399E-4</v>
      </c>
      <c r="D2524">
        <v>0</v>
      </c>
      <c r="E2524">
        <v>0</v>
      </c>
      <c r="F2524">
        <v>0</v>
      </c>
      <c r="G2524">
        <v>-298.18965047</v>
      </c>
      <c r="H2524">
        <v>31.929922359999178</v>
      </c>
      <c r="I2524">
        <v>0</v>
      </c>
      <c r="J2524">
        <v>7.3000000000001819</v>
      </c>
      <c r="K2524">
        <v>2.972892209999999</v>
      </c>
      <c r="L2524">
        <v>0</v>
      </c>
      <c r="M2524">
        <v>0</v>
      </c>
      <c r="N2524">
        <v>0</v>
      </c>
      <c r="O2524">
        <v>27.341010560005941</v>
      </c>
      <c r="P2524">
        <v>298108.01329778018</v>
      </c>
    </row>
    <row r="2525" spans="1:16" x14ac:dyDescent="0.25">
      <c r="A2525" s="10">
        <v>41341</v>
      </c>
      <c r="B2525">
        <v>349.07431832980387</v>
      </c>
      <c r="C2525">
        <v>430.46199999999999</v>
      </c>
      <c r="D2525">
        <v>0</v>
      </c>
      <c r="E2525">
        <v>0</v>
      </c>
      <c r="F2525">
        <v>0</v>
      </c>
      <c r="G2525">
        <v>206.67375695999999</v>
      </c>
      <c r="H2525">
        <v>-170.92920443999901</v>
      </c>
      <c r="I2525">
        <v>0</v>
      </c>
      <c r="J2525">
        <v>-60</v>
      </c>
      <c r="K2525">
        <v>-24.75408807000009</v>
      </c>
      <c r="L2525">
        <v>0</v>
      </c>
      <c r="M2525">
        <v>0</v>
      </c>
      <c r="N2525">
        <v>0</v>
      </c>
      <c r="O2525">
        <v>-32.378146120196988</v>
      </c>
      <c r="P2525">
        <v>298457.08761610999</v>
      </c>
    </row>
    <row r="2526" spans="1:16" x14ac:dyDescent="0.25">
      <c r="A2526" s="10">
        <v>41344</v>
      </c>
      <c r="B2526">
        <v>-388.49903606018029</v>
      </c>
      <c r="C2526">
        <v>-58.410499999999978</v>
      </c>
      <c r="D2526">
        <v>-1400</v>
      </c>
      <c r="E2526">
        <v>0</v>
      </c>
      <c r="F2526">
        <v>0</v>
      </c>
      <c r="G2526">
        <v>1201.9805367599999</v>
      </c>
      <c r="H2526">
        <v>-153.44639793000169</v>
      </c>
      <c r="I2526">
        <v>0</v>
      </c>
      <c r="J2526">
        <v>29.199999999999822</v>
      </c>
      <c r="K2526">
        <v>4.2283073900000012</v>
      </c>
      <c r="L2526">
        <v>0</v>
      </c>
      <c r="M2526">
        <v>0</v>
      </c>
      <c r="N2526">
        <v>0</v>
      </c>
      <c r="O2526">
        <v>-12.05098228017844</v>
      </c>
      <c r="P2526">
        <v>298068.58858004981</v>
      </c>
    </row>
    <row r="2527" spans="1:16" x14ac:dyDescent="0.25">
      <c r="A2527" s="10">
        <v>41345</v>
      </c>
      <c r="B2527">
        <v>-330.78608191001638</v>
      </c>
      <c r="C2527">
        <v>-251.3135</v>
      </c>
      <c r="D2527">
        <v>0</v>
      </c>
      <c r="E2527">
        <v>0</v>
      </c>
      <c r="F2527">
        <v>0</v>
      </c>
      <c r="G2527">
        <v>59.034623430000011</v>
      </c>
      <c r="H2527">
        <v>-71.932611940001152</v>
      </c>
      <c r="I2527">
        <v>0</v>
      </c>
      <c r="J2527">
        <v>0.67617276000009952</v>
      </c>
      <c r="K2527">
        <v>3.0050127</v>
      </c>
      <c r="L2527">
        <v>0</v>
      </c>
      <c r="M2527">
        <v>0</v>
      </c>
      <c r="N2527">
        <v>0</v>
      </c>
      <c r="O2527">
        <v>-70.255778860015425</v>
      </c>
      <c r="P2527">
        <v>297737.80249813979</v>
      </c>
    </row>
    <row r="2528" spans="1:16" x14ac:dyDescent="0.25">
      <c r="A2528" s="10">
        <v>41346</v>
      </c>
      <c r="B2528">
        <v>-1359.14137019997</v>
      </c>
      <c r="C2528">
        <v>35.562999999999988</v>
      </c>
      <c r="D2528">
        <v>0</v>
      </c>
      <c r="E2528">
        <v>0</v>
      </c>
      <c r="F2528">
        <v>0</v>
      </c>
      <c r="G2528">
        <v>-564.83303873</v>
      </c>
      <c r="H2528">
        <v>259.10984195000128</v>
      </c>
      <c r="I2528">
        <v>0</v>
      </c>
      <c r="J2528">
        <v>0</v>
      </c>
      <c r="K2528">
        <v>2.35951719</v>
      </c>
      <c r="L2528">
        <v>-1068.4000000000001</v>
      </c>
      <c r="M2528">
        <v>0</v>
      </c>
      <c r="N2528">
        <v>0</v>
      </c>
      <c r="O2528">
        <v>-22.9406906099709</v>
      </c>
      <c r="P2528">
        <v>296378.66112793982</v>
      </c>
    </row>
    <row r="2529" spans="1:16" x14ac:dyDescent="0.25">
      <c r="A2529" s="10">
        <v>41347</v>
      </c>
      <c r="B2529">
        <v>539.59329212014507</v>
      </c>
      <c r="C2529">
        <v>132.18600000000001</v>
      </c>
      <c r="D2529">
        <v>0</v>
      </c>
      <c r="E2529">
        <v>0</v>
      </c>
      <c r="F2529">
        <v>0</v>
      </c>
      <c r="G2529">
        <v>198.65590520999999</v>
      </c>
      <c r="H2529">
        <v>71.135602779999317</v>
      </c>
      <c r="I2529">
        <v>0</v>
      </c>
      <c r="J2529">
        <v>26.318682000000081</v>
      </c>
      <c r="K2529">
        <v>3.6200628900000011</v>
      </c>
      <c r="L2529">
        <v>0</v>
      </c>
      <c r="M2529">
        <v>0</v>
      </c>
      <c r="N2529">
        <v>0</v>
      </c>
      <c r="O2529">
        <v>107.6770392401457</v>
      </c>
      <c r="P2529">
        <v>296918.25442006002</v>
      </c>
    </row>
    <row r="2530" spans="1:16" x14ac:dyDescent="0.25">
      <c r="A2530" s="10">
        <v>41348</v>
      </c>
      <c r="B2530">
        <v>-2405.115118329938</v>
      </c>
      <c r="C2530">
        <v>-382.87</v>
      </c>
      <c r="D2530">
        <v>0</v>
      </c>
      <c r="E2530">
        <v>0</v>
      </c>
      <c r="F2530">
        <v>0</v>
      </c>
      <c r="G2530">
        <v>195.70958417</v>
      </c>
      <c r="H2530">
        <v>-2217.943037749998</v>
      </c>
      <c r="I2530">
        <v>0</v>
      </c>
      <c r="J2530">
        <v>0</v>
      </c>
      <c r="K2530">
        <v>2.7445060099999998</v>
      </c>
      <c r="L2530">
        <v>0</v>
      </c>
      <c r="M2530">
        <v>0</v>
      </c>
      <c r="N2530">
        <v>0</v>
      </c>
      <c r="O2530">
        <v>-2.756170759939685</v>
      </c>
      <c r="P2530">
        <v>294513.13930173003</v>
      </c>
    </row>
    <row r="2531" spans="1:16" x14ac:dyDescent="0.25">
      <c r="A2531" s="10">
        <v>41351</v>
      </c>
      <c r="B2531">
        <v>-1502.7263500302211</v>
      </c>
      <c r="C2531">
        <v>1.05000000000075E-2</v>
      </c>
      <c r="D2531">
        <v>0</v>
      </c>
      <c r="E2531">
        <v>0</v>
      </c>
      <c r="F2531">
        <v>0</v>
      </c>
      <c r="G2531">
        <v>-340.73687767000001</v>
      </c>
      <c r="H2531">
        <v>-1185.894074029999</v>
      </c>
      <c r="I2531">
        <v>0</v>
      </c>
      <c r="J2531">
        <v>0</v>
      </c>
      <c r="K2531">
        <v>4.9484542699999992</v>
      </c>
      <c r="L2531">
        <v>52.3</v>
      </c>
      <c r="M2531">
        <v>0</v>
      </c>
      <c r="N2531">
        <v>0</v>
      </c>
      <c r="O2531">
        <v>-33.354352600222043</v>
      </c>
      <c r="P2531">
        <v>293010.41295169981</v>
      </c>
    </row>
    <row r="2532" spans="1:16" x14ac:dyDescent="0.25">
      <c r="A2532" s="10">
        <v>41352</v>
      </c>
      <c r="B2532">
        <v>377.0625989000543</v>
      </c>
      <c r="C2532">
        <v>-323.61250000000001</v>
      </c>
      <c r="D2532">
        <v>0</v>
      </c>
      <c r="E2532">
        <v>0</v>
      </c>
      <c r="F2532">
        <v>0</v>
      </c>
      <c r="G2532">
        <v>75.553237840000037</v>
      </c>
      <c r="H2532">
        <v>643.72467644999961</v>
      </c>
      <c r="I2532">
        <v>0</v>
      </c>
      <c r="J2532">
        <v>0</v>
      </c>
      <c r="K2532">
        <v>3.14379557</v>
      </c>
      <c r="L2532">
        <v>0</v>
      </c>
      <c r="M2532">
        <v>0</v>
      </c>
      <c r="N2532">
        <v>0</v>
      </c>
      <c r="O2532">
        <v>-21.74661095994534</v>
      </c>
      <c r="P2532">
        <v>293387.47555059992</v>
      </c>
    </row>
    <row r="2533" spans="1:16" x14ac:dyDescent="0.25">
      <c r="A2533" s="10">
        <v>41353</v>
      </c>
      <c r="B2533">
        <v>188.48221622023351</v>
      </c>
      <c r="C2533">
        <v>-318.52499999999998</v>
      </c>
      <c r="D2533">
        <v>0</v>
      </c>
      <c r="E2533">
        <v>0</v>
      </c>
      <c r="F2533">
        <v>0</v>
      </c>
      <c r="G2533">
        <v>-95.623975649999977</v>
      </c>
      <c r="H2533">
        <v>951.03601137000078</v>
      </c>
      <c r="I2533">
        <v>0</v>
      </c>
      <c r="J2533">
        <v>0</v>
      </c>
      <c r="K2533">
        <v>3.4267896100000002</v>
      </c>
      <c r="L2533">
        <v>-288.10000000000002</v>
      </c>
      <c r="M2533">
        <v>0</v>
      </c>
      <c r="N2533">
        <v>0</v>
      </c>
      <c r="O2533">
        <v>-63.73160910976727</v>
      </c>
      <c r="P2533">
        <v>293575.95776682009</v>
      </c>
    </row>
    <row r="2534" spans="1:16" x14ac:dyDescent="0.25">
      <c r="A2534" s="10">
        <v>41354</v>
      </c>
      <c r="B2534">
        <v>-750.67874441033916</v>
      </c>
      <c r="C2534">
        <v>200.48159999999999</v>
      </c>
      <c r="D2534">
        <v>0</v>
      </c>
      <c r="E2534">
        <v>0</v>
      </c>
      <c r="F2534">
        <v>0</v>
      </c>
      <c r="G2534">
        <v>162.49502813999999</v>
      </c>
      <c r="H2534">
        <v>-1110.3447432999999</v>
      </c>
      <c r="I2534">
        <v>0</v>
      </c>
      <c r="J2534">
        <v>1.670000000000073</v>
      </c>
      <c r="K2534">
        <v>3.9657638799999999</v>
      </c>
      <c r="L2534">
        <v>0</v>
      </c>
      <c r="M2534">
        <v>0</v>
      </c>
      <c r="N2534">
        <v>0</v>
      </c>
      <c r="O2534">
        <v>-8.9463931303391959</v>
      </c>
      <c r="P2534">
        <v>292825.2790224097</v>
      </c>
    </row>
    <row r="2535" spans="1:16" x14ac:dyDescent="0.25">
      <c r="A2535" s="10">
        <v>41355</v>
      </c>
      <c r="B2535">
        <v>614.90774632000875</v>
      </c>
      <c r="C2535">
        <v>-408.80799999999999</v>
      </c>
      <c r="D2535">
        <v>0</v>
      </c>
      <c r="E2535">
        <v>-1400</v>
      </c>
      <c r="F2535">
        <v>0</v>
      </c>
      <c r="G2535">
        <v>269.07350217999999</v>
      </c>
      <c r="H2535">
        <v>2069.0615241199989</v>
      </c>
      <c r="I2535">
        <v>0</v>
      </c>
      <c r="J2535">
        <v>27.400000000000091</v>
      </c>
      <c r="K2535">
        <v>5.4282463399999994</v>
      </c>
      <c r="L2535">
        <v>0</v>
      </c>
      <c r="M2535">
        <v>0</v>
      </c>
      <c r="N2535">
        <v>0</v>
      </c>
      <c r="O2535">
        <v>52.752473680009167</v>
      </c>
      <c r="P2535">
        <v>293440.18676872982</v>
      </c>
    </row>
    <row r="2536" spans="1:16" x14ac:dyDescent="0.25">
      <c r="A2536" s="10">
        <v>41358</v>
      </c>
      <c r="B2536">
        <v>-3416.4876467596032</v>
      </c>
      <c r="C2536">
        <v>-197.00299999999999</v>
      </c>
      <c r="D2536">
        <v>0</v>
      </c>
      <c r="E2536">
        <v>-4900</v>
      </c>
      <c r="F2536">
        <v>0</v>
      </c>
      <c r="G2536">
        <v>-136.71254620999949</v>
      </c>
      <c r="H2536">
        <v>1853.511767200001</v>
      </c>
      <c r="I2536">
        <v>0</v>
      </c>
      <c r="J2536">
        <v>0</v>
      </c>
      <c r="K2536">
        <v>7.7116589699999976</v>
      </c>
      <c r="L2536">
        <v>0</v>
      </c>
      <c r="M2536">
        <v>0</v>
      </c>
      <c r="N2536">
        <v>0</v>
      </c>
      <c r="O2536">
        <v>-43.995526719605188</v>
      </c>
      <c r="P2536">
        <v>290023.69912197022</v>
      </c>
    </row>
    <row r="2537" spans="1:16" x14ac:dyDescent="0.25">
      <c r="A2537" s="10">
        <v>41359</v>
      </c>
      <c r="B2537">
        <v>1621.4729300098261</v>
      </c>
      <c r="C2537">
        <v>-194.54949999999999</v>
      </c>
      <c r="D2537">
        <v>-1600</v>
      </c>
      <c r="E2537">
        <v>0</v>
      </c>
      <c r="F2537">
        <v>0</v>
      </c>
      <c r="G2537">
        <v>1092.0116872599999</v>
      </c>
      <c r="H2537">
        <v>2307.6706353999998</v>
      </c>
      <c r="I2537">
        <v>0</v>
      </c>
      <c r="J2537">
        <v>0</v>
      </c>
      <c r="K2537">
        <v>3.5487832199999998</v>
      </c>
      <c r="L2537">
        <v>0</v>
      </c>
      <c r="M2537">
        <v>0</v>
      </c>
      <c r="N2537">
        <v>0</v>
      </c>
      <c r="O2537">
        <v>12.79132412982649</v>
      </c>
      <c r="P2537">
        <v>291645.17205197999</v>
      </c>
    </row>
    <row r="2538" spans="1:16" x14ac:dyDescent="0.25">
      <c r="A2538" s="10">
        <v>41360</v>
      </c>
      <c r="B2538">
        <v>10569.279336600101</v>
      </c>
      <c r="C2538">
        <v>516.69000000000005</v>
      </c>
      <c r="D2538">
        <v>0</v>
      </c>
      <c r="E2538">
        <v>6300</v>
      </c>
      <c r="F2538">
        <v>4000</v>
      </c>
      <c r="G2538">
        <v>-4303.4225520599985</v>
      </c>
      <c r="H2538">
        <v>1843.752256799999</v>
      </c>
      <c r="I2538">
        <v>0</v>
      </c>
      <c r="J2538">
        <v>0</v>
      </c>
      <c r="K2538">
        <v>2.2970789699999998</v>
      </c>
      <c r="L2538">
        <v>2222.6999999999998</v>
      </c>
      <c r="M2538">
        <v>0</v>
      </c>
      <c r="N2538">
        <v>0</v>
      </c>
      <c r="O2538">
        <v>-12.73744710990286</v>
      </c>
      <c r="P2538">
        <v>302214.45138858008</v>
      </c>
    </row>
    <row r="2539" spans="1:16" x14ac:dyDescent="0.25">
      <c r="A2539" s="10">
        <v>41367</v>
      </c>
      <c r="B2539">
        <v>4119.4804244997213</v>
      </c>
      <c r="C2539">
        <v>322.154</v>
      </c>
      <c r="D2539">
        <v>-1500</v>
      </c>
      <c r="E2539">
        <v>0</v>
      </c>
      <c r="F2539">
        <v>0</v>
      </c>
      <c r="G2539">
        <v>1784.8724319800001</v>
      </c>
      <c r="H2539">
        <v>1900.117887639999</v>
      </c>
      <c r="I2539">
        <v>0</v>
      </c>
      <c r="J2539">
        <v>0</v>
      </c>
      <c r="K2539">
        <v>9.8766744200000005</v>
      </c>
      <c r="L2539">
        <v>1641.3</v>
      </c>
      <c r="M2539">
        <v>0</v>
      </c>
      <c r="N2539">
        <v>0</v>
      </c>
      <c r="O2539">
        <v>-38.840569540277833</v>
      </c>
      <c r="P2539">
        <v>306333.93181307981</v>
      </c>
    </row>
    <row r="2540" spans="1:16" x14ac:dyDescent="0.25">
      <c r="A2540" s="10">
        <v>41368</v>
      </c>
      <c r="B2540">
        <v>-743.02175458974693</v>
      </c>
      <c r="C2540">
        <v>-71.755499999999984</v>
      </c>
      <c r="D2540">
        <v>0</v>
      </c>
      <c r="E2540">
        <v>0</v>
      </c>
      <c r="F2540">
        <v>0</v>
      </c>
      <c r="G2540">
        <v>-24.16933426999999</v>
      </c>
      <c r="H2540">
        <v>-677.55901993000043</v>
      </c>
      <c r="I2540">
        <v>0</v>
      </c>
      <c r="J2540">
        <v>0</v>
      </c>
      <c r="K2540">
        <v>0.19831486000000001</v>
      </c>
      <c r="L2540">
        <v>0</v>
      </c>
      <c r="M2540">
        <v>0</v>
      </c>
      <c r="N2540">
        <v>0</v>
      </c>
      <c r="O2540">
        <v>30.263784750253581</v>
      </c>
      <c r="P2540">
        <v>305590.91005849012</v>
      </c>
    </row>
    <row r="2541" spans="1:16" x14ac:dyDescent="0.25">
      <c r="A2541" s="10">
        <v>41369</v>
      </c>
      <c r="B2541">
        <v>-2041.6605728600989</v>
      </c>
      <c r="C2541">
        <v>150.8032</v>
      </c>
      <c r="D2541">
        <v>0</v>
      </c>
      <c r="E2541">
        <v>-2700</v>
      </c>
      <c r="F2541">
        <v>0</v>
      </c>
      <c r="G2541">
        <v>-38.939530130000144</v>
      </c>
      <c r="H2541">
        <v>-1449.6657488799999</v>
      </c>
      <c r="I2541">
        <v>0</v>
      </c>
      <c r="J2541">
        <v>0</v>
      </c>
      <c r="K2541">
        <v>0.62839887999999988</v>
      </c>
      <c r="L2541">
        <v>2000.7</v>
      </c>
      <c r="M2541">
        <v>0</v>
      </c>
      <c r="N2541">
        <v>0</v>
      </c>
      <c r="O2541">
        <v>-5.1868927300985881</v>
      </c>
      <c r="P2541">
        <v>303549.2494856299</v>
      </c>
    </row>
    <row r="2542" spans="1:16" x14ac:dyDescent="0.25">
      <c r="A2542" s="10">
        <v>41372</v>
      </c>
      <c r="B2542">
        <v>-824.0622958900052</v>
      </c>
      <c r="C2542">
        <v>107.7795</v>
      </c>
      <c r="D2542">
        <v>0</v>
      </c>
      <c r="E2542">
        <v>0</v>
      </c>
      <c r="F2542">
        <v>0</v>
      </c>
      <c r="G2542">
        <v>-73.305493469999931</v>
      </c>
      <c r="H2542">
        <v>-799.374512710001</v>
      </c>
      <c r="I2542">
        <v>0</v>
      </c>
      <c r="J2542">
        <v>19.87771999999995</v>
      </c>
      <c r="K2542">
        <v>2.3152981800000001</v>
      </c>
      <c r="L2542">
        <v>0</v>
      </c>
      <c r="M2542">
        <v>0</v>
      </c>
      <c r="N2542">
        <v>0</v>
      </c>
      <c r="O2542">
        <v>-81.354807890004253</v>
      </c>
      <c r="P2542">
        <v>302725.18718974001</v>
      </c>
    </row>
    <row r="2543" spans="1:16" x14ac:dyDescent="0.25">
      <c r="A2543" s="10">
        <v>41373</v>
      </c>
      <c r="B2543">
        <v>274.09297513012939</v>
      </c>
      <c r="C2543">
        <v>179.74100000000001</v>
      </c>
      <c r="D2543">
        <v>0</v>
      </c>
      <c r="E2543">
        <v>0</v>
      </c>
      <c r="F2543">
        <v>0</v>
      </c>
      <c r="G2543">
        <v>30.669717109999969</v>
      </c>
      <c r="H2543">
        <v>68.96911125999759</v>
      </c>
      <c r="I2543">
        <v>0</v>
      </c>
      <c r="J2543">
        <v>2</v>
      </c>
      <c r="K2543">
        <v>0.8861173699999999</v>
      </c>
      <c r="L2543">
        <v>0</v>
      </c>
      <c r="M2543">
        <v>0</v>
      </c>
      <c r="N2543">
        <v>0</v>
      </c>
      <c r="O2543">
        <v>-8.17297060986815</v>
      </c>
      <c r="P2543">
        <v>302999.28016487008</v>
      </c>
    </row>
    <row r="2544" spans="1:16" x14ac:dyDescent="0.25">
      <c r="A2544" s="10">
        <v>41374</v>
      </c>
      <c r="B2544">
        <v>-422.75311364012271</v>
      </c>
      <c r="C2544">
        <v>387.03559999999999</v>
      </c>
      <c r="D2544">
        <v>0</v>
      </c>
      <c r="E2544">
        <v>0</v>
      </c>
      <c r="F2544">
        <v>0</v>
      </c>
      <c r="G2544">
        <v>227.84048492999989</v>
      </c>
      <c r="H2544">
        <v>481.31342563999902</v>
      </c>
      <c r="I2544">
        <v>0</v>
      </c>
      <c r="J2544">
        <v>-64.099999999999909</v>
      </c>
      <c r="K2544">
        <v>-29.310701429999579</v>
      </c>
      <c r="L2544">
        <v>-1407.3</v>
      </c>
      <c r="M2544">
        <v>0</v>
      </c>
      <c r="N2544">
        <v>0</v>
      </c>
      <c r="O2544">
        <v>-18.231922780122229</v>
      </c>
      <c r="P2544">
        <v>302576.52705123002</v>
      </c>
    </row>
    <row r="2545" spans="1:16" x14ac:dyDescent="0.25">
      <c r="A2545" s="10">
        <v>41375</v>
      </c>
      <c r="B2545">
        <v>-292.67926588020077</v>
      </c>
      <c r="C2545">
        <v>122.91670000000001</v>
      </c>
      <c r="D2545">
        <v>0</v>
      </c>
      <c r="E2545">
        <v>0</v>
      </c>
      <c r="F2545">
        <v>0</v>
      </c>
      <c r="G2545">
        <v>-80.45915076999998</v>
      </c>
      <c r="H2545">
        <v>-259.51156573000122</v>
      </c>
      <c r="I2545">
        <v>0</v>
      </c>
      <c r="J2545">
        <v>0</v>
      </c>
      <c r="K2545">
        <v>1.3416204199999999</v>
      </c>
      <c r="L2545">
        <v>0</v>
      </c>
      <c r="M2545">
        <v>0</v>
      </c>
      <c r="N2545">
        <v>0</v>
      </c>
      <c r="O2545">
        <v>-76.966869800199675</v>
      </c>
      <c r="P2545">
        <v>302283.84778534982</v>
      </c>
    </row>
    <row r="2546" spans="1:16" x14ac:dyDescent="0.25">
      <c r="A2546" s="10">
        <v>41376</v>
      </c>
      <c r="B2546">
        <v>2076.327042090124</v>
      </c>
      <c r="C2546">
        <v>218.9</v>
      </c>
      <c r="D2546">
        <v>0</v>
      </c>
      <c r="E2546">
        <v>1950</v>
      </c>
      <c r="F2546">
        <v>0</v>
      </c>
      <c r="G2546">
        <v>-89.082269920000087</v>
      </c>
      <c r="H2546">
        <v>4.2817762200029392</v>
      </c>
      <c r="I2546">
        <v>0</v>
      </c>
      <c r="J2546">
        <v>7.8000000000001819</v>
      </c>
      <c r="K2546">
        <v>1.1614296799999999</v>
      </c>
      <c r="L2546">
        <v>0</v>
      </c>
      <c r="M2546">
        <v>0</v>
      </c>
      <c r="N2546">
        <v>0</v>
      </c>
      <c r="O2546">
        <v>-16.73389388987853</v>
      </c>
      <c r="P2546">
        <v>304360.17482743989</v>
      </c>
    </row>
    <row r="2547" spans="1:16" x14ac:dyDescent="0.25">
      <c r="A2547" s="10">
        <v>41379</v>
      </c>
      <c r="B2547">
        <v>-1498.2351164201391</v>
      </c>
      <c r="C2547">
        <v>225.1414</v>
      </c>
      <c r="D2547">
        <v>-2000</v>
      </c>
      <c r="E2547">
        <v>0</v>
      </c>
      <c r="F2547">
        <v>0</v>
      </c>
      <c r="G2547">
        <v>1549.19109658</v>
      </c>
      <c r="H2547">
        <v>-1258.3259992400019</v>
      </c>
      <c r="I2547">
        <v>0</v>
      </c>
      <c r="J2547">
        <v>38.099999999999909</v>
      </c>
      <c r="K2547">
        <v>2.5143312899999999</v>
      </c>
      <c r="L2547">
        <v>0</v>
      </c>
      <c r="M2547">
        <v>0</v>
      </c>
      <c r="N2547">
        <v>0</v>
      </c>
      <c r="O2547">
        <v>-54.855945050137187</v>
      </c>
      <c r="P2547">
        <v>302861.93971101969</v>
      </c>
    </row>
    <row r="2548" spans="1:16" x14ac:dyDescent="0.25">
      <c r="A2548" s="10">
        <v>41380</v>
      </c>
      <c r="B2548">
        <v>-624.93066577997536</v>
      </c>
      <c r="C2548">
        <v>273.16199999999998</v>
      </c>
      <c r="D2548">
        <v>0</v>
      </c>
      <c r="E2548">
        <v>0</v>
      </c>
      <c r="F2548">
        <v>0</v>
      </c>
      <c r="G2548">
        <v>260.78389062000002</v>
      </c>
      <c r="H2548">
        <v>-1141.567629130001</v>
      </c>
      <c r="I2548">
        <v>0</v>
      </c>
      <c r="J2548">
        <v>2.233999999999924</v>
      </c>
      <c r="K2548">
        <v>1.9569996300000001</v>
      </c>
      <c r="L2548">
        <v>0</v>
      </c>
      <c r="M2548">
        <v>0</v>
      </c>
      <c r="N2548">
        <v>0</v>
      </c>
      <c r="O2548">
        <v>-21.49992689997471</v>
      </c>
      <c r="P2548">
        <v>302237.00904523983</v>
      </c>
    </row>
    <row r="2549" spans="1:16" x14ac:dyDescent="0.25">
      <c r="A2549" s="10">
        <v>41381</v>
      </c>
      <c r="B2549">
        <v>-3039.706130379695</v>
      </c>
      <c r="C2549">
        <v>-31.98599999999999</v>
      </c>
      <c r="D2549">
        <v>0</v>
      </c>
      <c r="E2549">
        <v>0</v>
      </c>
      <c r="F2549">
        <v>0</v>
      </c>
      <c r="G2549">
        <v>-267.06545696999979</v>
      </c>
      <c r="H2549">
        <v>-2267.2617422499989</v>
      </c>
      <c r="I2549">
        <v>0</v>
      </c>
      <c r="J2549">
        <v>0</v>
      </c>
      <c r="K2549">
        <v>1.88473764</v>
      </c>
      <c r="L2549">
        <v>-443.4</v>
      </c>
      <c r="M2549">
        <v>0</v>
      </c>
      <c r="N2549">
        <v>0</v>
      </c>
      <c r="O2549">
        <v>-31.877668799696401</v>
      </c>
      <c r="P2549">
        <v>299197.30291486008</v>
      </c>
    </row>
    <row r="2550" spans="1:16" x14ac:dyDescent="0.25">
      <c r="A2550" s="10">
        <v>41382</v>
      </c>
      <c r="B2550">
        <v>718.62534483993727</v>
      </c>
      <c r="C2550">
        <v>135.6534</v>
      </c>
      <c r="D2550">
        <v>0</v>
      </c>
      <c r="E2550">
        <v>0</v>
      </c>
      <c r="F2550">
        <v>0</v>
      </c>
      <c r="G2550">
        <v>73.998015749999922</v>
      </c>
      <c r="H2550">
        <v>537.61241052999867</v>
      </c>
      <c r="I2550">
        <v>0</v>
      </c>
      <c r="J2550">
        <v>0</v>
      </c>
      <c r="K2550">
        <v>2.540613</v>
      </c>
      <c r="L2550">
        <v>0</v>
      </c>
      <c r="M2550">
        <v>0</v>
      </c>
      <c r="N2550">
        <v>0</v>
      </c>
      <c r="O2550">
        <v>-31.179094440061309</v>
      </c>
      <c r="P2550">
        <v>299915.92825970001</v>
      </c>
    </row>
    <row r="2551" spans="1:16" x14ac:dyDescent="0.25">
      <c r="A2551" s="10">
        <v>41383</v>
      </c>
      <c r="B2551">
        <v>-4581.1950772701521</v>
      </c>
      <c r="C2551">
        <v>183.27600000000001</v>
      </c>
      <c r="D2551">
        <v>0</v>
      </c>
      <c r="E2551">
        <v>-2750</v>
      </c>
      <c r="F2551">
        <v>0</v>
      </c>
      <c r="G2551">
        <v>383.04881959999977</v>
      </c>
      <c r="H2551">
        <v>-2372.7164406100042</v>
      </c>
      <c r="I2551">
        <v>0</v>
      </c>
      <c r="J2551">
        <v>0</v>
      </c>
      <c r="K2551">
        <v>1.55407626</v>
      </c>
      <c r="L2551">
        <v>0</v>
      </c>
      <c r="M2551">
        <v>0</v>
      </c>
      <c r="N2551">
        <v>0</v>
      </c>
      <c r="O2551">
        <v>-26.357532520148201</v>
      </c>
      <c r="P2551">
        <v>295334.73318242992</v>
      </c>
    </row>
    <row r="2552" spans="1:16" x14ac:dyDescent="0.25">
      <c r="A2552" s="10">
        <v>41386</v>
      </c>
      <c r="B2552">
        <v>-2469.7159424698912</v>
      </c>
      <c r="C2552">
        <v>64.587000000000018</v>
      </c>
      <c r="D2552">
        <v>-500</v>
      </c>
      <c r="E2552">
        <v>0</v>
      </c>
      <c r="F2552">
        <v>0</v>
      </c>
      <c r="G2552">
        <v>589.79843799000014</v>
      </c>
      <c r="H2552">
        <v>-2580.8613183300022</v>
      </c>
      <c r="I2552">
        <v>0</v>
      </c>
      <c r="J2552">
        <v>0</v>
      </c>
      <c r="K2552">
        <v>5.4313624600000008</v>
      </c>
      <c r="L2552">
        <v>0</v>
      </c>
      <c r="M2552">
        <v>0</v>
      </c>
      <c r="N2552">
        <v>0</v>
      </c>
      <c r="O2552">
        <v>-48.671424589888638</v>
      </c>
      <c r="P2552">
        <v>292865.01723996003</v>
      </c>
    </row>
    <row r="2553" spans="1:16" x14ac:dyDescent="0.25">
      <c r="A2553" s="10">
        <v>41387</v>
      </c>
      <c r="B2553">
        <v>-1499.539699649961</v>
      </c>
      <c r="C2553">
        <v>236.81800000000001</v>
      </c>
      <c r="D2553">
        <v>0</v>
      </c>
      <c r="E2553">
        <v>0</v>
      </c>
      <c r="F2553">
        <v>0</v>
      </c>
      <c r="G2553">
        <v>-396.27595763000011</v>
      </c>
      <c r="H2553">
        <v>-1337.745561279997</v>
      </c>
      <c r="I2553">
        <v>0</v>
      </c>
      <c r="J2553">
        <v>26</v>
      </c>
      <c r="K2553">
        <v>2.9507322399999989</v>
      </c>
      <c r="L2553">
        <v>0</v>
      </c>
      <c r="M2553">
        <v>0</v>
      </c>
      <c r="N2553">
        <v>0</v>
      </c>
      <c r="O2553">
        <v>-31.286912979963699</v>
      </c>
      <c r="P2553">
        <v>291365.47754030989</v>
      </c>
    </row>
    <row r="2554" spans="1:16" x14ac:dyDescent="0.25">
      <c r="A2554" s="10">
        <v>41388</v>
      </c>
      <c r="B2554">
        <v>-3349.6078786900621</v>
      </c>
      <c r="C2554">
        <v>90.515000000000001</v>
      </c>
      <c r="D2554">
        <v>0</v>
      </c>
      <c r="E2554">
        <v>0</v>
      </c>
      <c r="F2554">
        <v>0</v>
      </c>
      <c r="G2554">
        <v>267.66909576000012</v>
      </c>
      <c r="H2554">
        <v>-1770.88040396</v>
      </c>
      <c r="I2554">
        <v>0</v>
      </c>
      <c r="J2554">
        <v>0.8000000000001819</v>
      </c>
      <c r="K2554">
        <v>3.96649948</v>
      </c>
      <c r="L2554">
        <v>-1937</v>
      </c>
      <c r="M2554">
        <v>0</v>
      </c>
      <c r="N2554">
        <v>0</v>
      </c>
      <c r="O2554">
        <v>-4.6780699700620971</v>
      </c>
      <c r="P2554">
        <v>288015.86966161989</v>
      </c>
    </row>
    <row r="2555" spans="1:16" x14ac:dyDescent="0.25">
      <c r="A2555" s="10">
        <v>41389</v>
      </c>
      <c r="B2555">
        <v>1430.055249839847</v>
      </c>
      <c r="C2555">
        <v>150.88749999999999</v>
      </c>
      <c r="D2555">
        <v>0</v>
      </c>
      <c r="E2555">
        <v>3550</v>
      </c>
      <c r="F2555">
        <v>0</v>
      </c>
      <c r="G2555">
        <v>104.5340587699998</v>
      </c>
      <c r="H2555">
        <v>-2392.2557281000009</v>
      </c>
      <c r="I2555">
        <v>0</v>
      </c>
      <c r="J2555">
        <v>0</v>
      </c>
      <c r="K2555">
        <v>4.6689222999999993</v>
      </c>
      <c r="L2555">
        <v>0</v>
      </c>
      <c r="M2555">
        <v>0</v>
      </c>
      <c r="N2555">
        <v>0</v>
      </c>
      <c r="O2555">
        <v>12.220496869848329</v>
      </c>
      <c r="P2555">
        <v>289445.92491145979</v>
      </c>
    </row>
    <row r="2556" spans="1:16" x14ac:dyDescent="0.25">
      <c r="A2556" s="10">
        <v>41390</v>
      </c>
      <c r="B2556">
        <v>-2621.735259909708</v>
      </c>
      <c r="C2556">
        <v>170.809</v>
      </c>
      <c r="D2556">
        <v>0</v>
      </c>
      <c r="E2556">
        <v>0</v>
      </c>
      <c r="F2556">
        <v>0</v>
      </c>
      <c r="G2556">
        <v>-94.578977589999994</v>
      </c>
      <c r="H2556">
        <v>-2668.0989923299999</v>
      </c>
      <c r="I2556">
        <v>0</v>
      </c>
      <c r="J2556">
        <v>2.8000000000001819</v>
      </c>
      <c r="K2556">
        <v>6.1101619100000004</v>
      </c>
      <c r="L2556">
        <v>0</v>
      </c>
      <c r="M2556">
        <v>0</v>
      </c>
      <c r="N2556">
        <v>0</v>
      </c>
      <c r="O2556">
        <v>-38.776451899707169</v>
      </c>
      <c r="P2556">
        <v>286824.18965155008</v>
      </c>
    </row>
    <row r="2557" spans="1:16" x14ac:dyDescent="0.25">
      <c r="A2557" s="10">
        <v>41393</v>
      </c>
      <c r="B2557">
        <v>-7463.8914113699593</v>
      </c>
      <c r="C2557">
        <v>166.79599999999999</v>
      </c>
      <c r="D2557">
        <v>-800</v>
      </c>
      <c r="E2557">
        <v>0</v>
      </c>
      <c r="F2557">
        <v>0</v>
      </c>
      <c r="G2557">
        <v>24.841211690000019</v>
      </c>
      <c r="H2557">
        <v>-6890.0739553800013</v>
      </c>
      <c r="I2557">
        <v>0</v>
      </c>
      <c r="J2557">
        <v>0</v>
      </c>
      <c r="K2557">
        <v>14.17237581</v>
      </c>
      <c r="L2557">
        <v>76.3</v>
      </c>
      <c r="M2557">
        <v>0</v>
      </c>
      <c r="N2557">
        <v>0</v>
      </c>
      <c r="O2557">
        <v>-55.927043489958308</v>
      </c>
      <c r="P2557">
        <v>279360.29824018013</v>
      </c>
    </row>
    <row r="2558" spans="1:16" x14ac:dyDescent="0.25">
      <c r="A2558" s="10">
        <v>41394</v>
      </c>
      <c r="B2558">
        <v>7958.82901269995</v>
      </c>
      <c r="C2558">
        <v>1.500000000000057E-2</v>
      </c>
      <c r="D2558">
        <v>0</v>
      </c>
      <c r="E2558">
        <v>0</v>
      </c>
      <c r="F2558">
        <v>0</v>
      </c>
      <c r="G2558">
        <v>-187.72993195000029</v>
      </c>
      <c r="H2558">
        <v>8184.8833146900033</v>
      </c>
      <c r="I2558">
        <v>0</v>
      </c>
      <c r="J2558">
        <v>-0.5</v>
      </c>
      <c r="K2558">
        <v>9.6601199799999993</v>
      </c>
      <c r="L2558">
        <v>0</v>
      </c>
      <c r="M2558">
        <v>0</v>
      </c>
      <c r="N2558">
        <v>0</v>
      </c>
      <c r="O2558">
        <v>-47.499490020052512</v>
      </c>
      <c r="P2558">
        <v>287319.12725288008</v>
      </c>
    </row>
    <row r="2559" spans="1:16" x14ac:dyDescent="0.25">
      <c r="A2559" s="10">
        <v>41396</v>
      </c>
      <c r="B2559">
        <v>8483.5880872398266</v>
      </c>
      <c r="C2559">
        <v>5.2040000000000042</v>
      </c>
      <c r="D2559">
        <v>0</v>
      </c>
      <c r="E2559">
        <v>2500</v>
      </c>
      <c r="F2559">
        <v>0</v>
      </c>
      <c r="G2559">
        <v>283.76104602999999</v>
      </c>
      <c r="H2559">
        <v>5988.2817761699989</v>
      </c>
      <c r="I2559">
        <v>0</v>
      </c>
      <c r="J2559">
        <v>5.5999999999999091</v>
      </c>
      <c r="K2559">
        <v>14.28258372</v>
      </c>
      <c r="L2559">
        <v>-311.10000000000002</v>
      </c>
      <c r="M2559">
        <v>0</v>
      </c>
      <c r="N2559">
        <v>0</v>
      </c>
      <c r="O2559">
        <v>-2.441318680172845</v>
      </c>
      <c r="P2559">
        <v>295802.7153401199</v>
      </c>
    </row>
    <row r="2560" spans="1:16" x14ac:dyDescent="0.25">
      <c r="A2560" s="10">
        <v>41397</v>
      </c>
      <c r="B2560">
        <v>978.21489310014147</v>
      </c>
      <c r="C2560">
        <v>-389.85</v>
      </c>
      <c r="D2560">
        <v>-60</v>
      </c>
      <c r="E2560">
        <v>0</v>
      </c>
      <c r="F2560">
        <v>0</v>
      </c>
      <c r="G2560">
        <v>-20.921347419999961</v>
      </c>
      <c r="H2560">
        <v>1435.473882459999</v>
      </c>
      <c r="I2560">
        <v>0</v>
      </c>
      <c r="J2560">
        <v>15.5</v>
      </c>
      <c r="K2560">
        <v>4.6889076100000002</v>
      </c>
      <c r="L2560">
        <v>0</v>
      </c>
      <c r="M2560">
        <v>0</v>
      </c>
      <c r="N2560">
        <v>0</v>
      </c>
      <c r="O2560">
        <v>-6.6765495498576009</v>
      </c>
      <c r="P2560">
        <v>296780.93023321999</v>
      </c>
    </row>
    <row r="2561" spans="1:16" x14ac:dyDescent="0.25">
      <c r="A2561" s="10">
        <v>41400</v>
      </c>
      <c r="B2561">
        <v>-120.544532110099</v>
      </c>
      <c r="C2561">
        <v>335.76100000000008</v>
      </c>
      <c r="D2561">
        <v>0</v>
      </c>
      <c r="E2561">
        <v>0</v>
      </c>
      <c r="F2561">
        <v>0</v>
      </c>
      <c r="G2561">
        <v>-344.43146134</v>
      </c>
      <c r="H2561">
        <v>-144.70275776999549</v>
      </c>
      <c r="I2561">
        <v>0</v>
      </c>
      <c r="J2561">
        <v>0</v>
      </c>
      <c r="K2561">
        <v>8.807083040000002</v>
      </c>
      <c r="L2561">
        <v>0</v>
      </c>
      <c r="M2561">
        <v>0</v>
      </c>
      <c r="N2561">
        <v>0</v>
      </c>
      <c r="O2561">
        <v>24.021603959896471</v>
      </c>
      <c r="P2561">
        <v>296660.38570110989</v>
      </c>
    </row>
    <row r="2562" spans="1:16" x14ac:dyDescent="0.25">
      <c r="A2562" s="10">
        <v>41401</v>
      </c>
      <c r="B2562">
        <v>-575.41510486981031</v>
      </c>
      <c r="C2562">
        <v>10.91030000000001</v>
      </c>
      <c r="D2562">
        <v>0</v>
      </c>
      <c r="E2562">
        <v>0</v>
      </c>
      <c r="F2562">
        <v>0</v>
      </c>
      <c r="G2562">
        <v>106.60900191</v>
      </c>
      <c r="H2562">
        <v>-747.43444341000213</v>
      </c>
      <c r="I2562">
        <v>0</v>
      </c>
      <c r="J2562">
        <v>0</v>
      </c>
      <c r="K2562">
        <v>2.65283113</v>
      </c>
      <c r="L2562">
        <v>0</v>
      </c>
      <c r="M2562">
        <v>0</v>
      </c>
      <c r="N2562">
        <v>0</v>
      </c>
      <c r="O2562">
        <v>51.847205500191812</v>
      </c>
      <c r="P2562">
        <v>296084.97059624008</v>
      </c>
    </row>
    <row r="2563" spans="1:16" x14ac:dyDescent="0.25">
      <c r="A2563" s="10">
        <v>41402</v>
      </c>
      <c r="B2563">
        <v>4068.509436049615</v>
      </c>
      <c r="C2563">
        <v>247.6465</v>
      </c>
      <c r="D2563">
        <v>0</v>
      </c>
      <c r="E2563">
        <v>0</v>
      </c>
      <c r="F2563">
        <v>0</v>
      </c>
      <c r="G2563">
        <v>-1.729091009999991</v>
      </c>
      <c r="H2563">
        <v>2489.2655675899991</v>
      </c>
      <c r="I2563">
        <v>0</v>
      </c>
      <c r="J2563">
        <v>0</v>
      </c>
      <c r="K2563">
        <v>1.9954215399999999</v>
      </c>
      <c r="L2563">
        <v>1322.6</v>
      </c>
      <c r="M2563">
        <v>0</v>
      </c>
      <c r="N2563">
        <v>0</v>
      </c>
      <c r="O2563">
        <v>8.7310379296172869</v>
      </c>
      <c r="P2563">
        <v>300153.48003228969</v>
      </c>
    </row>
    <row r="2564" spans="1:16" x14ac:dyDescent="0.25">
      <c r="A2564" s="10">
        <v>41403</v>
      </c>
      <c r="B2564">
        <v>-23.848369389714399</v>
      </c>
      <c r="C2564">
        <v>-18.243000000000009</v>
      </c>
      <c r="D2564">
        <v>0</v>
      </c>
      <c r="E2564">
        <v>0</v>
      </c>
      <c r="F2564">
        <v>0</v>
      </c>
      <c r="G2564">
        <v>2.8452170999999851</v>
      </c>
      <c r="H2564">
        <v>87.281539929997962</v>
      </c>
      <c r="I2564">
        <v>0</v>
      </c>
      <c r="J2564">
        <v>-62.900000000000091</v>
      </c>
      <c r="K2564">
        <v>-25.45169091</v>
      </c>
      <c r="L2564">
        <v>0</v>
      </c>
      <c r="M2564">
        <v>0</v>
      </c>
      <c r="N2564">
        <v>0</v>
      </c>
      <c r="O2564">
        <v>-7.3804355097122416</v>
      </c>
      <c r="P2564">
        <v>300129.63166289998</v>
      </c>
    </row>
    <row r="2565" spans="1:16" x14ac:dyDescent="0.25">
      <c r="A2565" s="10">
        <v>41404</v>
      </c>
      <c r="B2565">
        <v>-1645.083600170037</v>
      </c>
      <c r="C2565">
        <v>166.7852</v>
      </c>
      <c r="D2565">
        <v>0</v>
      </c>
      <c r="E2565">
        <v>-2450</v>
      </c>
      <c r="F2565">
        <v>0</v>
      </c>
      <c r="G2565">
        <v>-44.826950850000159</v>
      </c>
      <c r="H2565">
        <v>734.24998394999966</v>
      </c>
      <c r="I2565">
        <v>0</v>
      </c>
      <c r="J2565">
        <v>0</v>
      </c>
      <c r="K2565">
        <v>3.91692251</v>
      </c>
      <c r="L2565">
        <v>0</v>
      </c>
      <c r="M2565">
        <v>0</v>
      </c>
      <c r="N2565">
        <v>0</v>
      </c>
      <c r="O2565">
        <v>-55.208755780036427</v>
      </c>
      <c r="P2565">
        <v>298484.54806273011</v>
      </c>
    </row>
    <row r="2566" spans="1:16" x14ac:dyDescent="0.25">
      <c r="A2566" s="10">
        <v>41407</v>
      </c>
      <c r="B2566">
        <v>2243.111624160199</v>
      </c>
      <c r="C2566">
        <v>26.141999999999999</v>
      </c>
      <c r="D2566">
        <v>0</v>
      </c>
      <c r="E2566">
        <v>0</v>
      </c>
      <c r="F2566">
        <v>0</v>
      </c>
      <c r="G2566">
        <v>-217.99423189000001</v>
      </c>
      <c r="H2566">
        <v>2451.0707139900019</v>
      </c>
      <c r="I2566">
        <v>0</v>
      </c>
      <c r="J2566">
        <v>0</v>
      </c>
      <c r="K2566">
        <v>6.1649374900000016</v>
      </c>
      <c r="L2566">
        <v>0</v>
      </c>
      <c r="M2566">
        <v>0</v>
      </c>
      <c r="N2566">
        <v>0</v>
      </c>
      <c r="O2566">
        <v>-22.271795429803841</v>
      </c>
      <c r="P2566">
        <v>300727.65968689008</v>
      </c>
    </row>
    <row r="2567" spans="1:16" x14ac:dyDescent="0.25">
      <c r="A2567" s="10">
        <v>41408</v>
      </c>
      <c r="B2567">
        <v>1088.333182529605</v>
      </c>
      <c r="C2567">
        <v>54.896999999999991</v>
      </c>
      <c r="D2567">
        <v>-200</v>
      </c>
      <c r="E2567">
        <v>0</v>
      </c>
      <c r="F2567">
        <v>0</v>
      </c>
      <c r="G2567">
        <v>69.811900879999996</v>
      </c>
      <c r="H2567">
        <v>1188.1604247299981</v>
      </c>
      <c r="I2567">
        <v>0</v>
      </c>
      <c r="J2567">
        <v>0</v>
      </c>
      <c r="K2567">
        <v>4.6292706299999997</v>
      </c>
      <c r="L2567">
        <v>0</v>
      </c>
      <c r="M2567">
        <v>0</v>
      </c>
      <c r="N2567">
        <v>0</v>
      </c>
      <c r="O2567">
        <v>-29.165413710392929</v>
      </c>
      <c r="P2567">
        <v>301815.9928694198</v>
      </c>
    </row>
    <row r="2568" spans="1:16" x14ac:dyDescent="0.25">
      <c r="A2568" s="10">
        <v>41409</v>
      </c>
      <c r="B2568">
        <v>1053.087970609952</v>
      </c>
      <c r="C2568">
        <v>102.98099999999999</v>
      </c>
      <c r="D2568">
        <v>0</v>
      </c>
      <c r="E2568">
        <v>0</v>
      </c>
      <c r="F2568">
        <v>0</v>
      </c>
      <c r="G2568">
        <v>2.2001450999999861</v>
      </c>
      <c r="H2568">
        <v>-1556.767712360001</v>
      </c>
      <c r="I2568">
        <v>0</v>
      </c>
      <c r="J2568">
        <v>136.70613048000001</v>
      </c>
      <c r="K2568">
        <v>2.6897938799999999</v>
      </c>
      <c r="L2568">
        <v>2400.4</v>
      </c>
      <c r="M2568">
        <v>0</v>
      </c>
      <c r="N2568">
        <v>0</v>
      </c>
      <c r="O2568">
        <v>-35.121386490047371</v>
      </c>
      <c r="P2568">
        <v>302869.08084002981</v>
      </c>
    </row>
    <row r="2569" spans="1:16" x14ac:dyDescent="0.25">
      <c r="A2569" s="10">
        <v>41410</v>
      </c>
      <c r="B2569">
        <v>502.46509763033868</v>
      </c>
      <c r="C2569">
        <v>222.357</v>
      </c>
      <c r="D2569">
        <v>0</v>
      </c>
      <c r="E2569">
        <v>2400</v>
      </c>
      <c r="F2569">
        <v>0</v>
      </c>
      <c r="G2569">
        <v>-101.48870496000001</v>
      </c>
      <c r="H2569">
        <v>-2050.7801045299998</v>
      </c>
      <c r="I2569">
        <v>0</v>
      </c>
      <c r="J2569">
        <v>0.5</v>
      </c>
      <c r="K2569">
        <v>3.6013375600000002</v>
      </c>
      <c r="L2569">
        <v>0</v>
      </c>
      <c r="M2569">
        <v>0</v>
      </c>
      <c r="N2569">
        <v>0</v>
      </c>
      <c r="O2569">
        <v>28.275569560339122</v>
      </c>
      <c r="P2569">
        <v>303371.54593766021</v>
      </c>
    </row>
    <row r="2570" spans="1:16" x14ac:dyDescent="0.25">
      <c r="A2570" s="10">
        <v>41411</v>
      </c>
      <c r="B2570">
        <v>-180.733048940136</v>
      </c>
      <c r="C2570">
        <v>571.66499999999996</v>
      </c>
      <c r="D2570">
        <v>-350</v>
      </c>
      <c r="E2570">
        <v>0</v>
      </c>
      <c r="F2570">
        <v>0</v>
      </c>
      <c r="G2570">
        <v>-112.62486437</v>
      </c>
      <c r="H2570">
        <v>-306.29091344000341</v>
      </c>
      <c r="I2570">
        <v>0</v>
      </c>
      <c r="J2570">
        <v>7.0999999999999091</v>
      </c>
      <c r="K2570">
        <v>2.92835432</v>
      </c>
      <c r="L2570">
        <v>0</v>
      </c>
      <c r="M2570">
        <v>0</v>
      </c>
      <c r="N2570">
        <v>0</v>
      </c>
      <c r="O2570">
        <v>6.4893745498674313</v>
      </c>
      <c r="P2570">
        <v>303190.81288872001</v>
      </c>
    </row>
    <row r="2571" spans="1:16" x14ac:dyDescent="0.25">
      <c r="A2571" s="10">
        <v>41414</v>
      </c>
      <c r="B2571">
        <v>-513.08088870998563</v>
      </c>
      <c r="C2571">
        <v>5.2565000000000026</v>
      </c>
      <c r="D2571">
        <v>0</v>
      </c>
      <c r="E2571">
        <v>0</v>
      </c>
      <c r="F2571">
        <v>0</v>
      </c>
      <c r="G2571">
        <v>242.5624862</v>
      </c>
      <c r="H2571">
        <v>-884.89844425000047</v>
      </c>
      <c r="I2571">
        <v>0</v>
      </c>
      <c r="J2571">
        <v>0</v>
      </c>
      <c r="K2571">
        <v>5.8303007400000002</v>
      </c>
      <c r="L2571">
        <v>51</v>
      </c>
      <c r="M2571">
        <v>0</v>
      </c>
      <c r="N2571">
        <v>0</v>
      </c>
      <c r="O2571">
        <v>67.168268600014898</v>
      </c>
      <c r="P2571">
        <v>302677.73200000991</v>
      </c>
    </row>
    <row r="2572" spans="1:16" x14ac:dyDescent="0.25">
      <c r="A2572" s="10">
        <v>41415</v>
      </c>
      <c r="B2572">
        <v>779.32238615985261</v>
      </c>
      <c r="C2572">
        <v>207.82079999999999</v>
      </c>
      <c r="D2572">
        <v>0</v>
      </c>
      <c r="E2572">
        <v>0</v>
      </c>
      <c r="F2572">
        <v>0</v>
      </c>
      <c r="G2572">
        <v>182.74820109999999</v>
      </c>
      <c r="H2572">
        <v>417.6500023899971</v>
      </c>
      <c r="I2572">
        <v>0</v>
      </c>
      <c r="J2572">
        <v>0</v>
      </c>
      <c r="K2572">
        <v>2.9078027500000001</v>
      </c>
      <c r="L2572">
        <v>0</v>
      </c>
      <c r="M2572">
        <v>0</v>
      </c>
      <c r="N2572">
        <v>0</v>
      </c>
      <c r="O2572">
        <v>-31.804420080144521</v>
      </c>
      <c r="P2572">
        <v>303457.05438616982</v>
      </c>
    </row>
    <row r="2573" spans="1:16" x14ac:dyDescent="0.25">
      <c r="A2573" s="10">
        <v>41416</v>
      </c>
      <c r="B2573">
        <v>1417.6884635202589</v>
      </c>
      <c r="C2573">
        <v>105.04900000000001</v>
      </c>
      <c r="D2573">
        <v>0</v>
      </c>
      <c r="E2573">
        <v>0</v>
      </c>
      <c r="F2573">
        <v>0</v>
      </c>
      <c r="G2573">
        <v>-330.88082085000002</v>
      </c>
      <c r="H2573">
        <v>1318.0489970300021</v>
      </c>
      <c r="I2573">
        <v>0</v>
      </c>
      <c r="J2573">
        <v>0</v>
      </c>
      <c r="K2573">
        <v>3.5301101099999999</v>
      </c>
      <c r="L2573">
        <v>308.00000000000011</v>
      </c>
      <c r="M2573">
        <v>0</v>
      </c>
      <c r="N2573">
        <v>0</v>
      </c>
      <c r="O2573">
        <v>13.941177230256971</v>
      </c>
      <c r="P2573">
        <v>304874.74284969002</v>
      </c>
    </row>
    <row r="2574" spans="1:16" x14ac:dyDescent="0.25">
      <c r="A2574" s="10">
        <v>41417</v>
      </c>
      <c r="B2574">
        <v>800.53681268967932</v>
      </c>
      <c r="C2574">
        <v>-282.08319999999998</v>
      </c>
      <c r="D2574">
        <v>0</v>
      </c>
      <c r="E2574">
        <v>0</v>
      </c>
      <c r="F2574">
        <v>0</v>
      </c>
      <c r="G2574">
        <v>-16.490582099999951</v>
      </c>
      <c r="H2574">
        <v>1095.0251150999991</v>
      </c>
      <c r="I2574">
        <v>0</v>
      </c>
      <c r="J2574">
        <v>0</v>
      </c>
      <c r="K2574">
        <v>3.769128429999999</v>
      </c>
      <c r="L2574">
        <v>0</v>
      </c>
      <c r="M2574">
        <v>0</v>
      </c>
      <c r="N2574">
        <v>0</v>
      </c>
      <c r="O2574">
        <v>0.31635125968004729</v>
      </c>
      <c r="P2574">
        <v>305675.2796623797</v>
      </c>
    </row>
    <row r="2575" spans="1:16" x14ac:dyDescent="0.25">
      <c r="A2575" s="10">
        <v>41418</v>
      </c>
      <c r="B2575">
        <v>-2100.1010756900059</v>
      </c>
      <c r="C2575">
        <v>483.90440000000001</v>
      </c>
      <c r="D2575">
        <v>0</v>
      </c>
      <c r="E2575">
        <v>-1500</v>
      </c>
      <c r="F2575">
        <v>0</v>
      </c>
      <c r="G2575">
        <v>448.1210054</v>
      </c>
      <c r="H2575">
        <v>-1559.861682929999</v>
      </c>
      <c r="I2575">
        <v>0</v>
      </c>
      <c r="J2575">
        <v>38</v>
      </c>
      <c r="K2575">
        <v>3.5066347499999999</v>
      </c>
      <c r="L2575">
        <v>0</v>
      </c>
      <c r="M2575">
        <v>0</v>
      </c>
      <c r="N2575">
        <v>0</v>
      </c>
      <c r="O2575">
        <v>-13.771432910007301</v>
      </c>
      <c r="P2575">
        <v>303575.17858668981</v>
      </c>
    </row>
    <row r="2576" spans="1:16" x14ac:dyDescent="0.25">
      <c r="A2576" s="10">
        <v>41421</v>
      </c>
      <c r="B2576">
        <v>-1721.2693498597939</v>
      </c>
      <c r="C2576">
        <v>0</v>
      </c>
      <c r="D2576">
        <v>0</v>
      </c>
      <c r="E2576">
        <v>0</v>
      </c>
      <c r="F2576">
        <v>0</v>
      </c>
      <c r="G2576">
        <v>-25.18067309000001</v>
      </c>
      <c r="H2576">
        <v>-1705.466236820002</v>
      </c>
      <c r="I2576">
        <v>0</v>
      </c>
      <c r="J2576">
        <v>0</v>
      </c>
      <c r="K2576">
        <v>7.2460961700000013</v>
      </c>
      <c r="L2576">
        <v>0</v>
      </c>
      <c r="M2576">
        <v>0</v>
      </c>
      <c r="N2576">
        <v>0</v>
      </c>
      <c r="O2576">
        <v>2.131463880207956</v>
      </c>
      <c r="P2576">
        <v>301853.90923683002</v>
      </c>
    </row>
    <row r="2577" spans="1:16" x14ac:dyDescent="0.25">
      <c r="A2577" s="10">
        <v>41422</v>
      </c>
      <c r="B2577">
        <v>-725.28634009981658</v>
      </c>
      <c r="C2577">
        <v>-209.75620000000001</v>
      </c>
      <c r="D2577">
        <v>0</v>
      </c>
      <c r="E2577">
        <v>0</v>
      </c>
      <c r="F2577">
        <v>0</v>
      </c>
      <c r="G2577">
        <v>3.5095022700000409</v>
      </c>
      <c r="H2577">
        <v>-408.48024854999682</v>
      </c>
      <c r="I2577">
        <v>0</v>
      </c>
      <c r="J2577">
        <v>0</v>
      </c>
      <c r="K2577">
        <v>4.7932097199999992</v>
      </c>
      <c r="L2577">
        <v>41.8</v>
      </c>
      <c r="M2577">
        <v>0</v>
      </c>
      <c r="N2577">
        <v>0</v>
      </c>
      <c r="O2577">
        <v>-157.15260353981989</v>
      </c>
      <c r="P2577">
        <v>301128.62289673008</v>
      </c>
    </row>
    <row r="2578" spans="1:16" x14ac:dyDescent="0.25">
      <c r="A2578" s="10">
        <v>41423</v>
      </c>
      <c r="B2578">
        <v>-2921.7029489100091</v>
      </c>
      <c r="C2578">
        <v>17.291</v>
      </c>
      <c r="D2578">
        <v>-800</v>
      </c>
      <c r="E2578">
        <v>0</v>
      </c>
      <c r="F2578">
        <v>0</v>
      </c>
      <c r="G2578">
        <v>63.992767699999938</v>
      </c>
      <c r="H2578">
        <v>-1394.5258590999949</v>
      </c>
      <c r="I2578">
        <v>0</v>
      </c>
      <c r="J2578">
        <v>20.88900000000012</v>
      </c>
      <c r="K2578">
        <v>3.8304883099999998</v>
      </c>
      <c r="L2578">
        <v>-810.1</v>
      </c>
      <c r="M2578">
        <v>0</v>
      </c>
      <c r="N2578">
        <v>0</v>
      </c>
      <c r="O2578">
        <v>-23.08034582001401</v>
      </c>
      <c r="P2578">
        <v>298206.91994782008</v>
      </c>
    </row>
    <row r="2579" spans="1:16" x14ac:dyDescent="0.25">
      <c r="A2579" s="10">
        <v>41424</v>
      </c>
      <c r="B2579">
        <v>3629.4509037198741</v>
      </c>
      <c r="C2579">
        <v>-198.00450000000001</v>
      </c>
      <c r="D2579">
        <v>0</v>
      </c>
      <c r="E2579">
        <v>1550</v>
      </c>
      <c r="F2579">
        <v>0</v>
      </c>
      <c r="G2579">
        <v>-16.595892340000319</v>
      </c>
      <c r="H2579">
        <v>2264.7273674400039</v>
      </c>
      <c r="I2579">
        <v>0</v>
      </c>
      <c r="J2579">
        <v>1.5</v>
      </c>
      <c r="K2579">
        <v>4.0304656999999997</v>
      </c>
      <c r="L2579">
        <v>0</v>
      </c>
      <c r="M2579">
        <v>0</v>
      </c>
      <c r="N2579">
        <v>0</v>
      </c>
      <c r="O2579">
        <v>23.79346291986985</v>
      </c>
      <c r="P2579">
        <v>301836.37085154001</v>
      </c>
    </row>
    <row r="2580" spans="1:16" x14ac:dyDescent="0.25">
      <c r="A2580" s="10">
        <v>41425</v>
      </c>
      <c r="B2580">
        <v>2500.0190334697832</v>
      </c>
      <c r="C2580">
        <v>583.87549999999999</v>
      </c>
      <c r="D2580">
        <v>0</v>
      </c>
      <c r="E2580">
        <v>0</v>
      </c>
      <c r="F2580">
        <v>0</v>
      </c>
      <c r="G2580">
        <v>-8.8754799400001048</v>
      </c>
      <c r="H2580">
        <v>1925.362300459999</v>
      </c>
      <c r="I2580">
        <v>0</v>
      </c>
      <c r="J2580">
        <v>0</v>
      </c>
      <c r="K2580">
        <v>3.3211915400000001</v>
      </c>
      <c r="L2580">
        <v>0</v>
      </c>
      <c r="M2580">
        <v>0</v>
      </c>
      <c r="N2580">
        <v>0</v>
      </c>
      <c r="O2580">
        <v>-3.664478590216369</v>
      </c>
      <c r="P2580">
        <v>304336.38988500979</v>
      </c>
    </row>
    <row r="2581" spans="1:16" x14ac:dyDescent="0.25">
      <c r="A2581" s="10">
        <v>41428</v>
      </c>
      <c r="B2581">
        <v>4968.2582502001897</v>
      </c>
      <c r="C2581">
        <v>264.34199999999998</v>
      </c>
      <c r="D2581">
        <v>0</v>
      </c>
      <c r="E2581">
        <v>0</v>
      </c>
      <c r="F2581">
        <v>0</v>
      </c>
      <c r="G2581">
        <v>35.002645110000003</v>
      </c>
      <c r="H2581">
        <v>4477.9628147500034</v>
      </c>
      <c r="I2581">
        <v>0</v>
      </c>
      <c r="J2581">
        <v>0</v>
      </c>
      <c r="K2581">
        <v>7.8847223300000007</v>
      </c>
      <c r="L2581">
        <v>0</v>
      </c>
      <c r="M2581">
        <v>0</v>
      </c>
      <c r="N2581">
        <v>0</v>
      </c>
      <c r="O2581">
        <v>183.066068010187</v>
      </c>
      <c r="P2581">
        <v>309304.64813520998</v>
      </c>
    </row>
    <row r="2582" spans="1:16" x14ac:dyDescent="0.25">
      <c r="A2582" s="10">
        <v>41429</v>
      </c>
      <c r="B2582">
        <v>-697.28110584005537</v>
      </c>
      <c r="C2582">
        <v>-116.9329</v>
      </c>
      <c r="D2582">
        <v>0</v>
      </c>
      <c r="E2582">
        <v>0</v>
      </c>
      <c r="F2582">
        <v>0</v>
      </c>
      <c r="G2582">
        <v>-254.68072174</v>
      </c>
      <c r="H2582">
        <v>-402.75773250999919</v>
      </c>
      <c r="I2582">
        <v>0</v>
      </c>
      <c r="J2582">
        <v>0</v>
      </c>
      <c r="K2582">
        <v>1.5254264799999999</v>
      </c>
      <c r="L2582">
        <v>0</v>
      </c>
      <c r="M2582">
        <v>0</v>
      </c>
      <c r="N2582">
        <v>0</v>
      </c>
      <c r="O2582">
        <v>75.564821929943861</v>
      </c>
      <c r="P2582">
        <v>308607.36702936993</v>
      </c>
    </row>
    <row r="2583" spans="1:16" x14ac:dyDescent="0.25">
      <c r="A2583" s="10">
        <v>41430</v>
      </c>
      <c r="B2583">
        <v>606.62277987005677</v>
      </c>
      <c r="C2583">
        <v>174.06290000000001</v>
      </c>
      <c r="D2583">
        <v>0</v>
      </c>
      <c r="E2583">
        <v>0</v>
      </c>
      <c r="F2583">
        <v>0</v>
      </c>
      <c r="G2583">
        <v>145.16358819999999</v>
      </c>
      <c r="H2583">
        <v>270.74423627000027</v>
      </c>
      <c r="I2583">
        <v>0</v>
      </c>
      <c r="J2583">
        <v>48.114035000000058</v>
      </c>
      <c r="K2583">
        <v>1.5934370200000001</v>
      </c>
      <c r="L2583">
        <v>-28.3</v>
      </c>
      <c r="M2583">
        <v>0</v>
      </c>
      <c r="N2583">
        <v>0</v>
      </c>
      <c r="O2583">
        <v>-4.7554166199435706</v>
      </c>
      <c r="P2583">
        <v>309213.98980923998</v>
      </c>
    </row>
    <row r="2584" spans="1:16" x14ac:dyDescent="0.25">
      <c r="A2584" s="10">
        <v>41431</v>
      </c>
      <c r="B2584">
        <v>3717.2332321798322</v>
      </c>
      <c r="C2584">
        <v>-148.322</v>
      </c>
      <c r="D2584">
        <v>0</v>
      </c>
      <c r="E2584">
        <v>4500</v>
      </c>
      <c r="F2584">
        <v>0</v>
      </c>
      <c r="G2584">
        <v>-156.2376287899998</v>
      </c>
      <c r="H2584">
        <v>-523.26268234000054</v>
      </c>
      <c r="I2584">
        <v>0</v>
      </c>
      <c r="J2584">
        <v>0</v>
      </c>
      <c r="K2584">
        <v>1.4842759999999999</v>
      </c>
      <c r="L2584">
        <v>0</v>
      </c>
      <c r="M2584">
        <v>0</v>
      </c>
      <c r="N2584">
        <v>0</v>
      </c>
      <c r="O2584">
        <v>43.571267309832272</v>
      </c>
      <c r="P2584">
        <v>312931.22304141981</v>
      </c>
    </row>
    <row r="2585" spans="1:16" x14ac:dyDescent="0.25">
      <c r="A2585" s="10">
        <v>41432</v>
      </c>
      <c r="B2585">
        <v>1068.425465139911</v>
      </c>
      <c r="C2585">
        <v>935.33500000000004</v>
      </c>
      <c r="D2585">
        <v>0</v>
      </c>
      <c r="E2585">
        <v>0</v>
      </c>
      <c r="F2585">
        <v>0</v>
      </c>
      <c r="G2585">
        <v>30.12372016000003</v>
      </c>
      <c r="H2585">
        <v>295.94206492999911</v>
      </c>
      <c r="I2585">
        <v>0</v>
      </c>
      <c r="J2585">
        <v>12.179504000000181</v>
      </c>
      <c r="K2585">
        <v>1.58812182</v>
      </c>
      <c r="L2585">
        <v>0</v>
      </c>
      <c r="M2585">
        <v>0</v>
      </c>
      <c r="N2585">
        <v>0</v>
      </c>
      <c r="O2585">
        <v>-206.7429457700886</v>
      </c>
      <c r="P2585">
        <v>313999.64850655978</v>
      </c>
    </row>
    <row r="2586" spans="1:16" x14ac:dyDescent="0.25">
      <c r="A2586" s="10">
        <v>41435</v>
      </c>
      <c r="B2586">
        <v>-259.09599335008562</v>
      </c>
      <c r="C2586">
        <v>512.95300000000009</v>
      </c>
      <c r="D2586">
        <v>0</v>
      </c>
      <c r="E2586">
        <v>0</v>
      </c>
      <c r="F2586">
        <v>0</v>
      </c>
      <c r="G2586">
        <v>-230.96272192999999</v>
      </c>
      <c r="H2586">
        <v>-387.35534560999992</v>
      </c>
      <c r="I2586">
        <v>0</v>
      </c>
      <c r="J2586">
        <v>-67.300000000000182</v>
      </c>
      <c r="K2586">
        <v>-28.536666119999818</v>
      </c>
      <c r="L2586">
        <v>0</v>
      </c>
      <c r="M2586">
        <v>0</v>
      </c>
      <c r="N2586">
        <v>0</v>
      </c>
      <c r="O2586">
        <v>-57.894259690085804</v>
      </c>
      <c r="P2586">
        <v>313740.5525132097</v>
      </c>
    </row>
    <row r="2587" spans="1:16" x14ac:dyDescent="0.25">
      <c r="A2587" s="10">
        <v>41436</v>
      </c>
      <c r="B2587">
        <v>-469.77002052968641</v>
      </c>
      <c r="C2587">
        <v>88.677000000000007</v>
      </c>
      <c r="D2587">
        <v>0</v>
      </c>
      <c r="E2587">
        <v>0</v>
      </c>
      <c r="F2587">
        <v>0</v>
      </c>
      <c r="G2587">
        <v>-72.657207640000024</v>
      </c>
      <c r="H2587">
        <v>-492.2415752600009</v>
      </c>
      <c r="I2587">
        <v>0</v>
      </c>
      <c r="J2587">
        <v>0</v>
      </c>
      <c r="K2587">
        <v>1.2272794499999999</v>
      </c>
      <c r="L2587">
        <v>0</v>
      </c>
      <c r="M2587">
        <v>0</v>
      </c>
      <c r="N2587">
        <v>0</v>
      </c>
      <c r="O2587">
        <v>5.2244829203144816</v>
      </c>
      <c r="P2587">
        <v>313270.78249268001</v>
      </c>
    </row>
    <row r="2588" spans="1:16" x14ac:dyDescent="0.25">
      <c r="A2588" s="10">
        <v>41437</v>
      </c>
      <c r="B2588">
        <v>2030.682172909844</v>
      </c>
      <c r="C2588">
        <v>50.511000000000003</v>
      </c>
      <c r="D2588">
        <v>0</v>
      </c>
      <c r="E2588">
        <v>0</v>
      </c>
      <c r="F2588">
        <v>0</v>
      </c>
      <c r="G2588">
        <v>61.793444130000012</v>
      </c>
      <c r="H2588">
        <v>1879.34492718</v>
      </c>
      <c r="I2588">
        <v>0</v>
      </c>
      <c r="J2588">
        <v>10.951333999999861</v>
      </c>
      <c r="K2588">
        <v>1.0127842899999999</v>
      </c>
      <c r="L2588">
        <v>4.8999999999999986</v>
      </c>
      <c r="M2588">
        <v>0</v>
      </c>
      <c r="N2588">
        <v>0</v>
      </c>
      <c r="O2588">
        <v>22.168683309844109</v>
      </c>
      <c r="P2588">
        <v>315301.4646655898</v>
      </c>
    </row>
    <row r="2589" spans="1:16" x14ac:dyDescent="0.25">
      <c r="A2589" s="10">
        <v>41438</v>
      </c>
      <c r="B2589">
        <v>522.85477671999286</v>
      </c>
      <c r="C2589">
        <v>0</v>
      </c>
      <c r="D2589">
        <v>0</v>
      </c>
      <c r="E2589">
        <v>0</v>
      </c>
      <c r="F2589">
        <v>0</v>
      </c>
      <c r="G2589">
        <v>-185.89809493000001</v>
      </c>
      <c r="H2589">
        <v>663.98627587999999</v>
      </c>
      <c r="I2589">
        <v>0</v>
      </c>
      <c r="J2589">
        <v>0</v>
      </c>
      <c r="K2589">
        <v>1.8799345999999999</v>
      </c>
      <c r="L2589">
        <v>0</v>
      </c>
      <c r="M2589">
        <v>0</v>
      </c>
      <c r="N2589">
        <v>0</v>
      </c>
      <c r="O2589">
        <v>42.886661169992877</v>
      </c>
      <c r="P2589">
        <v>315824.31944230967</v>
      </c>
    </row>
    <row r="2590" spans="1:16" x14ac:dyDescent="0.25">
      <c r="A2590" s="10">
        <v>41439</v>
      </c>
      <c r="B2590">
        <v>-2270.674397849943</v>
      </c>
      <c r="C2590">
        <v>53.255000000000003</v>
      </c>
      <c r="D2590">
        <v>0</v>
      </c>
      <c r="E2590">
        <v>-2450</v>
      </c>
      <c r="F2590">
        <v>3000</v>
      </c>
      <c r="G2590">
        <v>-3031.64871391</v>
      </c>
      <c r="H2590">
        <v>313.92884584000058</v>
      </c>
      <c r="I2590">
        <v>0</v>
      </c>
      <c r="J2590">
        <v>23.497534000000091</v>
      </c>
      <c r="K2590">
        <v>2.2525518400000002</v>
      </c>
      <c r="L2590">
        <v>0</v>
      </c>
      <c r="M2590">
        <v>0</v>
      </c>
      <c r="N2590">
        <v>0</v>
      </c>
      <c r="O2590">
        <v>-181.959615619944</v>
      </c>
      <c r="P2590">
        <v>313553.64504445979</v>
      </c>
    </row>
    <row r="2591" spans="1:16" x14ac:dyDescent="0.25">
      <c r="A2591" s="10">
        <v>41442</v>
      </c>
      <c r="B2591">
        <v>-2381.475291409763</v>
      </c>
      <c r="C2591">
        <v>-224.16399999999999</v>
      </c>
      <c r="D2591">
        <v>0</v>
      </c>
      <c r="E2591">
        <v>0</v>
      </c>
      <c r="F2591">
        <v>0</v>
      </c>
      <c r="G2591">
        <v>-121.54702494999989</v>
      </c>
      <c r="H2591">
        <v>-2095.3718803699999</v>
      </c>
      <c r="I2591">
        <v>0</v>
      </c>
      <c r="J2591">
        <v>0</v>
      </c>
      <c r="K2591">
        <v>3.2167443699999998</v>
      </c>
      <c r="L2591">
        <v>0</v>
      </c>
      <c r="M2591">
        <v>0</v>
      </c>
      <c r="N2591">
        <v>0</v>
      </c>
      <c r="O2591">
        <v>56.390869540237688</v>
      </c>
      <c r="P2591">
        <v>311172.16975305008</v>
      </c>
    </row>
    <row r="2592" spans="1:16" x14ac:dyDescent="0.25">
      <c r="A2592" s="10">
        <v>41443</v>
      </c>
      <c r="B2592">
        <v>-375.37661555991463</v>
      </c>
      <c r="C2592">
        <v>542.01</v>
      </c>
      <c r="D2592">
        <v>0</v>
      </c>
      <c r="E2592">
        <v>0</v>
      </c>
      <c r="F2592">
        <v>0</v>
      </c>
      <c r="G2592">
        <v>-334.71811197000011</v>
      </c>
      <c r="H2592">
        <v>-609.070200629998</v>
      </c>
      <c r="I2592">
        <v>0</v>
      </c>
      <c r="J2592">
        <v>0</v>
      </c>
      <c r="K2592">
        <v>2.3250715</v>
      </c>
      <c r="L2592">
        <v>54.900000000000013</v>
      </c>
      <c r="M2592">
        <v>0</v>
      </c>
      <c r="N2592">
        <v>0</v>
      </c>
      <c r="O2592">
        <v>-30.823374459916479</v>
      </c>
      <c r="P2592">
        <v>310796.79313749023</v>
      </c>
    </row>
    <row r="2593" spans="1:16" x14ac:dyDescent="0.25">
      <c r="A2593" s="10">
        <v>41444</v>
      </c>
      <c r="B2593">
        <v>883.67989517003434</v>
      </c>
      <c r="C2593">
        <v>163.114</v>
      </c>
      <c r="D2593">
        <v>0</v>
      </c>
      <c r="E2593">
        <v>2400</v>
      </c>
      <c r="F2593">
        <v>0</v>
      </c>
      <c r="G2593">
        <v>733.93160570999999</v>
      </c>
      <c r="H2593">
        <v>-2061.8081694500029</v>
      </c>
      <c r="I2593">
        <v>0</v>
      </c>
      <c r="J2593">
        <v>17.914209000000032</v>
      </c>
      <c r="K2593">
        <v>1.1214374</v>
      </c>
      <c r="L2593">
        <v>-313.3</v>
      </c>
      <c r="M2593">
        <v>0</v>
      </c>
      <c r="N2593">
        <v>0</v>
      </c>
      <c r="O2593">
        <v>-57.293187489962563</v>
      </c>
      <c r="P2593">
        <v>311680.4730326602</v>
      </c>
    </row>
    <row r="2594" spans="1:16" x14ac:dyDescent="0.25">
      <c r="A2594" s="10">
        <v>41449</v>
      </c>
      <c r="B2594">
        <v>-1728.48135678016</v>
      </c>
      <c r="C2594">
        <v>210.7021</v>
      </c>
      <c r="D2594">
        <v>0</v>
      </c>
      <c r="E2594">
        <v>-1500</v>
      </c>
      <c r="F2594">
        <v>0</v>
      </c>
      <c r="G2594">
        <v>920.11166223000009</v>
      </c>
      <c r="H2594">
        <v>-1484.736214269999</v>
      </c>
      <c r="I2594">
        <v>0</v>
      </c>
      <c r="J2594">
        <v>30.5</v>
      </c>
      <c r="K2594">
        <v>11.390760079999991</v>
      </c>
      <c r="L2594">
        <v>0</v>
      </c>
      <c r="M2594">
        <v>0</v>
      </c>
      <c r="N2594">
        <v>0</v>
      </c>
      <c r="O2594">
        <v>83.550335179838015</v>
      </c>
      <c r="P2594">
        <v>309951.99167587998</v>
      </c>
    </row>
    <row r="2595" spans="1:16" x14ac:dyDescent="0.25">
      <c r="A2595" s="10">
        <v>41450</v>
      </c>
      <c r="B2595">
        <v>713.2833683298677</v>
      </c>
      <c r="C2595">
        <v>-59.029000000000018</v>
      </c>
      <c r="D2595">
        <v>0</v>
      </c>
      <c r="E2595">
        <v>0</v>
      </c>
      <c r="F2595">
        <v>0</v>
      </c>
      <c r="G2595">
        <v>804.26125978999994</v>
      </c>
      <c r="H2595">
        <v>-78.830163930002527</v>
      </c>
      <c r="I2595">
        <v>0</v>
      </c>
      <c r="J2595">
        <v>0.4499999999998181</v>
      </c>
      <c r="K2595">
        <v>3.2389512699999989</v>
      </c>
      <c r="L2595">
        <v>0</v>
      </c>
      <c r="M2595">
        <v>0</v>
      </c>
      <c r="N2595">
        <v>0</v>
      </c>
      <c r="O2595">
        <v>43.192321199870413</v>
      </c>
      <c r="P2595">
        <v>310665.27504420991</v>
      </c>
    </row>
    <row r="2596" spans="1:16" x14ac:dyDescent="0.25">
      <c r="A2596" s="10">
        <v>41451</v>
      </c>
      <c r="B2596">
        <v>-2250.554399900198</v>
      </c>
      <c r="C2596">
        <v>85.902500000000003</v>
      </c>
      <c r="D2596">
        <v>0</v>
      </c>
      <c r="E2596">
        <v>0</v>
      </c>
      <c r="F2596">
        <v>0</v>
      </c>
      <c r="G2596">
        <v>-59.40909111000002</v>
      </c>
      <c r="H2596">
        <v>-3493.396083500003</v>
      </c>
      <c r="I2596">
        <v>0</v>
      </c>
      <c r="J2596">
        <v>17.505357</v>
      </c>
      <c r="K2596">
        <v>2.0566413899999998</v>
      </c>
      <c r="L2596">
        <v>1219.7</v>
      </c>
      <c r="M2596">
        <v>0</v>
      </c>
      <c r="N2596">
        <v>0</v>
      </c>
      <c r="O2596">
        <v>-22.913723680194931</v>
      </c>
      <c r="P2596">
        <v>308414.72064430971</v>
      </c>
    </row>
    <row r="2597" spans="1:16" x14ac:dyDescent="0.25">
      <c r="A2597" s="10">
        <v>41452</v>
      </c>
      <c r="B2597">
        <v>98.425111310206688</v>
      </c>
      <c r="C2597">
        <v>218.27199999999999</v>
      </c>
      <c r="D2597">
        <v>0</v>
      </c>
      <c r="E2597">
        <v>1550</v>
      </c>
      <c r="F2597">
        <v>0</v>
      </c>
      <c r="G2597">
        <v>-1599.67358597</v>
      </c>
      <c r="H2597">
        <v>-50.578869079999997</v>
      </c>
      <c r="I2597">
        <v>0</v>
      </c>
      <c r="J2597">
        <v>7.1999999999998181</v>
      </c>
      <c r="K2597">
        <v>2.2201092099999999</v>
      </c>
      <c r="L2597">
        <v>0</v>
      </c>
      <c r="M2597">
        <v>0</v>
      </c>
      <c r="N2597">
        <v>0</v>
      </c>
      <c r="O2597">
        <v>-29.01454284979285</v>
      </c>
      <c r="P2597">
        <v>308513.14575561992</v>
      </c>
    </row>
    <row r="2598" spans="1:16" x14ac:dyDescent="0.25">
      <c r="A2598" s="10">
        <v>41453</v>
      </c>
      <c r="B2598">
        <v>-963.72644965979259</v>
      </c>
      <c r="C2598">
        <v>148.12700000000001</v>
      </c>
      <c r="D2598">
        <v>-3300</v>
      </c>
      <c r="E2598">
        <v>10000</v>
      </c>
      <c r="F2598">
        <v>0</v>
      </c>
      <c r="G2598">
        <v>-7032.2552793199993</v>
      </c>
      <c r="H2598">
        <v>-847.11619825000162</v>
      </c>
      <c r="I2598">
        <v>0</v>
      </c>
      <c r="J2598">
        <v>0</v>
      </c>
      <c r="K2598">
        <v>2.3413885799999998</v>
      </c>
      <c r="L2598">
        <v>0</v>
      </c>
      <c r="M2598">
        <v>0</v>
      </c>
      <c r="N2598">
        <v>0</v>
      </c>
      <c r="O2598">
        <v>65.176639330207848</v>
      </c>
      <c r="P2598">
        <v>307549.41930596012</v>
      </c>
    </row>
    <row r="2599" spans="1:16" x14ac:dyDescent="0.25">
      <c r="A2599" s="10">
        <v>41456</v>
      </c>
      <c r="B2599">
        <v>7447.1302368096667</v>
      </c>
      <c r="C2599">
        <v>215.55199999999999</v>
      </c>
      <c r="D2599">
        <v>0</v>
      </c>
      <c r="E2599">
        <v>0</v>
      </c>
      <c r="F2599">
        <v>0</v>
      </c>
      <c r="G2599">
        <v>-536.74373776000004</v>
      </c>
      <c r="H2599">
        <v>7712.158606439998</v>
      </c>
      <c r="I2599">
        <v>0</v>
      </c>
      <c r="J2599">
        <v>5.0999999999999091</v>
      </c>
      <c r="K2599">
        <v>11.346833159999999</v>
      </c>
      <c r="L2599">
        <v>0</v>
      </c>
      <c r="M2599">
        <v>0</v>
      </c>
      <c r="N2599">
        <v>0</v>
      </c>
      <c r="O2599">
        <v>39.716534969669013</v>
      </c>
      <c r="P2599">
        <v>314996.54954276979</v>
      </c>
    </row>
    <row r="2600" spans="1:16" x14ac:dyDescent="0.25">
      <c r="A2600" s="10">
        <v>41457</v>
      </c>
      <c r="B2600">
        <v>6384.7737478201752</v>
      </c>
      <c r="C2600">
        <v>-76.611000000000018</v>
      </c>
      <c r="D2600">
        <v>0</v>
      </c>
      <c r="E2600">
        <v>0</v>
      </c>
      <c r="F2600">
        <v>0</v>
      </c>
      <c r="G2600">
        <v>5292.3506433399998</v>
      </c>
      <c r="H2600">
        <v>1237.2675920899981</v>
      </c>
      <c r="I2600">
        <v>0</v>
      </c>
      <c r="J2600">
        <v>1.153489660000105</v>
      </c>
      <c r="K2600">
        <v>3.2103683099999998</v>
      </c>
      <c r="L2600">
        <v>25.8</v>
      </c>
      <c r="M2600">
        <v>0</v>
      </c>
      <c r="N2600">
        <v>0</v>
      </c>
      <c r="O2600">
        <v>-98.397345579823366</v>
      </c>
      <c r="P2600">
        <v>321381.32329059002</v>
      </c>
    </row>
    <row r="2601" spans="1:16" x14ac:dyDescent="0.25">
      <c r="A2601" s="10">
        <v>41458</v>
      </c>
      <c r="B2601">
        <v>1848.0935041301409</v>
      </c>
      <c r="C2601">
        <v>94.436000000000007</v>
      </c>
      <c r="D2601">
        <v>0</v>
      </c>
      <c r="E2601">
        <v>0</v>
      </c>
      <c r="F2601">
        <v>0</v>
      </c>
      <c r="G2601">
        <v>-69.635750360000031</v>
      </c>
      <c r="H2601">
        <v>459.69555379999838</v>
      </c>
      <c r="I2601">
        <v>0</v>
      </c>
      <c r="J2601">
        <v>29.331271000000019</v>
      </c>
      <c r="K2601">
        <v>2.91840901</v>
      </c>
      <c r="L2601">
        <v>1367.5</v>
      </c>
      <c r="M2601">
        <v>0</v>
      </c>
      <c r="N2601">
        <v>0</v>
      </c>
      <c r="O2601">
        <v>-36.151979319857219</v>
      </c>
      <c r="P2601">
        <v>323229.41679472022</v>
      </c>
    </row>
    <row r="2602" spans="1:16" x14ac:dyDescent="0.25">
      <c r="A2602" s="10">
        <v>41459</v>
      </c>
      <c r="B2602">
        <v>597.13580460962908</v>
      </c>
      <c r="C2602">
        <v>0</v>
      </c>
      <c r="D2602">
        <v>0</v>
      </c>
      <c r="E2602">
        <v>0</v>
      </c>
      <c r="F2602">
        <v>0</v>
      </c>
      <c r="G2602">
        <v>27.817218340000039</v>
      </c>
      <c r="H2602">
        <v>458.10442342000169</v>
      </c>
      <c r="I2602">
        <v>0</v>
      </c>
      <c r="J2602">
        <v>1.829999999999927</v>
      </c>
      <c r="K2602">
        <v>1.39817105</v>
      </c>
      <c r="L2602">
        <v>0</v>
      </c>
      <c r="M2602">
        <v>0</v>
      </c>
      <c r="N2602">
        <v>0</v>
      </c>
      <c r="O2602">
        <v>107.9859917996274</v>
      </c>
      <c r="P2602">
        <v>323826.55259932968</v>
      </c>
    </row>
    <row r="2603" spans="1:16" x14ac:dyDescent="0.25">
      <c r="A2603" s="10">
        <v>41460</v>
      </c>
      <c r="B2603">
        <v>1429.197071550007</v>
      </c>
      <c r="C2603">
        <v>310.67250000000001</v>
      </c>
      <c r="D2603">
        <v>0</v>
      </c>
      <c r="E2603">
        <v>0</v>
      </c>
      <c r="F2603">
        <v>0</v>
      </c>
      <c r="G2603">
        <v>147.70065360999999</v>
      </c>
      <c r="H2603">
        <v>1027.871760909999</v>
      </c>
      <c r="I2603">
        <v>0</v>
      </c>
      <c r="J2603">
        <v>0</v>
      </c>
      <c r="K2603">
        <v>1.6733082399999999</v>
      </c>
      <c r="L2603">
        <v>0</v>
      </c>
      <c r="M2603">
        <v>0</v>
      </c>
      <c r="N2603">
        <v>0</v>
      </c>
      <c r="O2603">
        <v>-58.721151209992421</v>
      </c>
      <c r="P2603">
        <v>325255.74967087968</v>
      </c>
    </row>
    <row r="2604" spans="1:16" x14ac:dyDescent="0.25">
      <c r="A2604" s="10">
        <v>41463</v>
      </c>
      <c r="B2604">
        <v>-537.01830391969918</v>
      </c>
      <c r="C2604">
        <v>351.45499999999998</v>
      </c>
      <c r="D2604">
        <v>0</v>
      </c>
      <c r="E2604">
        <v>0</v>
      </c>
      <c r="F2604">
        <v>0</v>
      </c>
      <c r="G2604">
        <v>0.50289654000000628</v>
      </c>
      <c r="H2604">
        <v>-874.94953912000074</v>
      </c>
      <c r="I2604">
        <v>0</v>
      </c>
      <c r="J2604">
        <v>-41.599999999999909</v>
      </c>
      <c r="K2604">
        <v>-29.68299120999982</v>
      </c>
      <c r="L2604">
        <v>0</v>
      </c>
      <c r="M2604">
        <v>0</v>
      </c>
      <c r="N2604">
        <v>0</v>
      </c>
      <c r="O2604">
        <v>57.25632987030135</v>
      </c>
      <c r="P2604">
        <v>324718.73136695998</v>
      </c>
    </row>
    <row r="2605" spans="1:16" x14ac:dyDescent="0.25">
      <c r="A2605" s="10">
        <v>41465</v>
      </c>
      <c r="B2605">
        <v>2279.3138885399089</v>
      </c>
      <c r="C2605">
        <v>334.23475000000002</v>
      </c>
      <c r="D2605">
        <v>-250</v>
      </c>
      <c r="E2605">
        <v>0</v>
      </c>
      <c r="F2605">
        <v>0</v>
      </c>
      <c r="G2605">
        <v>318.23619818999998</v>
      </c>
      <c r="H2605">
        <v>1585.2952957499999</v>
      </c>
      <c r="I2605">
        <v>0</v>
      </c>
      <c r="J2605">
        <v>0</v>
      </c>
      <c r="K2605">
        <v>3.7641171999999998</v>
      </c>
      <c r="L2605">
        <v>315.60000000000002</v>
      </c>
      <c r="M2605">
        <v>0</v>
      </c>
      <c r="N2605">
        <v>0</v>
      </c>
      <c r="O2605">
        <v>-27.816472600090851</v>
      </c>
      <c r="P2605">
        <v>326998.04525550001</v>
      </c>
    </row>
    <row r="2606" spans="1:16" x14ac:dyDescent="0.25">
      <c r="A2606" s="10">
        <v>41466</v>
      </c>
      <c r="B2606">
        <v>-836.20011693995957</v>
      </c>
      <c r="C2606">
        <v>-130.0556</v>
      </c>
      <c r="D2606">
        <v>0</v>
      </c>
      <c r="E2606">
        <v>0</v>
      </c>
      <c r="F2606">
        <v>0</v>
      </c>
      <c r="G2606">
        <v>-118.89101381</v>
      </c>
      <c r="H2606">
        <v>-593.33168128000216</v>
      </c>
      <c r="I2606">
        <v>0</v>
      </c>
      <c r="J2606">
        <v>4.1999999999998181</v>
      </c>
      <c r="K2606">
        <v>2.0552003700000001</v>
      </c>
      <c r="L2606">
        <v>0</v>
      </c>
      <c r="M2606">
        <v>0</v>
      </c>
      <c r="N2606">
        <v>0</v>
      </c>
      <c r="O2606">
        <v>-0.17702221995718759</v>
      </c>
      <c r="P2606">
        <v>326161.84513855999</v>
      </c>
    </row>
    <row r="2607" spans="1:16" x14ac:dyDescent="0.25">
      <c r="A2607" s="10">
        <v>41467</v>
      </c>
      <c r="B2607">
        <v>1066.9124874298579</v>
      </c>
      <c r="C2607">
        <v>341.64</v>
      </c>
      <c r="D2607">
        <v>0</v>
      </c>
      <c r="E2607">
        <v>0</v>
      </c>
      <c r="F2607">
        <v>0</v>
      </c>
      <c r="G2607">
        <v>-193.89354082999989</v>
      </c>
      <c r="H2607">
        <v>940.93586653999864</v>
      </c>
      <c r="I2607">
        <v>0</v>
      </c>
      <c r="J2607">
        <v>2.7300000000000182</v>
      </c>
      <c r="K2607">
        <v>1.17020364</v>
      </c>
      <c r="L2607">
        <v>0</v>
      </c>
      <c r="M2607">
        <v>0</v>
      </c>
      <c r="N2607">
        <v>0</v>
      </c>
      <c r="O2607">
        <v>-25.67004192014063</v>
      </c>
      <c r="P2607">
        <v>327228.75762598979</v>
      </c>
    </row>
    <row r="2608" spans="1:16" x14ac:dyDescent="0.25">
      <c r="A2608" s="10">
        <v>41470</v>
      </c>
      <c r="B2608">
        <v>443.98561606986948</v>
      </c>
      <c r="C2608">
        <v>12.667649999999981</v>
      </c>
      <c r="D2608">
        <v>0</v>
      </c>
      <c r="E2608">
        <v>0</v>
      </c>
      <c r="F2608">
        <v>0</v>
      </c>
      <c r="G2608">
        <v>-199.04066731</v>
      </c>
      <c r="H2608">
        <v>645.95107282000208</v>
      </c>
      <c r="I2608">
        <v>0</v>
      </c>
      <c r="J2608">
        <v>-11.80000000000018</v>
      </c>
      <c r="K2608">
        <v>0.70410810999999995</v>
      </c>
      <c r="L2608">
        <v>0</v>
      </c>
      <c r="M2608">
        <v>0</v>
      </c>
      <c r="N2608">
        <v>0</v>
      </c>
      <c r="O2608">
        <v>-4.4965475501324121</v>
      </c>
      <c r="P2608">
        <v>327672.74324205972</v>
      </c>
    </row>
    <row r="2609" spans="1:16" x14ac:dyDescent="0.25">
      <c r="A2609" s="10">
        <v>41471</v>
      </c>
      <c r="B2609">
        <v>-2881.4294157599788</v>
      </c>
      <c r="C2609">
        <v>-168.49600000000001</v>
      </c>
      <c r="D2609">
        <v>0</v>
      </c>
      <c r="E2609">
        <v>0</v>
      </c>
      <c r="F2609">
        <v>0</v>
      </c>
      <c r="G2609">
        <v>347.57435413000002</v>
      </c>
      <c r="H2609">
        <v>-3033.5009098</v>
      </c>
      <c r="I2609">
        <v>0</v>
      </c>
      <c r="J2609">
        <v>0</v>
      </c>
      <c r="K2609">
        <v>0.37508546999999998</v>
      </c>
      <c r="L2609">
        <v>0</v>
      </c>
      <c r="M2609">
        <v>0</v>
      </c>
      <c r="N2609">
        <v>0</v>
      </c>
      <c r="O2609">
        <v>-27.381945559979162</v>
      </c>
      <c r="P2609">
        <v>324791.31382629968</v>
      </c>
    </row>
    <row r="2610" spans="1:16" x14ac:dyDescent="0.25">
      <c r="A2610" s="10">
        <v>41472</v>
      </c>
      <c r="B2610">
        <v>1232.6144808402751</v>
      </c>
      <c r="C2610">
        <v>-315.52899999999988</v>
      </c>
      <c r="D2610">
        <v>0</v>
      </c>
      <c r="E2610">
        <v>0</v>
      </c>
      <c r="F2610">
        <v>0</v>
      </c>
      <c r="G2610">
        <v>189.50668121000001</v>
      </c>
      <c r="H2610">
        <v>884.67307944000095</v>
      </c>
      <c r="I2610">
        <v>0</v>
      </c>
      <c r="J2610">
        <v>0</v>
      </c>
      <c r="K2610">
        <v>2.2436293200000001</v>
      </c>
      <c r="L2610">
        <v>466.5</v>
      </c>
      <c r="M2610">
        <v>0</v>
      </c>
      <c r="N2610">
        <v>0</v>
      </c>
      <c r="O2610">
        <v>5.2200908702740882</v>
      </c>
      <c r="P2610">
        <v>326023.92830714001</v>
      </c>
    </row>
    <row r="2611" spans="1:16" x14ac:dyDescent="0.25">
      <c r="A2611" s="10">
        <v>41473</v>
      </c>
      <c r="B2611">
        <v>-1285.309267589822</v>
      </c>
      <c r="C2611">
        <v>0</v>
      </c>
      <c r="D2611">
        <v>0</v>
      </c>
      <c r="E2611">
        <v>0</v>
      </c>
      <c r="F2611">
        <v>0</v>
      </c>
      <c r="G2611">
        <v>-279.62165103000001</v>
      </c>
      <c r="H2611">
        <v>-1029.385883490002</v>
      </c>
      <c r="I2611">
        <v>0</v>
      </c>
      <c r="J2611">
        <v>17.970107999999978</v>
      </c>
      <c r="K2611">
        <v>2.1257911100000002</v>
      </c>
      <c r="L2611">
        <v>0</v>
      </c>
      <c r="M2611">
        <v>0</v>
      </c>
      <c r="N2611">
        <v>0</v>
      </c>
      <c r="O2611">
        <v>3.6023678201800529</v>
      </c>
      <c r="P2611">
        <v>324738.61903955019</v>
      </c>
    </row>
    <row r="2612" spans="1:16" x14ac:dyDescent="0.25">
      <c r="A2612" s="10">
        <v>41474</v>
      </c>
      <c r="B2612">
        <v>-2897.6123697900898</v>
      </c>
      <c r="C2612">
        <v>-88.287200000000013</v>
      </c>
      <c r="D2612">
        <v>0</v>
      </c>
      <c r="E2612">
        <v>-5050</v>
      </c>
      <c r="F2612">
        <v>0</v>
      </c>
      <c r="G2612">
        <v>4058.8097566500001</v>
      </c>
      <c r="H2612">
        <v>-1795.098532540002</v>
      </c>
      <c r="I2612">
        <v>0</v>
      </c>
      <c r="J2612">
        <v>0</v>
      </c>
      <c r="K2612">
        <v>0.82353409</v>
      </c>
      <c r="L2612">
        <v>0</v>
      </c>
      <c r="M2612">
        <v>0</v>
      </c>
      <c r="N2612">
        <v>0</v>
      </c>
      <c r="O2612">
        <v>-23.859927990088821</v>
      </c>
      <c r="P2612">
        <v>321841.0066697601</v>
      </c>
    </row>
    <row r="2613" spans="1:16" x14ac:dyDescent="0.25">
      <c r="A2613" s="10">
        <v>41477</v>
      </c>
      <c r="B2613">
        <v>-60.172490740195499</v>
      </c>
      <c r="C2613">
        <v>-466.98550000000012</v>
      </c>
      <c r="D2613">
        <v>0</v>
      </c>
      <c r="E2613">
        <v>0</v>
      </c>
      <c r="F2613">
        <v>0</v>
      </c>
      <c r="G2613">
        <v>-98.785719749999998</v>
      </c>
      <c r="H2613">
        <v>430.85395903000062</v>
      </c>
      <c r="I2613">
        <v>0</v>
      </c>
      <c r="J2613">
        <v>77.5</v>
      </c>
      <c r="K2613">
        <v>4.1586152300000014</v>
      </c>
      <c r="L2613">
        <v>0</v>
      </c>
      <c r="M2613">
        <v>0</v>
      </c>
      <c r="N2613">
        <v>0</v>
      </c>
      <c r="O2613">
        <v>-6.9138452501961218</v>
      </c>
      <c r="P2613">
        <v>321780.83417901979</v>
      </c>
    </row>
    <row r="2614" spans="1:16" x14ac:dyDescent="0.25">
      <c r="A2614" s="10">
        <v>41478</v>
      </c>
      <c r="B2614">
        <v>-4444.4510784498998</v>
      </c>
      <c r="C2614">
        <v>-172.0575</v>
      </c>
      <c r="D2614">
        <v>0</v>
      </c>
      <c r="E2614">
        <v>0</v>
      </c>
      <c r="F2614">
        <v>0</v>
      </c>
      <c r="G2614">
        <v>-878.58266666999998</v>
      </c>
      <c r="H2614">
        <v>-3348.143527239999</v>
      </c>
      <c r="I2614">
        <v>0</v>
      </c>
      <c r="J2614">
        <v>0</v>
      </c>
      <c r="K2614">
        <v>1.37010466</v>
      </c>
      <c r="L2614">
        <v>0</v>
      </c>
      <c r="M2614">
        <v>0</v>
      </c>
      <c r="N2614">
        <v>0</v>
      </c>
      <c r="O2614">
        <v>-47.0374891999003</v>
      </c>
      <c r="P2614">
        <v>317336.38310057</v>
      </c>
    </row>
    <row r="2615" spans="1:16" x14ac:dyDescent="0.25">
      <c r="A2615" s="10">
        <v>41479</v>
      </c>
      <c r="B2615">
        <v>1949.870578929839</v>
      </c>
      <c r="C2615">
        <v>-374.24149999999997</v>
      </c>
      <c r="D2615">
        <v>0</v>
      </c>
      <c r="E2615">
        <v>0</v>
      </c>
      <c r="F2615">
        <v>0</v>
      </c>
      <c r="G2615">
        <v>344.73499848000012</v>
      </c>
      <c r="H2615">
        <v>2633.915636860002</v>
      </c>
      <c r="I2615">
        <v>0</v>
      </c>
      <c r="J2615">
        <v>1.8947819999998501</v>
      </c>
      <c r="K2615">
        <v>2.19334506</v>
      </c>
      <c r="L2615">
        <v>-652.1</v>
      </c>
      <c r="M2615">
        <v>0</v>
      </c>
      <c r="N2615">
        <v>0</v>
      </c>
      <c r="O2615">
        <v>-6.5266834701621512</v>
      </c>
      <c r="P2615">
        <v>319286.2536794999</v>
      </c>
    </row>
    <row r="2616" spans="1:16" x14ac:dyDescent="0.25">
      <c r="A2616" s="10">
        <v>41480</v>
      </c>
      <c r="B2616">
        <v>6159.2993828399931</v>
      </c>
      <c r="C2616">
        <v>-311.97699999999998</v>
      </c>
      <c r="D2616">
        <v>0</v>
      </c>
      <c r="E2616">
        <v>5000</v>
      </c>
      <c r="F2616">
        <v>0</v>
      </c>
      <c r="G2616">
        <v>319.29363067000048</v>
      </c>
      <c r="H2616">
        <v>1110.29189</v>
      </c>
      <c r="I2616">
        <v>0</v>
      </c>
      <c r="J2616">
        <v>44.655999999999949</v>
      </c>
      <c r="K2616">
        <v>3.94361885</v>
      </c>
      <c r="L2616">
        <v>0</v>
      </c>
      <c r="M2616">
        <v>0</v>
      </c>
      <c r="N2616">
        <v>0</v>
      </c>
      <c r="O2616">
        <v>-6.9087566800082634</v>
      </c>
      <c r="P2616">
        <v>325445.55306233978</v>
      </c>
    </row>
    <row r="2617" spans="1:16" x14ac:dyDescent="0.25">
      <c r="A2617" s="10">
        <v>41481</v>
      </c>
      <c r="B2617">
        <v>287.3375331402645</v>
      </c>
      <c r="C2617">
        <v>10.88100000000003</v>
      </c>
      <c r="D2617">
        <v>0</v>
      </c>
      <c r="E2617">
        <v>9000</v>
      </c>
      <c r="F2617">
        <v>2500</v>
      </c>
      <c r="G2617">
        <v>-11206.854525340001</v>
      </c>
      <c r="H2617">
        <v>-240.2312062300025</v>
      </c>
      <c r="I2617">
        <v>0</v>
      </c>
      <c r="J2617">
        <v>64.568850000000111</v>
      </c>
      <c r="K2617">
        <v>1.77621224</v>
      </c>
      <c r="L2617">
        <v>0</v>
      </c>
      <c r="M2617">
        <v>0</v>
      </c>
      <c r="N2617">
        <v>0</v>
      </c>
      <c r="O2617">
        <v>157.19720247026819</v>
      </c>
      <c r="P2617">
        <v>325732.8905954801</v>
      </c>
    </row>
    <row r="2618" spans="1:16" x14ac:dyDescent="0.25">
      <c r="A2618" s="10">
        <v>41484</v>
      </c>
      <c r="B2618">
        <v>-4260.1431470802054</v>
      </c>
      <c r="C2618">
        <v>-243.24690000000001</v>
      </c>
      <c r="D2618">
        <v>-700</v>
      </c>
      <c r="E2618">
        <v>0</v>
      </c>
      <c r="F2618">
        <v>0</v>
      </c>
      <c r="G2618">
        <v>708.05924564999998</v>
      </c>
      <c r="H2618">
        <v>-3872.79090116</v>
      </c>
      <c r="I2618">
        <v>0</v>
      </c>
      <c r="J2618">
        <v>0</v>
      </c>
      <c r="K2618">
        <v>3.7235182400000002</v>
      </c>
      <c r="L2618">
        <v>84.699999999999989</v>
      </c>
      <c r="M2618">
        <v>0</v>
      </c>
      <c r="N2618">
        <v>0</v>
      </c>
      <c r="O2618">
        <v>-240.58810981020429</v>
      </c>
      <c r="P2618">
        <v>321472.7474483999</v>
      </c>
    </row>
    <row r="2619" spans="1:16" x14ac:dyDescent="0.25">
      <c r="A2619" s="10">
        <v>41485</v>
      </c>
      <c r="B2619">
        <v>-2842.1718964199531</v>
      </c>
      <c r="C2619">
        <v>-327.06950000000001</v>
      </c>
      <c r="D2619">
        <v>0</v>
      </c>
      <c r="E2619">
        <v>0</v>
      </c>
      <c r="F2619">
        <v>0</v>
      </c>
      <c r="G2619">
        <v>3917.152806829999</v>
      </c>
      <c r="H2619">
        <v>-6657.8501113100056</v>
      </c>
      <c r="I2619">
        <v>0</v>
      </c>
      <c r="J2619">
        <v>0</v>
      </c>
      <c r="K2619">
        <v>4.1455122299999996</v>
      </c>
      <c r="L2619">
        <v>0</v>
      </c>
      <c r="M2619">
        <v>0</v>
      </c>
      <c r="N2619">
        <v>0</v>
      </c>
      <c r="O2619">
        <v>221.44939583005399</v>
      </c>
      <c r="P2619">
        <v>318630.57555197988</v>
      </c>
    </row>
    <row r="2620" spans="1:16" x14ac:dyDescent="0.25">
      <c r="A2620" s="10">
        <v>41486</v>
      </c>
      <c r="B2620">
        <v>-502.6046342499331</v>
      </c>
      <c r="C2620">
        <v>283.62450000000001</v>
      </c>
      <c r="D2620">
        <v>0</v>
      </c>
      <c r="E2620">
        <v>0</v>
      </c>
      <c r="F2620">
        <v>0</v>
      </c>
      <c r="G2620">
        <v>62.161356640000001</v>
      </c>
      <c r="H2620">
        <v>-1424.3830590600051</v>
      </c>
      <c r="I2620">
        <v>0</v>
      </c>
      <c r="J2620">
        <v>0</v>
      </c>
      <c r="K2620">
        <v>3.9350939600000001</v>
      </c>
      <c r="L2620">
        <v>454.7</v>
      </c>
      <c r="M2620">
        <v>0</v>
      </c>
      <c r="N2620">
        <v>0</v>
      </c>
      <c r="O2620">
        <v>117.3574742100715</v>
      </c>
      <c r="P2620">
        <v>318127.97091773001</v>
      </c>
    </row>
    <row r="2621" spans="1:16" x14ac:dyDescent="0.25">
      <c r="A2621" s="10">
        <v>41487</v>
      </c>
      <c r="B2621">
        <v>11205.222668349679</v>
      </c>
      <c r="C2621">
        <v>-76.956999999999994</v>
      </c>
      <c r="D2621">
        <v>0</v>
      </c>
      <c r="E2621">
        <v>0</v>
      </c>
      <c r="F2621">
        <v>0</v>
      </c>
      <c r="G2621">
        <v>32.286623510000013</v>
      </c>
      <c r="H2621">
        <v>11154.590231480001</v>
      </c>
      <c r="I2621">
        <v>0</v>
      </c>
      <c r="J2621">
        <v>0</v>
      </c>
      <c r="K2621">
        <v>5.2742336500000002</v>
      </c>
      <c r="L2621">
        <v>0</v>
      </c>
      <c r="M2621">
        <v>0</v>
      </c>
      <c r="N2621">
        <v>0</v>
      </c>
      <c r="O2621">
        <v>90.028579709679974</v>
      </c>
      <c r="P2621">
        <v>329333.19358607969</v>
      </c>
    </row>
    <row r="2622" spans="1:16" x14ac:dyDescent="0.25">
      <c r="A2622" s="10">
        <v>41488</v>
      </c>
      <c r="B2622">
        <v>-31.096874169772921</v>
      </c>
      <c r="C2622">
        <v>402.10500000000002</v>
      </c>
      <c r="D2622">
        <v>0</v>
      </c>
      <c r="E2622">
        <v>0</v>
      </c>
      <c r="F2622">
        <v>0</v>
      </c>
      <c r="G2622">
        <v>-208.32711287999999</v>
      </c>
      <c r="H2622">
        <v>32.583760409999741</v>
      </c>
      <c r="I2622">
        <v>0</v>
      </c>
      <c r="J2622">
        <v>0</v>
      </c>
      <c r="K2622">
        <v>1.6288692300000001</v>
      </c>
      <c r="L2622">
        <v>0</v>
      </c>
      <c r="M2622">
        <v>0</v>
      </c>
      <c r="N2622">
        <v>0</v>
      </c>
      <c r="O2622">
        <v>-259.08739092977271</v>
      </c>
      <c r="P2622">
        <v>329302.09671190992</v>
      </c>
    </row>
    <row r="2623" spans="1:16" x14ac:dyDescent="0.25">
      <c r="A2623" s="10">
        <v>41491</v>
      </c>
      <c r="B2623">
        <v>-558.10851203981997</v>
      </c>
      <c r="C2623">
        <v>-154.56100000000001</v>
      </c>
      <c r="D2623">
        <v>0</v>
      </c>
      <c r="E2623">
        <v>0</v>
      </c>
      <c r="F2623">
        <v>0</v>
      </c>
      <c r="G2623">
        <v>-143.68887702000001</v>
      </c>
      <c r="H2623">
        <v>-248.3080523999997</v>
      </c>
      <c r="I2623">
        <v>0</v>
      </c>
      <c r="J2623">
        <v>8.5</v>
      </c>
      <c r="K2623">
        <v>4.4086740399999993</v>
      </c>
      <c r="L2623">
        <v>0</v>
      </c>
      <c r="M2623">
        <v>0</v>
      </c>
      <c r="N2623">
        <v>0</v>
      </c>
      <c r="O2623">
        <v>-24.45925665982033</v>
      </c>
      <c r="P2623">
        <v>328743.9881998701</v>
      </c>
    </row>
    <row r="2624" spans="1:16" x14ac:dyDescent="0.25">
      <c r="A2624" s="10">
        <v>41492</v>
      </c>
      <c r="B2624">
        <v>1250.803356599878</v>
      </c>
      <c r="C2624">
        <v>-204.45</v>
      </c>
      <c r="D2624">
        <v>0</v>
      </c>
      <c r="E2624">
        <v>0</v>
      </c>
      <c r="F2624">
        <v>0</v>
      </c>
      <c r="G2624">
        <v>55.677861970000073</v>
      </c>
      <c r="H2624">
        <v>1305.6222318100031</v>
      </c>
      <c r="I2624">
        <v>0</v>
      </c>
      <c r="J2624">
        <v>24.78305499999988</v>
      </c>
      <c r="K2624">
        <v>2.3524701600000002</v>
      </c>
      <c r="L2624">
        <v>0</v>
      </c>
      <c r="M2624">
        <v>0</v>
      </c>
      <c r="N2624">
        <v>0</v>
      </c>
      <c r="O2624">
        <v>66.817737659875135</v>
      </c>
      <c r="P2624">
        <v>329994.79155646998</v>
      </c>
    </row>
    <row r="2625" spans="1:16" x14ac:dyDescent="0.25">
      <c r="A2625" s="10">
        <v>41493</v>
      </c>
      <c r="B2625">
        <v>150.97515853017171</v>
      </c>
      <c r="C2625">
        <v>108.37139999999999</v>
      </c>
      <c r="D2625">
        <v>-130</v>
      </c>
      <c r="E2625">
        <v>0</v>
      </c>
      <c r="F2625">
        <v>0</v>
      </c>
      <c r="G2625">
        <v>249.91968327000001</v>
      </c>
      <c r="H2625">
        <v>47.667714679999342</v>
      </c>
      <c r="I2625">
        <v>0</v>
      </c>
      <c r="J2625">
        <v>0</v>
      </c>
      <c r="K2625">
        <v>3.21689493</v>
      </c>
      <c r="L2625">
        <v>-133.9</v>
      </c>
      <c r="M2625">
        <v>0</v>
      </c>
      <c r="N2625">
        <v>0</v>
      </c>
      <c r="O2625">
        <v>5.6994656501723284</v>
      </c>
      <c r="P2625">
        <v>330145.76671500021</v>
      </c>
    </row>
    <row r="2626" spans="1:16" x14ac:dyDescent="0.25">
      <c r="A2626" s="10">
        <v>41494</v>
      </c>
      <c r="B2626">
        <v>1127.4064342297499</v>
      </c>
      <c r="C2626">
        <v>-188.07599999999999</v>
      </c>
      <c r="D2626">
        <v>0</v>
      </c>
      <c r="E2626">
        <v>0</v>
      </c>
      <c r="F2626">
        <v>0</v>
      </c>
      <c r="G2626">
        <v>3057.2270359099998</v>
      </c>
      <c r="H2626">
        <v>-1689.9912641100041</v>
      </c>
      <c r="I2626">
        <v>0</v>
      </c>
      <c r="J2626">
        <v>-51.899999999999643</v>
      </c>
      <c r="K2626">
        <v>-31.579372780000359</v>
      </c>
      <c r="L2626">
        <v>0</v>
      </c>
      <c r="M2626">
        <v>0</v>
      </c>
      <c r="N2626">
        <v>0</v>
      </c>
      <c r="O2626">
        <v>31.726035209754269</v>
      </c>
      <c r="P2626">
        <v>331273.1731492299</v>
      </c>
    </row>
    <row r="2627" spans="1:16" x14ac:dyDescent="0.25">
      <c r="A2627" s="10">
        <v>41495</v>
      </c>
      <c r="B2627">
        <v>-1639.7793221200129</v>
      </c>
      <c r="C2627">
        <v>180.0395</v>
      </c>
      <c r="D2627">
        <v>0</v>
      </c>
      <c r="E2627">
        <v>0</v>
      </c>
      <c r="F2627">
        <v>0</v>
      </c>
      <c r="G2627">
        <v>101.73942305999999</v>
      </c>
      <c r="H2627">
        <v>-1910.801452019999</v>
      </c>
      <c r="I2627">
        <v>0</v>
      </c>
      <c r="J2627">
        <v>0</v>
      </c>
      <c r="K2627">
        <v>1.62493456</v>
      </c>
      <c r="L2627">
        <v>0</v>
      </c>
      <c r="M2627">
        <v>0</v>
      </c>
      <c r="N2627">
        <v>0</v>
      </c>
      <c r="O2627">
        <v>-12.381727720013309</v>
      </c>
      <c r="P2627">
        <v>329633.39382710989</v>
      </c>
    </row>
    <row r="2628" spans="1:16" x14ac:dyDescent="0.25">
      <c r="A2628" s="10">
        <v>41498</v>
      </c>
      <c r="B2628">
        <v>-73.736211199953004</v>
      </c>
      <c r="C2628">
        <v>-172.04</v>
      </c>
      <c r="D2628">
        <v>0</v>
      </c>
      <c r="E2628">
        <v>0</v>
      </c>
      <c r="F2628">
        <v>0</v>
      </c>
      <c r="G2628">
        <v>-350.55203695</v>
      </c>
      <c r="H2628">
        <v>563.56939174000217</v>
      </c>
      <c r="I2628">
        <v>0</v>
      </c>
      <c r="J2628">
        <v>0</v>
      </c>
      <c r="K2628">
        <v>4.89413958</v>
      </c>
      <c r="L2628">
        <v>0</v>
      </c>
      <c r="M2628">
        <v>0</v>
      </c>
      <c r="N2628">
        <v>0</v>
      </c>
      <c r="O2628">
        <v>-119.6077055699552</v>
      </c>
      <c r="P2628">
        <v>329559.65761590988</v>
      </c>
    </row>
    <row r="2629" spans="1:16" x14ac:dyDescent="0.25">
      <c r="A2629" s="10">
        <v>41499</v>
      </c>
      <c r="B2629">
        <v>678.56205446005276</v>
      </c>
      <c r="C2629">
        <v>-198.96199999999999</v>
      </c>
      <c r="D2629">
        <v>0</v>
      </c>
      <c r="E2629">
        <v>0</v>
      </c>
      <c r="F2629">
        <v>0</v>
      </c>
      <c r="G2629">
        <v>235.18719888999999</v>
      </c>
      <c r="H2629">
        <v>613.54522685000302</v>
      </c>
      <c r="I2629">
        <v>0</v>
      </c>
      <c r="J2629">
        <v>0</v>
      </c>
      <c r="K2629">
        <v>1.5989905</v>
      </c>
      <c r="L2629">
        <v>0</v>
      </c>
      <c r="M2629">
        <v>0</v>
      </c>
      <c r="N2629">
        <v>0</v>
      </c>
      <c r="O2629">
        <v>27.192638220049709</v>
      </c>
      <c r="P2629">
        <v>330238.21967036999</v>
      </c>
    </row>
    <row r="2630" spans="1:16" x14ac:dyDescent="0.25">
      <c r="A2630" s="10">
        <v>41500</v>
      </c>
      <c r="B2630">
        <v>-5453.5089736300288</v>
      </c>
      <c r="C2630">
        <v>169.99549999999999</v>
      </c>
      <c r="D2630">
        <v>-570</v>
      </c>
      <c r="E2630">
        <v>0</v>
      </c>
      <c r="F2630">
        <v>0</v>
      </c>
      <c r="G2630">
        <v>338.67728944999999</v>
      </c>
      <c r="H2630">
        <v>-4464.6534586500002</v>
      </c>
      <c r="I2630">
        <v>0</v>
      </c>
      <c r="J2630">
        <v>2.9359650000001238</v>
      </c>
      <c r="K2630">
        <v>1.1094519</v>
      </c>
      <c r="L2630">
        <v>-802.1</v>
      </c>
      <c r="M2630">
        <v>0</v>
      </c>
      <c r="N2630">
        <v>0</v>
      </c>
      <c r="O2630">
        <v>-129.47372133002881</v>
      </c>
      <c r="P2630">
        <v>324784.71069674002</v>
      </c>
    </row>
    <row r="2631" spans="1:16" x14ac:dyDescent="0.25">
      <c r="A2631" s="10">
        <v>41501</v>
      </c>
      <c r="B2631">
        <v>921.4907461598051</v>
      </c>
      <c r="C2631">
        <v>-27.539000000000001</v>
      </c>
      <c r="D2631">
        <v>0</v>
      </c>
      <c r="E2631">
        <v>0</v>
      </c>
      <c r="F2631">
        <v>0</v>
      </c>
      <c r="G2631">
        <v>60.527053319999993</v>
      </c>
      <c r="H2631">
        <v>907.173904270001</v>
      </c>
      <c r="I2631">
        <v>0</v>
      </c>
      <c r="J2631">
        <v>1.5999999999999091</v>
      </c>
      <c r="K2631">
        <v>4.0241456099999997</v>
      </c>
      <c r="L2631">
        <v>0</v>
      </c>
      <c r="M2631">
        <v>0</v>
      </c>
      <c r="N2631">
        <v>0</v>
      </c>
      <c r="O2631">
        <v>-24.295357040195789</v>
      </c>
      <c r="P2631">
        <v>325706.20144289982</v>
      </c>
    </row>
    <row r="2632" spans="1:16" x14ac:dyDescent="0.25">
      <c r="A2632" s="10">
        <v>41502</v>
      </c>
      <c r="B2632">
        <v>-3019.118839830046</v>
      </c>
      <c r="C2632">
        <v>4.9999999998817657E-4</v>
      </c>
      <c r="D2632">
        <v>0</v>
      </c>
      <c r="E2632">
        <v>0</v>
      </c>
      <c r="F2632">
        <v>0</v>
      </c>
      <c r="G2632">
        <v>-140.75316319999999</v>
      </c>
      <c r="H2632">
        <v>-3141.200421580003</v>
      </c>
      <c r="I2632">
        <v>0</v>
      </c>
      <c r="J2632">
        <v>89</v>
      </c>
      <c r="K2632">
        <v>4.0887650600000001</v>
      </c>
      <c r="L2632">
        <v>0</v>
      </c>
      <c r="M2632">
        <v>0</v>
      </c>
      <c r="N2632">
        <v>0</v>
      </c>
      <c r="O2632">
        <v>169.7454798899571</v>
      </c>
      <c r="P2632">
        <v>322687.08260306978</v>
      </c>
    </row>
    <row r="2633" spans="1:16" x14ac:dyDescent="0.25">
      <c r="A2633" s="10">
        <v>41506</v>
      </c>
      <c r="B2633">
        <v>6309.2173636102816</v>
      </c>
      <c r="C2633">
        <v>3.5217499999999968</v>
      </c>
      <c r="D2633">
        <v>0</v>
      </c>
      <c r="E2633">
        <v>0</v>
      </c>
      <c r="F2633">
        <v>0</v>
      </c>
      <c r="G2633">
        <v>3762.57045105</v>
      </c>
      <c r="H2633">
        <v>2458.052433410001</v>
      </c>
      <c r="I2633">
        <v>0</v>
      </c>
      <c r="J2633">
        <v>0</v>
      </c>
      <c r="K2633">
        <v>11.090255279999999</v>
      </c>
      <c r="L2633">
        <v>58.400000000000013</v>
      </c>
      <c r="M2633">
        <v>0</v>
      </c>
      <c r="N2633">
        <v>0</v>
      </c>
      <c r="O2633">
        <v>15.58247387028096</v>
      </c>
      <c r="P2633">
        <v>328996.29996668</v>
      </c>
    </row>
    <row r="2634" spans="1:16" x14ac:dyDescent="0.25">
      <c r="A2634" s="10">
        <v>41507</v>
      </c>
      <c r="B2634">
        <v>914.96591229975479</v>
      </c>
      <c r="C2634">
        <v>-224.01249999999999</v>
      </c>
      <c r="D2634">
        <v>0</v>
      </c>
      <c r="E2634">
        <v>0</v>
      </c>
      <c r="F2634">
        <v>0</v>
      </c>
      <c r="G2634">
        <v>297.03565873000002</v>
      </c>
      <c r="H2634">
        <v>1634.096267430001</v>
      </c>
      <c r="I2634">
        <v>0</v>
      </c>
      <c r="J2634">
        <v>0</v>
      </c>
      <c r="K2634">
        <v>3.4604486099999998</v>
      </c>
      <c r="L2634">
        <v>-764.6</v>
      </c>
      <c r="M2634">
        <v>0</v>
      </c>
      <c r="N2634">
        <v>0</v>
      </c>
      <c r="O2634">
        <v>-31.013962470245879</v>
      </c>
      <c r="P2634">
        <v>329911.26587897982</v>
      </c>
    </row>
    <row r="2635" spans="1:16" x14ac:dyDescent="0.25">
      <c r="A2635" s="10">
        <v>41508</v>
      </c>
      <c r="B2635">
        <v>-2663.538018040012</v>
      </c>
      <c r="C2635">
        <v>-241.17400000000001</v>
      </c>
      <c r="D2635">
        <v>0</v>
      </c>
      <c r="E2635">
        <v>0</v>
      </c>
      <c r="F2635">
        <v>0</v>
      </c>
      <c r="G2635">
        <v>-287.05308038999988</v>
      </c>
      <c r="H2635">
        <v>-2132.755489540004</v>
      </c>
      <c r="I2635">
        <v>0</v>
      </c>
      <c r="J2635">
        <v>0</v>
      </c>
      <c r="K2635">
        <v>3.5011432299999998</v>
      </c>
      <c r="L2635">
        <v>0</v>
      </c>
      <c r="M2635">
        <v>0</v>
      </c>
      <c r="N2635">
        <v>0</v>
      </c>
      <c r="O2635">
        <v>-6.056591340006797</v>
      </c>
      <c r="P2635">
        <v>327247.72786093969</v>
      </c>
    </row>
    <row r="2636" spans="1:16" x14ac:dyDescent="0.25">
      <c r="A2636" s="10">
        <v>41509</v>
      </c>
      <c r="B2636">
        <v>-4045.4171427399251</v>
      </c>
      <c r="C2636">
        <v>-619.55409999999995</v>
      </c>
      <c r="D2636">
        <v>0</v>
      </c>
      <c r="E2636">
        <v>-1700</v>
      </c>
      <c r="F2636">
        <v>0</v>
      </c>
      <c r="G2636">
        <v>257.68325660999989</v>
      </c>
      <c r="H2636">
        <v>-2060.6015507799971</v>
      </c>
      <c r="I2636">
        <v>0</v>
      </c>
      <c r="J2636">
        <v>0</v>
      </c>
      <c r="K2636">
        <v>8.2096015400000013</v>
      </c>
      <c r="L2636">
        <v>0</v>
      </c>
      <c r="M2636">
        <v>0</v>
      </c>
      <c r="N2636">
        <v>0</v>
      </c>
      <c r="O2636">
        <v>68.845649890071769</v>
      </c>
      <c r="P2636">
        <v>323202.31071819988</v>
      </c>
    </row>
    <row r="2637" spans="1:16" x14ac:dyDescent="0.25">
      <c r="A2637" s="10">
        <v>41512</v>
      </c>
      <c r="B2637">
        <v>1471.541701260257</v>
      </c>
      <c r="C2637">
        <v>-283.96076499999998</v>
      </c>
      <c r="D2637">
        <v>0</v>
      </c>
      <c r="E2637">
        <v>0</v>
      </c>
      <c r="F2637">
        <v>0</v>
      </c>
      <c r="G2637">
        <v>102.24045710999999</v>
      </c>
      <c r="H2637">
        <v>1628.8990145899991</v>
      </c>
      <c r="I2637">
        <v>0</v>
      </c>
      <c r="J2637">
        <v>0</v>
      </c>
      <c r="K2637">
        <v>8.8081857299999982</v>
      </c>
      <c r="L2637">
        <v>0</v>
      </c>
      <c r="M2637">
        <v>0</v>
      </c>
      <c r="N2637">
        <v>0</v>
      </c>
      <c r="O2637">
        <v>15.55480883025816</v>
      </c>
      <c r="P2637">
        <v>324673.85241946008</v>
      </c>
    </row>
    <row r="2638" spans="1:16" x14ac:dyDescent="0.25">
      <c r="A2638" s="10">
        <v>41513</v>
      </c>
      <c r="B2638">
        <v>-548.09798120992366</v>
      </c>
      <c r="C2638">
        <v>-450.30200000000002</v>
      </c>
      <c r="D2638">
        <v>0</v>
      </c>
      <c r="E2638">
        <v>0</v>
      </c>
      <c r="F2638">
        <v>0</v>
      </c>
      <c r="G2638">
        <v>-81.505568119999225</v>
      </c>
      <c r="H2638">
        <v>-43.310368790000211</v>
      </c>
      <c r="I2638">
        <v>0</v>
      </c>
      <c r="J2638">
        <v>4.7697349999998551</v>
      </c>
      <c r="K2638">
        <v>6.0100711099999984</v>
      </c>
      <c r="L2638">
        <v>0</v>
      </c>
      <c r="M2638">
        <v>0</v>
      </c>
      <c r="N2638">
        <v>0</v>
      </c>
      <c r="O2638">
        <v>16.24014959007577</v>
      </c>
      <c r="P2638">
        <v>324125.75443825021</v>
      </c>
    </row>
    <row r="2639" spans="1:16" x14ac:dyDescent="0.25">
      <c r="A2639" s="10">
        <v>41514</v>
      </c>
      <c r="B2639">
        <v>-2730.1783108701361</v>
      </c>
      <c r="C2639">
        <v>-254.05500000000001</v>
      </c>
      <c r="D2639">
        <v>0</v>
      </c>
      <c r="E2639">
        <v>0</v>
      </c>
      <c r="F2639">
        <v>0</v>
      </c>
      <c r="G2639">
        <v>59.821349090000012</v>
      </c>
      <c r="H2639">
        <v>-1247.9562714599999</v>
      </c>
      <c r="I2639">
        <v>0</v>
      </c>
      <c r="J2639">
        <v>0</v>
      </c>
      <c r="K2639">
        <v>3.51589003</v>
      </c>
      <c r="L2639">
        <v>-1249.5999999999999</v>
      </c>
      <c r="M2639">
        <v>0</v>
      </c>
      <c r="N2639">
        <v>0</v>
      </c>
      <c r="O2639">
        <v>-41.904278530136352</v>
      </c>
      <c r="P2639">
        <v>321395.57612738002</v>
      </c>
    </row>
    <row r="2640" spans="1:16" x14ac:dyDescent="0.25">
      <c r="A2640" s="10">
        <v>41515</v>
      </c>
      <c r="B2640">
        <v>2220.4490456500789</v>
      </c>
      <c r="C2640">
        <v>17.385000000000002</v>
      </c>
      <c r="D2640">
        <v>0</v>
      </c>
      <c r="E2640">
        <v>1750</v>
      </c>
      <c r="F2640">
        <v>1400</v>
      </c>
      <c r="G2640">
        <v>-1392.5623388399979</v>
      </c>
      <c r="H2640">
        <v>195.43576510000281</v>
      </c>
      <c r="I2640">
        <v>0</v>
      </c>
      <c r="J2640">
        <v>0</v>
      </c>
      <c r="K2640">
        <v>4.73368286</v>
      </c>
      <c r="L2640">
        <v>0</v>
      </c>
      <c r="M2640">
        <v>0</v>
      </c>
      <c r="N2640">
        <v>0</v>
      </c>
      <c r="O2640">
        <v>245.45693653007399</v>
      </c>
      <c r="P2640">
        <v>323616.0251730301</v>
      </c>
    </row>
    <row r="2641" spans="1:16" x14ac:dyDescent="0.25">
      <c r="A2641" s="10">
        <v>41516</v>
      </c>
      <c r="B2641">
        <v>-2423.9739925299641</v>
      </c>
      <c r="C2641">
        <v>277.73800000000011</v>
      </c>
      <c r="D2641">
        <v>0</v>
      </c>
      <c r="E2641">
        <v>0</v>
      </c>
      <c r="F2641">
        <v>0</v>
      </c>
      <c r="G2641">
        <v>-278.89591553000002</v>
      </c>
      <c r="H2641">
        <v>-2469.3710611799938</v>
      </c>
      <c r="I2641">
        <v>0</v>
      </c>
      <c r="J2641">
        <v>0</v>
      </c>
      <c r="K2641">
        <v>4.2329172399999999</v>
      </c>
      <c r="L2641">
        <v>0</v>
      </c>
      <c r="M2641">
        <v>0</v>
      </c>
      <c r="N2641">
        <v>0</v>
      </c>
      <c r="O2641">
        <v>42.322066940030354</v>
      </c>
      <c r="P2641">
        <v>321192.05118050007</v>
      </c>
    </row>
    <row r="2642" spans="1:16" x14ac:dyDescent="0.25">
      <c r="A2642" s="10">
        <v>41519</v>
      </c>
      <c r="B2642">
        <v>8616.0230902598123</v>
      </c>
      <c r="C2642">
        <v>-73.787999999999997</v>
      </c>
      <c r="D2642">
        <v>0</v>
      </c>
      <c r="E2642">
        <v>0</v>
      </c>
      <c r="F2642">
        <v>0</v>
      </c>
      <c r="G2642">
        <v>1815.3277786799999</v>
      </c>
      <c r="H2642">
        <v>6861.9540132899983</v>
      </c>
      <c r="I2642">
        <v>0</v>
      </c>
      <c r="J2642">
        <v>0</v>
      </c>
      <c r="K2642">
        <v>11.53591091</v>
      </c>
      <c r="L2642">
        <v>0</v>
      </c>
      <c r="M2642">
        <v>0</v>
      </c>
      <c r="N2642">
        <v>0</v>
      </c>
      <c r="O2642">
        <v>0.99338737981306657</v>
      </c>
      <c r="P2642">
        <v>329808.07427075988</v>
      </c>
    </row>
    <row r="2643" spans="1:16" x14ac:dyDescent="0.25">
      <c r="A2643" s="10">
        <v>41520</v>
      </c>
      <c r="B2643">
        <v>1497.235234780238</v>
      </c>
      <c r="C2643">
        <v>-307.42399999999998</v>
      </c>
      <c r="D2643">
        <v>0</v>
      </c>
      <c r="E2643">
        <v>0</v>
      </c>
      <c r="F2643">
        <v>0</v>
      </c>
      <c r="G2643">
        <v>-307.86395694999999</v>
      </c>
      <c r="H2643">
        <v>2333.552319050003</v>
      </c>
      <c r="I2643">
        <v>0</v>
      </c>
      <c r="J2643">
        <v>2.8299999999999268</v>
      </c>
      <c r="K2643">
        <v>3.27515</v>
      </c>
      <c r="L2643">
        <v>0</v>
      </c>
      <c r="M2643">
        <v>0</v>
      </c>
      <c r="N2643">
        <v>0</v>
      </c>
      <c r="O2643">
        <v>-227.13427731976481</v>
      </c>
      <c r="P2643">
        <v>331305.30950554012</v>
      </c>
    </row>
    <row r="2644" spans="1:16" x14ac:dyDescent="0.25">
      <c r="A2644" s="10">
        <v>41521</v>
      </c>
      <c r="B2644">
        <v>68.656331909819613</v>
      </c>
      <c r="C2644">
        <v>-65.2</v>
      </c>
      <c r="D2644">
        <v>0</v>
      </c>
      <c r="E2644">
        <v>0</v>
      </c>
      <c r="F2644">
        <v>0</v>
      </c>
      <c r="G2644">
        <v>-180.15908300999999</v>
      </c>
      <c r="H2644">
        <v>210.23003904000319</v>
      </c>
      <c r="I2644">
        <v>0</v>
      </c>
      <c r="J2644">
        <v>1.8800000000001089</v>
      </c>
      <c r="K2644">
        <v>2.7864138500000002</v>
      </c>
      <c r="L2644">
        <v>140</v>
      </c>
      <c r="M2644">
        <v>0</v>
      </c>
      <c r="N2644">
        <v>0</v>
      </c>
      <c r="O2644">
        <v>-40.881037970183748</v>
      </c>
      <c r="P2644">
        <v>331373.96583744988</v>
      </c>
    </row>
    <row r="2645" spans="1:16" x14ac:dyDescent="0.25">
      <c r="A2645" s="10">
        <v>41522</v>
      </c>
      <c r="B2645">
        <v>2616.9981470797211</v>
      </c>
      <c r="C2645">
        <v>340.89800000000002</v>
      </c>
      <c r="D2645">
        <v>2999.9999999790002</v>
      </c>
      <c r="E2645">
        <v>0</v>
      </c>
      <c r="F2645">
        <v>0</v>
      </c>
      <c r="G2645">
        <v>180.45276521000011</v>
      </c>
      <c r="H2645">
        <v>-929.14968411999871</v>
      </c>
      <c r="I2645">
        <v>0</v>
      </c>
      <c r="J2645">
        <v>19.5</v>
      </c>
      <c r="K2645">
        <v>2.4338871499999999</v>
      </c>
      <c r="L2645">
        <v>0</v>
      </c>
      <c r="M2645">
        <v>0</v>
      </c>
      <c r="N2645">
        <v>0</v>
      </c>
      <c r="O2645">
        <v>2.863178860719199</v>
      </c>
      <c r="P2645">
        <v>333990.96398452972</v>
      </c>
    </row>
    <row r="2646" spans="1:16" x14ac:dyDescent="0.25">
      <c r="A2646" s="10">
        <v>41523</v>
      </c>
      <c r="B2646">
        <v>14.23462551011497</v>
      </c>
      <c r="C2646">
        <v>-590.18299999999999</v>
      </c>
      <c r="D2646">
        <v>0</v>
      </c>
      <c r="E2646">
        <v>0</v>
      </c>
      <c r="F2646">
        <v>0</v>
      </c>
      <c r="G2646">
        <v>9.2628847900000135</v>
      </c>
      <c r="H2646">
        <v>455.23687755000361</v>
      </c>
      <c r="I2646">
        <v>0</v>
      </c>
      <c r="J2646">
        <v>0</v>
      </c>
      <c r="K2646">
        <v>2.2230327000000001</v>
      </c>
      <c r="L2646">
        <v>0</v>
      </c>
      <c r="M2646">
        <v>0</v>
      </c>
      <c r="N2646">
        <v>0</v>
      </c>
      <c r="O2646">
        <v>137.69483047011141</v>
      </c>
      <c r="P2646">
        <v>334005.19861003989</v>
      </c>
    </row>
    <row r="2647" spans="1:16" x14ac:dyDescent="0.25">
      <c r="A2647" s="10">
        <v>41526</v>
      </c>
      <c r="B2647">
        <v>-1204.4653444097501</v>
      </c>
      <c r="C2647">
        <v>-290.947</v>
      </c>
      <c r="D2647">
        <v>0</v>
      </c>
      <c r="E2647">
        <v>0</v>
      </c>
      <c r="F2647">
        <v>0</v>
      </c>
      <c r="G2647">
        <v>-294.03650825</v>
      </c>
      <c r="H2647">
        <v>-519.81181869000284</v>
      </c>
      <c r="I2647">
        <v>0</v>
      </c>
      <c r="J2647">
        <v>-68.107650000000376</v>
      </c>
      <c r="K2647">
        <v>-31.044575519999999</v>
      </c>
      <c r="L2647">
        <v>0</v>
      </c>
      <c r="M2647">
        <v>0</v>
      </c>
      <c r="N2647">
        <v>0</v>
      </c>
      <c r="O2647">
        <v>-0.51780194974685401</v>
      </c>
      <c r="P2647">
        <v>332800.73326563009</v>
      </c>
    </row>
    <row r="2648" spans="1:16" x14ac:dyDescent="0.25">
      <c r="A2648" s="10">
        <v>41527</v>
      </c>
      <c r="B2648">
        <v>3692.0525156400408</v>
      </c>
      <c r="C2648">
        <v>-210.98</v>
      </c>
      <c r="D2648">
        <v>4400</v>
      </c>
      <c r="E2648">
        <v>0</v>
      </c>
      <c r="F2648">
        <v>0</v>
      </c>
      <c r="G2648">
        <v>-542.63657140000032</v>
      </c>
      <c r="H2648">
        <v>51.833178119999502</v>
      </c>
      <c r="I2648">
        <v>0</v>
      </c>
      <c r="J2648">
        <v>0</v>
      </c>
      <c r="K2648">
        <v>1.0198659400000001</v>
      </c>
      <c r="L2648">
        <v>0</v>
      </c>
      <c r="M2648">
        <v>0</v>
      </c>
      <c r="N2648">
        <v>0</v>
      </c>
      <c r="O2648">
        <v>-7.1839570199584131</v>
      </c>
      <c r="P2648">
        <v>336492.78578127013</v>
      </c>
    </row>
    <row r="2649" spans="1:16" x14ac:dyDescent="0.25">
      <c r="A2649" s="10">
        <v>41528</v>
      </c>
      <c r="B2649">
        <v>-2373.1963128702491</v>
      </c>
      <c r="C2649">
        <v>-434.375</v>
      </c>
      <c r="D2649">
        <v>0</v>
      </c>
      <c r="E2649">
        <v>0</v>
      </c>
      <c r="F2649">
        <v>0</v>
      </c>
      <c r="G2649">
        <v>16.050534710000079</v>
      </c>
      <c r="H2649">
        <v>-574.00031137000042</v>
      </c>
      <c r="I2649">
        <v>0</v>
      </c>
      <c r="J2649">
        <v>0</v>
      </c>
      <c r="K2649">
        <v>1.7200368100000001</v>
      </c>
      <c r="L2649">
        <v>-1389.1</v>
      </c>
      <c r="M2649">
        <v>0</v>
      </c>
      <c r="N2649">
        <v>0</v>
      </c>
      <c r="O2649">
        <v>6.5084269797518601</v>
      </c>
      <c r="P2649">
        <v>334119.58946839988</v>
      </c>
    </row>
    <row r="2650" spans="1:16" x14ac:dyDescent="0.25">
      <c r="A2650" s="10">
        <v>41529</v>
      </c>
      <c r="B2650">
        <v>-547.14537228975598</v>
      </c>
      <c r="C2650">
        <v>-228.86699999999999</v>
      </c>
      <c r="D2650">
        <v>0</v>
      </c>
      <c r="E2650">
        <v>0</v>
      </c>
      <c r="F2650">
        <v>0</v>
      </c>
      <c r="G2650">
        <v>-12.481225850000561</v>
      </c>
      <c r="H2650">
        <v>802.53922506999879</v>
      </c>
      <c r="I2650">
        <v>0</v>
      </c>
      <c r="J2650">
        <v>0</v>
      </c>
      <c r="K2650">
        <v>2.3373705</v>
      </c>
      <c r="L2650">
        <v>0</v>
      </c>
      <c r="M2650">
        <v>0</v>
      </c>
      <c r="N2650">
        <v>0</v>
      </c>
      <c r="O2650">
        <v>-1110.6737420097541</v>
      </c>
      <c r="P2650">
        <v>333572.44409611012</v>
      </c>
    </row>
    <row r="2651" spans="1:16" x14ac:dyDescent="0.25">
      <c r="A2651" s="10">
        <v>41530</v>
      </c>
      <c r="B2651">
        <v>-791.47842597030058</v>
      </c>
      <c r="C2651">
        <v>166.01300000000001</v>
      </c>
      <c r="D2651">
        <v>0</v>
      </c>
      <c r="E2651">
        <v>0</v>
      </c>
      <c r="F2651">
        <v>0</v>
      </c>
      <c r="G2651">
        <v>-184.23256433</v>
      </c>
      <c r="H2651">
        <v>-964.6008142699975</v>
      </c>
      <c r="I2651">
        <v>0</v>
      </c>
      <c r="J2651">
        <v>2.7912291600000572</v>
      </c>
      <c r="K2651">
        <v>2.8038802899999999</v>
      </c>
      <c r="L2651">
        <v>0</v>
      </c>
      <c r="M2651">
        <v>0</v>
      </c>
      <c r="N2651">
        <v>0</v>
      </c>
      <c r="O2651">
        <v>185.7468431796969</v>
      </c>
      <c r="P2651">
        <v>332780.96567013988</v>
      </c>
    </row>
    <row r="2652" spans="1:16" x14ac:dyDescent="0.25">
      <c r="A2652" s="10">
        <v>41533</v>
      </c>
      <c r="B2652">
        <v>-1076.3793125398799</v>
      </c>
      <c r="C2652">
        <v>-461.53800000000001</v>
      </c>
      <c r="D2652">
        <v>0</v>
      </c>
      <c r="E2652">
        <v>0</v>
      </c>
      <c r="F2652">
        <v>0</v>
      </c>
      <c r="G2652">
        <v>-63.279276080000052</v>
      </c>
      <c r="H2652">
        <v>-744.83113627999955</v>
      </c>
      <c r="I2652">
        <v>0</v>
      </c>
      <c r="J2652">
        <v>27.661020000000011</v>
      </c>
      <c r="K2652">
        <v>3.3247239999999998</v>
      </c>
      <c r="L2652">
        <v>0</v>
      </c>
      <c r="M2652">
        <v>0</v>
      </c>
      <c r="N2652">
        <v>0</v>
      </c>
      <c r="O2652">
        <v>162.2833558201194</v>
      </c>
      <c r="P2652">
        <v>331704.58635759988</v>
      </c>
    </row>
    <row r="2653" spans="1:16" x14ac:dyDescent="0.25">
      <c r="A2653" s="10">
        <v>41534</v>
      </c>
      <c r="B2653">
        <v>477.8941261500583</v>
      </c>
      <c r="C2653">
        <v>-562.28200000000004</v>
      </c>
      <c r="D2653">
        <v>0</v>
      </c>
      <c r="E2653">
        <v>0</v>
      </c>
      <c r="F2653">
        <v>0</v>
      </c>
      <c r="G2653">
        <v>131.69359302999999</v>
      </c>
      <c r="H2653">
        <v>839.79956373999994</v>
      </c>
      <c r="I2653">
        <v>0</v>
      </c>
      <c r="J2653">
        <v>5</v>
      </c>
      <c r="K2653">
        <v>2.7492810900000002</v>
      </c>
      <c r="L2653">
        <v>0</v>
      </c>
      <c r="M2653">
        <v>0</v>
      </c>
      <c r="N2653">
        <v>0</v>
      </c>
      <c r="O2653">
        <v>60.933688290058399</v>
      </c>
      <c r="P2653">
        <v>332182.48048375011</v>
      </c>
    </row>
    <row r="2654" spans="1:16" x14ac:dyDescent="0.25">
      <c r="A2654" s="10">
        <v>41535</v>
      </c>
      <c r="B2654">
        <v>-1553.446823430306</v>
      </c>
      <c r="C2654">
        <v>-293.29500000000002</v>
      </c>
      <c r="D2654">
        <v>0</v>
      </c>
      <c r="E2654">
        <v>0</v>
      </c>
      <c r="F2654">
        <v>0</v>
      </c>
      <c r="G2654">
        <v>-240.37659008</v>
      </c>
      <c r="H2654">
        <v>1032.016577190001</v>
      </c>
      <c r="I2654">
        <v>0</v>
      </c>
      <c r="J2654">
        <v>0</v>
      </c>
      <c r="K2654">
        <v>4.3692595499999998</v>
      </c>
      <c r="L2654">
        <v>-2061.3000000000002</v>
      </c>
      <c r="M2654">
        <v>0</v>
      </c>
      <c r="N2654">
        <v>0</v>
      </c>
      <c r="O2654">
        <v>5.1389299096932044</v>
      </c>
      <c r="P2654">
        <v>330629.03366031981</v>
      </c>
    </row>
    <row r="2655" spans="1:16" x14ac:dyDescent="0.25">
      <c r="A2655" s="10">
        <v>41536</v>
      </c>
      <c r="B2655">
        <v>-1154.8869054099191</v>
      </c>
      <c r="C2655">
        <v>-271.78460000000001</v>
      </c>
      <c r="D2655">
        <v>0</v>
      </c>
      <c r="E2655">
        <v>0</v>
      </c>
      <c r="F2655">
        <v>0</v>
      </c>
      <c r="G2655">
        <v>354.90365587999997</v>
      </c>
      <c r="H2655">
        <v>-1276.2111453499999</v>
      </c>
      <c r="I2655">
        <v>0</v>
      </c>
      <c r="J2655">
        <v>3.8884701799997861</v>
      </c>
      <c r="K2655">
        <v>2.3945543300000001</v>
      </c>
      <c r="L2655">
        <v>0</v>
      </c>
      <c r="M2655">
        <v>0</v>
      </c>
      <c r="N2655">
        <v>0</v>
      </c>
      <c r="O2655">
        <v>31.92215955008114</v>
      </c>
      <c r="P2655">
        <v>329474.14675490977</v>
      </c>
    </row>
    <row r="2656" spans="1:16" x14ac:dyDescent="0.25">
      <c r="A2656" s="10">
        <v>41537</v>
      </c>
      <c r="B2656">
        <v>-4241.4803840199011</v>
      </c>
      <c r="C2656">
        <v>-331.202</v>
      </c>
      <c r="D2656">
        <v>0</v>
      </c>
      <c r="E2656">
        <v>0</v>
      </c>
      <c r="F2656">
        <v>0</v>
      </c>
      <c r="G2656">
        <v>-428.02555554999998</v>
      </c>
      <c r="H2656">
        <v>-3469.4494021100022</v>
      </c>
      <c r="I2656">
        <v>0</v>
      </c>
      <c r="J2656">
        <v>36.561035000000167</v>
      </c>
      <c r="K2656">
        <v>4.6418184399999998</v>
      </c>
      <c r="L2656">
        <v>0</v>
      </c>
      <c r="M2656">
        <v>0</v>
      </c>
      <c r="N2656">
        <v>0</v>
      </c>
      <c r="O2656">
        <v>-54.006279799899673</v>
      </c>
      <c r="P2656">
        <v>325232.66637088993</v>
      </c>
    </row>
    <row r="2657" spans="1:16" x14ac:dyDescent="0.25">
      <c r="A2657" s="10">
        <v>41540</v>
      </c>
      <c r="B2657">
        <v>-3305.3975827798708</v>
      </c>
      <c r="C2657">
        <v>-715.33500000000004</v>
      </c>
      <c r="D2657">
        <v>3000</v>
      </c>
      <c r="E2657">
        <v>-4000</v>
      </c>
      <c r="F2657">
        <v>0</v>
      </c>
      <c r="G2657">
        <v>320.1652761700002</v>
      </c>
      <c r="H2657">
        <v>-1959.72774265</v>
      </c>
      <c r="I2657">
        <v>0</v>
      </c>
      <c r="J2657">
        <v>0</v>
      </c>
      <c r="K2657">
        <v>6.6668044000000002</v>
      </c>
      <c r="L2657">
        <v>0</v>
      </c>
      <c r="M2657">
        <v>0</v>
      </c>
      <c r="N2657">
        <v>0</v>
      </c>
      <c r="O2657">
        <v>42.833079300128972</v>
      </c>
      <c r="P2657">
        <v>321927.26878811012</v>
      </c>
    </row>
    <row r="2658" spans="1:16" x14ac:dyDescent="0.25">
      <c r="A2658" s="10">
        <v>41541</v>
      </c>
      <c r="B2658">
        <v>-183.51513196021671</v>
      </c>
      <c r="C2658">
        <v>-464.589</v>
      </c>
      <c r="D2658">
        <v>0</v>
      </c>
      <c r="E2658">
        <v>0</v>
      </c>
      <c r="F2658">
        <v>0</v>
      </c>
      <c r="G2658">
        <v>-140.02090391999999</v>
      </c>
      <c r="H2658">
        <v>439.41263207000162</v>
      </c>
      <c r="I2658">
        <v>0</v>
      </c>
      <c r="J2658">
        <v>0</v>
      </c>
      <c r="K2658">
        <v>2.0715986200000001</v>
      </c>
      <c r="L2658">
        <v>0</v>
      </c>
      <c r="M2658">
        <v>0</v>
      </c>
      <c r="N2658">
        <v>0</v>
      </c>
      <c r="O2658">
        <v>-20.389458730218269</v>
      </c>
      <c r="P2658">
        <v>321743.75365614978</v>
      </c>
    </row>
    <row r="2659" spans="1:16" x14ac:dyDescent="0.25">
      <c r="A2659" s="10">
        <v>41542</v>
      </c>
      <c r="B2659">
        <v>1312.625078170212</v>
      </c>
      <c r="C2659">
        <v>-548.245</v>
      </c>
      <c r="D2659">
        <v>0</v>
      </c>
      <c r="E2659">
        <v>0</v>
      </c>
      <c r="F2659">
        <v>0</v>
      </c>
      <c r="G2659">
        <v>87.345639060000025</v>
      </c>
      <c r="H2659">
        <v>2550.8041239599952</v>
      </c>
      <c r="I2659">
        <v>0</v>
      </c>
      <c r="J2659">
        <v>2</v>
      </c>
      <c r="K2659">
        <v>4.7446723899999999</v>
      </c>
      <c r="L2659">
        <v>-761.7</v>
      </c>
      <c r="M2659">
        <v>0</v>
      </c>
      <c r="N2659">
        <v>0</v>
      </c>
      <c r="O2659">
        <v>-22.32435723978347</v>
      </c>
      <c r="P2659">
        <v>323056.37873431999</v>
      </c>
    </row>
    <row r="2660" spans="1:16" x14ac:dyDescent="0.25">
      <c r="A2660" s="10">
        <v>41543</v>
      </c>
      <c r="B2660">
        <v>1555.355255949891</v>
      </c>
      <c r="C2660">
        <v>-971.18399999999997</v>
      </c>
      <c r="D2660">
        <v>0</v>
      </c>
      <c r="E2660">
        <v>3950</v>
      </c>
      <c r="F2660">
        <v>0</v>
      </c>
      <c r="G2660">
        <v>5.9333849999983812E-2</v>
      </c>
      <c r="H2660">
        <v>-1502.117219349999</v>
      </c>
      <c r="I2660">
        <v>0</v>
      </c>
      <c r="J2660">
        <v>0</v>
      </c>
      <c r="K2660">
        <v>3.6523840999999999</v>
      </c>
      <c r="L2660">
        <v>0</v>
      </c>
      <c r="M2660">
        <v>0</v>
      </c>
      <c r="N2660">
        <v>0</v>
      </c>
      <c r="O2660">
        <v>74.944757349890097</v>
      </c>
      <c r="P2660">
        <v>324611.73399026989</v>
      </c>
    </row>
    <row r="2661" spans="1:16" x14ac:dyDescent="0.25">
      <c r="A2661" s="10">
        <v>41544</v>
      </c>
      <c r="B2661">
        <v>5248.6518249500105</v>
      </c>
      <c r="C2661">
        <v>-522.08280000000002</v>
      </c>
      <c r="D2661">
        <v>2000</v>
      </c>
      <c r="E2661">
        <v>0</v>
      </c>
      <c r="F2661">
        <v>6300</v>
      </c>
      <c r="G2661">
        <v>-1.9990904400003731</v>
      </c>
      <c r="H2661">
        <v>-2650.3247431100058</v>
      </c>
      <c r="I2661">
        <v>0</v>
      </c>
      <c r="J2661">
        <v>78.4699999999998</v>
      </c>
      <c r="K2661">
        <v>5.7085817199999989</v>
      </c>
      <c r="L2661">
        <v>0</v>
      </c>
      <c r="M2661">
        <v>0</v>
      </c>
      <c r="N2661">
        <v>0</v>
      </c>
      <c r="O2661">
        <v>38.87987678001609</v>
      </c>
      <c r="P2661">
        <v>329860.3858152199</v>
      </c>
    </row>
    <row r="2662" spans="1:16" x14ac:dyDescent="0.25">
      <c r="A2662" s="10">
        <v>41547</v>
      </c>
      <c r="B2662">
        <v>-2426.9411973200608</v>
      </c>
      <c r="C2662">
        <v>163.84899999999999</v>
      </c>
      <c r="D2662">
        <v>0</v>
      </c>
      <c r="E2662">
        <v>0</v>
      </c>
      <c r="F2662">
        <v>1000</v>
      </c>
      <c r="G2662">
        <v>-1076.02955926</v>
      </c>
      <c r="H2662">
        <v>-2481.9551999600039</v>
      </c>
      <c r="I2662">
        <v>0</v>
      </c>
      <c r="J2662">
        <v>0</v>
      </c>
      <c r="K2662">
        <v>10.86729444</v>
      </c>
      <c r="L2662">
        <v>0</v>
      </c>
      <c r="M2662">
        <v>0</v>
      </c>
      <c r="N2662">
        <v>0</v>
      </c>
      <c r="O2662">
        <v>-43.672732540056487</v>
      </c>
      <c r="P2662">
        <v>327433.44461789978</v>
      </c>
    </row>
    <row r="2663" spans="1:16" x14ac:dyDescent="0.25">
      <c r="A2663" s="10">
        <v>41548</v>
      </c>
      <c r="B2663">
        <v>10563.276459969989</v>
      </c>
      <c r="C2663">
        <v>-553.63400000000001</v>
      </c>
      <c r="D2663">
        <v>0</v>
      </c>
      <c r="E2663">
        <v>0</v>
      </c>
      <c r="F2663">
        <v>0</v>
      </c>
      <c r="G2663">
        <v>72.588280779999991</v>
      </c>
      <c r="H2663">
        <v>11062.08497163</v>
      </c>
      <c r="I2663">
        <v>0</v>
      </c>
      <c r="J2663">
        <v>0.85374847999992198</v>
      </c>
      <c r="K2663">
        <v>5.5464446700000014</v>
      </c>
      <c r="L2663">
        <v>0</v>
      </c>
      <c r="M2663">
        <v>0</v>
      </c>
      <c r="N2663">
        <v>0</v>
      </c>
      <c r="O2663">
        <v>-24.162985590013339</v>
      </c>
      <c r="P2663">
        <v>337996.72107786982</v>
      </c>
    </row>
    <row r="2664" spans="1:16" x14ac:dyDescent="0.25">
      <c r="A2664" s="10">
        <v>41549</v>
      </c>
      <c r="B2664">
        <v>655.78285315021583</v>
      </c>
      <c r="C2664">
        <v>-534.505</v>
      </c>
      <c r="D2664">
        <v>0</v>
      </c>
      <c r="E2664">
        <v>0</v>
      </c>
      <c r="F2664">
        <v>0</v>
      </c>
      <c r="G2664">
        <v>-58.571984659999998</v>
      </c>
      <c r="H2664">
        <v>-183.7832896000036</v>
      </c>
      <c r="I2664">
        <v>0</v>
      </c>
      <c r="J2664">
        <v>0</v>
      </c>
      <c r="K2664">
        <v>3.0019412299999999</v>
      </c>
      <c r="L2664">
        <v>1414.8</v>
      </c>
      <c r="M2664">
        <v>0</v>
      </c>
      <c r="N2664">
        <v>0</v>
      </c>
      <c r="O2664">
        <v>14.84118618021923</v>
      </c>
      <c r="P2664">
        <v>338652.50393101998</v>
      </c>
    </row>
    <row r="2665" spans="1:16" x14ac:dyDescent="0.25">
      <c r="A2665" s="10">
        <v>41550</v>
      </c>
      <c r="B2665">
        <v>326.65349233004918</v>
      </c>
      <c r="C2665">
        <v>-374.61750000000001</v>
      </c>
      <c r="D2665">
        <v>0</v>
      </c>
      <c r="E2665">
        <v>0</v>
      </c>
      <c r="F2665">
        <v>0</v>
      </c>
      <c r="G2665">
        <v>22.100196159999999</v>
      </c>
      <c r="H2665">
        <v>782.02065244999903</v>
      </c>
      <c r="I2665">
        <v>0</v>
      </c>
      <c r="J2665">
        <v>5</v>
      </c>
      <c r="K2665">
        <v>2.4653788800001259</v>
      </c>
      <c r="L2665">
        <v>0</v>
      </c>
      <c r="M2665">
        <v>0</v>
      </c>
      <c r="N2665">
        <v>0</v>
      </c>
      <c r="O2665">
        <v>-110.31523515994991</v>
      </c>
      <c r="P2665">
        <v>338979.15742335009</v>
      </c>
    </row>
    <row r="2666" spans="1:16" x14ac:dyDescent="0.25">
      <c r="A2666" s="10">
        <v>41551</v>
      </c>
      <c r="B2666">
        <v>1798.6686208395979</v>
      </c>
      <c r="C2666">
        <v>-529.11500000000001</v>
      </c>
      <c r="D2666">
        <v>3000</v>
      </c>
      <c r="E2666">
        <v>0</v>
      </c>
      <c r="F2666">
        <v>0</v>
      </c>
      <c r="G2666">
        <v>-280.00544056999928</v>
      </c>
      <c r="H2666">
        <v>-334.96441302000312</v>
      </c>
      <c r="I2666">
        <v>0</v>
      </c>
      <c r="J2666">
        <v>0</v>
      </c>
      <c r="K2666">
        <v>2.557962949999999</v>
      </c>
      <c r="L2666">
        <v>0</v>
      </c>
      <c r="M2666">
        <v>0</v>
      </c>
      <c r="N2666">
        <v>0</v>
      </c>
      <c r="O2666">
        <v>-59.804488520399538</v>
      </c>
      <c r="P2666">
        <v>340777.82604418969</v>
      </c>
    </row>
    <row r="2667" spans="1:16" x14ac:dyDescent="0.25">
      <c r="A2667" s="10">
        <v>41554</v>
      </c>
      <c r="B2667">
        <v>76.35538295045346</v>
      </c>
      <c r="C2667">
        <v>-221.684</v>
      </c>
      <c r="D2667">
        <v>0</v>
      </c>
      <c r="E2667">
        <v>0</v>
      </c>
      <c r="F2667">
        <v>0</v>
      </c>
      <c r="G2667">
        <v>-27.682233700000019</v>
      </c>
      <c r="H2667">
        <v>270.59228146000169</v>
      </c>
      <c r="I2667">
        <v>0</v>
      </c>
      <c r="J2667">
        <v>0</v>
      </c>
      <c r="K2667">
        <v>3.2795739199999998</v>
      </c>
      <c r="L2667">
        <v>0</v>
      </c>
      <c r="M2667">
        <v>0</v>
      </c>
      <c r="N2667">
        <v>0</v>
      </c>
      <c r="O2667">
        <v>51.849761270451779</v>
      </c>
      <c r="P2667">
        <v>340854.18142714008</v>
      </c>
    </row>
    <row r="2668" spans="1:16" x14ac:dyDescent="0.25">
      <c r="A2668" s="10">
        <v>41555</v>
      </c>
      <c r="B2668">
        <v>356.34067289001581</v>
      </c>
      <c r="C2668">
        <v>-125.26949999999999</v>
      </c>
      <c r="D2668">
        <v>0</v>
      </c>
      <c r="E2668">
        <v>0</v>
      </c>
      <c r="F2668">
        <v>0</v>
      </c>
      <c r="G2668">
        <v>92.457088089999985</v>
      </c>
      <c r="H2668">
        <v>561.40943995999987</v>
      </c>
      <c r="I2668">
        <v>0</v>
      </c>
      <c r="J2668">
        <v>-109.5</v>
      </c>
      <c r="K2668">
        <v>1.1185385900001821</v>
      </c>
      <c r="L2668">
        <v>0</v>
      </c>
      <c r="M2668">
        <v>0</v>
      </c>
      <c r="N2668">
        <v>0</v>
      </c>
      <c r="O2668">
        <v>-63.874893749984267</v>
      </c>
      <c r="P2668">
        <v>341210.52210003021</v>
      </c>
    </row>
    <row r="2669" spans="1:16" x14ac:dyDescent="0.25">
      <c r="A2669" s="10">
        <v>41556</v>
      </c>
      <c r="B2669">
        <v>-1735.351217550284</v>
      </c>
      <c r="C2669">
        <v>-140.13800000000001</v>
      </c>
      <c r="D2669">
        <v>0</v>
      </c>
      <c r="E2669">
        <v>0</v>
      </c>
      <c r="F2669">
        <v>0</v>
      </c>
      <c r="G2669">
        <v>-50.852903549999994</v>
      </c>
      <c r="H2669">
        <v>64.146912430000157</v>
      </c>
      <c r="I2669">
        <v>0</v>
      </c>
      <c r="J2669">
        <v>5.5999999999999091</v>
      </c>
      <c r="K2669">
        <v>1.71630032</v>
      </c>
      <c r="L2669">
        <v>-1559</v>
      </c>
      <c r="M2669">
        <v>0</v>
      </c>
      <c r="N2669">
        <v>0</v>
      </c>
      <c r="O2669">
        <v>-56.823526750283648</v>
      </c>
      <c r="P2669">
        <v>339475.17088247993</v>
      </c>
    </row>
    <row r="2670" spans="1:16" x14ac:dyDescent="0.25">
      <c r="A2670" s="10">
        <v>41557</v>
      </c>
      <c r="B2670">
        <v>1239.0966522798401</v>
      </c>
      <c r="C2670">
        <v>-544.72599999999989</v>
      </c>
      <c r="D2670">
        <v>2000</v>
      </c>
      <c r="E2670">
        <v>0</v>
      </c>
      <c r="F2670">
        <v>0</v>
      </c>
      <c r="G2670">
        <v>-236.37628881000001</v>
      </c>
      <c r="H2670">
        <v>37.236110890000418</v>
      </c>
      <c r="I2670">
        <v>0</v>
      </c>
      <c r="J2670">
        <v>0.2260879999998906</v>
      </c>
      <c r="K2670">
        <v>2.487050850000001</v>
      </c>
      <c r="L2670">
        <v>0</v>
      </c>
      <c r="M2670">
        <v>0</v>
      </c>
      <c r="N2670">
        <v>0</v>
      </c>
      <c r="O2670">
        <v>-19.750308650160651</v>
      </c>
      <c r="P2670">
        <v>340714.26753475971</v>
      </c>
    </row>
    <row r="2671" spans="1:16" x14ac:dyDescent="0.25">
      <c r="A2671" s="10">
        <v>41558</v>
      </c>
      <c r="B2671">
        <v>-2772.8828316497379</v>
      </c>
      <c r="C2671">
        <v>-1150.6921</v>
      </c>
      <c r="D2671">
        <v>0</v>
      </c>
      <c r="E2671">
        <v>-1000</v>
      </c>
      <c r="F2671">
        <v>0</v>
      </c>
      <c r="G2671">
        <v>-6.424588990000025</v>
      </c>
      <c r="H2671">
        <v>-583.20791587000167</v>
      </c>
      <c r="I2671">
        <v>0</v>
      </c>
      <c r="J2671">
        <v>25.5</v>
      </c>
      <c r="K2671">
        <v>2.3546313099999989</v>
      </c>
      <c r="L2671">
        <v>0</v>
      </c>
      <c r="M2671">
        <v>0</v>
      </c>
      <c r="N2671">
        <v>0</v>
      </c>
      <c r="O2671">
        <v>-60.412858099736241</v>
      </c>
      <c r="P2671">
        <v>337941.38470310997</v>
      </c>
    </row>
    <row r="2672" spans="1:16" x14ac:dyDescent="0.25">
      <c r="A2672" s="10">
        <v>41562</v>
      </c>
      <c r="B2672">
        <v>-560.75987757020687</v>
      </c>
      <c r="C2672">
        <v>-338.65100000000001</v>
      </c>
      <c r="D2672">
        <v>0</v>
      </c>
      <c r="E2672">
        <v>-600</v>
      </c>
      <c r="F2672">
        <v>0</v>
      </c>
      <c r="G2672">
        <v>-279.23207934999988</v>
      </c>
      <c r="H2672">
        <v>691.46547812000063</v>
      </c>
      <c r="I2672">
        <v>0</v>
      </c>
      <c r="J2672">
        <v>0</v>
      </c>
      <c r="K2672">
        <v>5.4974732599999996</v>
      </c>
      <c r="L2672">
        <v>0</v>
      </c>
      <c r="M2672">
        <v>0</v>
      </c>
      <c r="N2672">
        <v>0</v>
      </c>
      <c r="O2672">
        <v>-39.839749600207639</v>
      </c>
      <c r="P2672">
        <v>337380.62482553982</v>
      </c>
    </row>
    <row r="2673" spans="1:16" x14ac:dyDescent="0.25">
      <c r="A2673" s="10">
        <v>41563</v>
      </c>
      <c r="B2673">
        <v>-1216.2158430996931</v>
      </c>
      <c r="C2673">
        <v>-659.44590000000005</v>
      </c>
      <c r="D2673">
        <v>0</v>
      </c>
      <c r="E2673">
        <v>0</v>
      </c>
      <c r="F2673">
        <v>0</v>
      </c>
      <c r="G2673">
        <v>-68.454900179999981</v>
      </c>
      <c r="H2673">
        <v>-1206.9717583700001</v>
      </c>
      <c r="I2673">
        <v>0</v>
      </c>
      <c r="J2673">
        <v>0</v>
      </c>
      <c r="K2673">
        <v>1.63017934</v>
      </c>
      <c r="L2673">
        <v>765</v>
      </c>
      <c r="M2673">
        <v>0</v>
      </c>
      <c r="N2673">
        <v>0</v>
      </c>
      <c r="O2673">
        <v>-47.973463889692773</v>
      </c>
      <c r="P2673">
        <v>336164.40898244007</v>
      </c>
    </row>
    <row r="2674" spans="1:16" x14ac:dyDescent="0.25">
      <c r="A2674" s="10">
        <v>41564</v>
      </c>
      <c r="B2674">
        <v>-279.3571878802037</v>
      </c>
      <c r="C2674">
        <v>-730.875</v>
      </c>
      <c r="D2674">
        <v>0</v>
      </c>
      <c r="E2674">
        <v>1600</v>
      </c>
      <c r="F2674">
        <v>0</v>
      </c>
      <c r="G2674">
        <v>41.384286500000137</v>
      </c>
      <c r="H2674">
        <v>-1192.5720437</v>
      </c>
      <c r="I2674">
        <v>0</v>
      </c>
      <c r="J2674">
        <v>0</v>
      </c>
      <c r="K2674">
        <v>2.50642757</v>
      </c>
      <c r="L2674">
        <v>0</v>
      </c>
      <c r="M2674">
        <v>0</v>
      </c>
      <c r="N2674">
        <v>0</v>
      </c>
      <c r="O2674">
        <v>0.19914174979610519</v>
      </c>
      <c r="P2674">
        <v>335885.05179455993</v>
      </c>
    </row>
    <row r="2675" spans="1:16" x14ac:dyDescent="0.25">
      <c r="A2675" s="10">
        <v>41565</v>
      </c>
      <c r="B2675">
        <v>-638.3325843499631</v>
      </c>
      <c r="C2675">
        <v>-543.17864000000009</v>
      </c>
      <c r="D2675">
        <v>0</v>
      </c>
      <c r="E2675">
        <v>0</v>
      </c>
      <c r="F2675">
        <v>0</v>
      </c>
      <c r="G2675">
        <v>82.047860459999981</v>
      </c>
      <c r="H2675">
        <v>-249.30675345000051</v>
      </c>
      <c r="I2675">
        <v>0</v>
      </c>
      <c r="J2675">
        <v>9.4000000000000909</v>
      </c>
      <c r="K2675">
        <v>2.7019239699999988</v>
      </c>
      <c r="L2675">
        <v>0</v>
      </c>
      <c r="M2675">
        <v>0</v>
      </c>
      <c r="N2675">
        <v>0</v>
      </c>
      <c r="O2675">
        <v>60.003024670037327</v>
      </c>
      <c r="P2675">
        <v>335246.71921021002</v>
      </c>
    </row>
    <row r="2676" spans="1:16" x14ac:dyDescent="0.25">
      <c r="A2676" s="10">
        <v>41568</v>
      </c>
      <c r="B2676">
        <v>-3265.5867572199199</v>
      </c>
      <c r="C2676">
        <v>-717.87650000000008</v>
      </c>
      <c r="D2676">
        <v>0</v>
      </c>
      <c r="E2676">
        <v>0</v>
      </c>
      <c r="F2676">
        <v>0</v>
      </c>
      <c r="G2676">
        <v>-333.44231086999997</v>
      </c>
      <c r="H2676">
        <v>-2217.686172969999</v>
      </c>
      <c r="I2676">
        <v>0</v>
      </c>
      <c r="J2676">
        <v>16</v>
      </c>
      <c r="K2676">
        <v>2.3264365699999998</v>
      </c>
      <c r="L2676">
        <v>0</v>
      </c>
      <c r="M2676">
        <v>0</v>
      </c>
      <c r="N2676">
        <v>0</v>
      </c>
      <c r="O2676">
        <v>-14.90820994992073</v>
      </c>
      <c r="P2676">
        <v>331981.13245298999</v>
      </c>
    </row>
    <row r="2677" spans="1:16" x14ac:dyDescent="0.25">
      <c r="A2677" s="10">
        <v>41569</v>
      </c>
      <c r="B2677">
        <v>502.92561791004778</v>
      </c>
      <c r="C2677">
        <v>-450.30484000000013</v>
      </c>
      <c r="D2677">
        <v>0</v>
      </c>
      <c r="E2677">
        <v>0</v>
      </c>
      <c r="F2677">
        <v>0</v>
      </c>
      <c r="G2677">
        <v>-124.75078268999999</v>
      </c>
      <c r="H2677">
        <v>1294.01766696</v>
      </c>
      <c r="I2677">
        <v>0</v>
      </c>
      <c r="J2677">
        <v>5.3589799999999741</v>
      </c>
      <c r="K2677">
        <v>3.6866444</v>
      </c>
      <c r="L2677">
        <v>0</v>
      </c>
      <c r="M2677">
        <v>0</v>
      </c>
      <c r="N2677">
        <v>0</v>
      </c>
      <c r="O2677">
        <v>-225.08205075995261</v>
      </c>
      <c r="P2677">
        <v>332484.05807089998</v>
      </c>
    </row>
    <row r="2678" spans="1:16" x14ac:dyDescent="0.25">
      <c r="A2678" s="10">
        <v>41570</v>
      </c>
      <c r="B2678">
        <v>1012.11490655993</v>
      </c>
      <c r="C2678">
        <v>-574.61300000000006</v>
      </c>
      <c r="D2678">
        <v>0</v>
      </c>
      <c r="E2678">
        <v>0</v>
      </c>
      <c r="F2678">
        <v>0</v>
      </c>
      <c r="G2678">
        <v>513.89634862999992</v>
      </c>
      <c r="H2678">
        <v>1615.4973992499979</v>
      </c>
      <c r="I2678">
        <v>0</v>
      </c>
      <c r="J2678">
        <v>0</v>
      </c>
      <c r="K2678">
        <v>3.7829724499999999</v>
      </c>
      <c r="L2678">
        <v>-453.1</v>
      </c>
      <c r="M2678">
        <v>0</v>
      </c>
      <c r="N2678">
        <v>0</v>
      </c>
      <c r="O2678">
        <v>-93.348813770067679</v>
      </c>
      <c r="P2678">
        <v>333496.17297746002</v>
      </c>
    </row>
    <row r="2679" spans="1:16" x14ac:dyDescent="0.25">
      <c r="A2679" s="10">
        <v>41571</v>
      </c>
      <c r="B2679">
        <v>3606.1637986697601</v>
      </c>
      <c r="C2679">
        <v>-207.97470000000001</v>
      </c>
      <c r="D2679">
        <v>2730.4</v>
      </c>
      <c r="E2679">
        <v>0</v>
      </c>
      <c r="F2679">
        <v>0</v>
      </c>
      <c r="G2679">
        <v>871.33615086999998</v>
      </c>
      <c r="H2679">
        <v>235.7931113199993</v>
      </c>
      <c r="I2679">
        <v>0</v>
      </c>
      <c r="J2679">
        <v>13.148999999999891</v>
      </c>
      <c r="K2679">
        <v>2.4739098799999999</v>
      </c>
      <c r="L2679">
        <v>0</v>
      </c>
      <c r="M2679">
        <v>0</v>
      </c>
      <c r="N2679">
        <v>0</v>
      </c>
      <c r="O2679">
        <v>-39.013673400239632</v>
      </c>
      <c r="P2679">
        <v>337102.33677612973</v>
      </c>
    </row>
    <row r="2680" spans="1:16" x14ac:dyDescent="0.25">
      <c r="A2680" s="10">
        <v>41572</v>
      </c>
      <c r="B2680">
        <v>-7301.3928784797326</v>
      </c>
      <c r="C2680">
        <v>-319.81</v>
      </c>
      <c r="D2680">
        <v>0</v>
      </c>
      <c r="E2680">
        <v>-5980</v>
      </c>
      <c r="F2680">
        <v>6000</v>
      </c>
      <c r="G2680">
        <v>-6586.4252322599996</v>
      </c>
      <c r="H2680">
        <v>-498.88421182999991</v>
      </c>
      <c r="I2680">
        <v>0</v>
      </c>
      <c r="J2680">
        <v>26.72949999999992</v>
      </c>
      <c r="K2680">
        <v>2.7168195099999992</v>
      </c>
      <c r="L2680">
        <v>0</v>
      </c>
      <c r="M2680">
        <v>0</v>
      </c>
      <c r="N2680">
        <v>0</v>
      </c>
      <c r="O2680">
        <v>54.280246100267497</v>
      </c>
      <c r="P2680">
        <v>329800.94389765</v>
      </c>
    </row>
    <row r="2681" spans="1:16" x14ac:dyDescent="0.25">
      <c r="A2681" s="10">
        <v>41575</v>
      </c>
      <c r="B2681">
        <v>-5034.6431224498656</v>
      </c>
      <c r="C2681">
        <v>-1606.9271000000001</v>
      </c>
      <c r="D2681">
        <v>0</v>
      </c>
      <c r="E2681">
        <v>0</v>
      </c>
      <c r="F2681">
        <v>0</v>
      </c>
      <c r="G2681">
        <v>301.66283542000002</v>
      </c>
      <c r="H2681">
        <v>-3809.6433725800021</v>
      </c>
      <c r="I2681">
        <v>0</v>
      </c>
      <c r="J2681">
        <v>0</v>
      </c>
      <c r="K2681">
        <v>4.7674144900000002</v>
      </c>
      <c r="L2681">
        <v>93.4</v>
      </c>
      <c r="M2681">
        <v>0</v>
      </c>
      <c r="N2681">
        <v>0</v>
      </c>
      <c r="O2681">
        <v>-17.90289977986286</v>
      </c>
      <c r="P2681">
        <v>324766.30077520019</v>
      </c>
    </row>
    <row r="2682" spans="1:16" x14ac:dyDescent="0.25">
      <c r="A2682" s="10">
        <v>41576</v>
      </c>
      <c r="B2682">
        <v>-5056.1135164002171</v>
      </c>
      <c r="C2682">
        <v>-1016.5769</v>
      </c>
      <c r="D2682">
        <v>0</v>
      </c>
      <c r="E2682">
        <v>0</v>
      </c>
      <c r="F2682">
        <v>0</v>
      </c>
      <c r="G2682">
        <v>29.792035779999971</v>
      </c>
      <c r="H2682">
        <v>-3964.3666282500021</v>
      </c>
      <c r="I2682">
        <v>0</v>
      </c>
      <c r="J2682">
        <v>39.522149999999783</v>
      </c>
      <c r="K2682">
        <v>2.85251074</v>
      </c>
      <c r="L2682">
        <v>0</v>
      </c>
      <c r="M2682">
        <v>0</v>
      </c>
      <c r="N2682">
        <v>0</v>
      </c>
      <c r="O2682">
        <v>-147.33668467021511</v>
      </c>
      <c r="P2682">
        <v>319710.18725879991</v>
      </c>
    </row>
    <row r="2683" spans="1:16" x14ac:dyDescent="0.25">
      <c r="A2683" s="10">
        <v>41577</v>
      </c>
      <c r="B2683">
        <v>4810.9787418100777</v>
      </c>
      <c r="C2683">
        <v>-817.49684999999999</v>
      </c>
      <c r="D2683">
        <v>0</v>
      </c>
      <c r="E2683">
        <v>0</v>
      </c>
      <c r="F2683">
        <v>0</v>
      </c>
      <c r="G2683">
        <v>5988.4555227000001</v>
      </c>
      <c r="H2683">
        <v>-1348.0873213900011</v>
      </c>
      <c r="I2683">
        <v>0</v>
      </c>
      <c r="J2683">
        <v>25.5</v>
      </c>
      <c r="K2683">
        <v>4.3719568500000001</v>
      </c>
      <c r="L2683">
        <v>926.5</v>
      </c>
      <c r="M2683">
        <v>0</v>
      </c>
      <c r="N2683">
        <v>0</v>
      </c>
      <c r="O2683">
        <v>31.73543365007826</v>
      </c>
      <c r="P2683">
        <v>324521.16600060998</v>
      </c>
    </row>
    <row r="2684" spans="1:16" x14ac:dyDescent="0.25">
      <c r="A2684" s="10">
        <v>41578</v>
      </c>
      <c r="B2684">
        <v>2282.3050673300741</v>
      </c>
      <c r="C2684">
        <v>49.19852000000003</v>
      </c>
      <c r="D2684">
        <v>0</v>
      </c>
      <c r="E2684">
        <v>6030</v>
      </c>
      <c r="F2684">
        <v>0</v>
      </c>
      <c r="G2684">
        <v>-11.639289890000359</v>
      </c>
      <c r="H2684">
        <v>-3823.201915279999</v>
      </c>
      <c r="I2684">
        <v>0</v>
      </c>
      <c r="J2684">
        <v>0</v>
      </c>
      <c r="K2684">
        <v>4.5087467400000012</v>
      </c>
      <c r="L2684">
        <v>0</v>
      </c>
      <c r="M2684">
        <v>0</v>
      </c>
      <c r="N2684">
        <v>0</v>
      </c>
      <c r="O2684">
        <v>33.439005760072988</v>
      </c>
      <c r="P2684">
        <v>326803.47106794012</v>
      </c>
    </row>
    <row r="2685" spans="1:16" x14ac:dyDescent="0.25">
      <c r="A2685" s="10">
        <v>41579</v>
      </c>
      <c r="B2685">
        <v>15328.65994080971</v>
      </c>
      <c r="C2685">
        <v>-46.74799999999999</v>
      </c>
      <c r="D2685">
        <v>0</v>
      </c>
      <c r="E2685">
        <v>0</v>
      </c>
      <c r="F2685">
        <v>0</v>
      </c>
      <c r="G2685">
        <v>-125.39488144000001</v>
      </c>
      <c r="H2685">
        <v>15484.51287343</v>
      </c>
      <c r="I2685">
        <v>0</v>
      </c>
      <c r="J2685">
        <v>0.57218400000010661</v>
      </c>
      <c r="K2685">
        <v>6.1257146799999971</v>
      </c>
      <c r="L2685">
        <v>0</v>
      </c>
      <c r="M2685">
        <v>0</v>
      </c>
      <c r="N2685">
        <v>0</v>
      </c>
      <c r="O2685">
        <v>9.59205013970859</v>
      </c>
      <c r="P2685">
        <v>342132.13100874983</v>
      </c>
    </row>
    <row r="2686" spans="1:16" x14ac:dyDescent="0.25">
      <c r="A2686" s="10">
        <v>41582</v>
      </c>
      <c r="B2686">
        <v>-1629.155947689957</v>
      </c>
      <c r="C2686">
        <v>-504.79986300000007</v>
      </c>
      <c r="D2686">
        <v>0</v>
      </c>
      <c r="E2686">
        <v>-1000</v>
      </c>
      <c r="F2686">
        <v>0</v>
      </c>
      <c r="G2686">
        <v>-21.174192879999989</v>
      </c>
      <c r="H2686">
        <v>-37.741341439999808</v>
      </c>
      <c r="I2686">
        <v>0</v>
      </c>
      <c r="J2686">
        <v>0</v>
      </c>
      <c r="K2686">
        <v>3.7825992100000012</v>
      </c>
      <c r="L2686">
        <v>0</v>
      </c>
      <c r="M2686">
        <v>0</v>
      </c>
      <c r="N2686">
        <v>0</v>
      </c>
      <c r="O2686">
        <v>-69.223149579957223</v>
      </c>
      <c r="P2686">
        <v>340502.97506105981</v>
      </c>
    </row>
    <row r="2687" spans="1:16" x14ac:dyDescent="0.25">
      <c r="A2687" s="10">
        <v>41583</v>
      </c>
      <c r="B2687">
        <v>2118.086336189996</v>
      </c>
      <c r="C2687">
        <v>-748.07600000000002</v>
      </c>
      <c r="D2687">
        <v>2940.5</v>
      </c>
      <c r="E2687">
        <v>0</v>
      </c>
      <c r="F2687">
        <v>0</v>
      </c>
      <c r="G2687">
        <v>-375.17195042999992</v>
      </c>
      <c r="H2687">
        <v>73.523189779998575</v>
      </c>
      <c r="I2687">
        <v>0</v>
      </c>
      <c r="J2687">
        <v>0</v>
      </c>
      <c r="K2687">
        <v>1.3416063499999999</v>
      </c>
      <c r="L2687">
        <v>0</v>
      </c>
      <c r="M2687">
        <v>0</v>
      </c>
      <c r="N2687">
        <v>0</v>
      </c>
      <c r="O2687">
        <v>225.96949048999801</v>
      </c>
      <c r="P2687">
        <v>342621.06139724993</v>
      </c>
    </row>
    <row r="2688" spans="1:16" x14ac:dyDescent="0.25">
      <c r="A2688" s="10">
        <v>41585</v>
      </c>
      <c r="B2688">
        <v>586.69462890998796</v>
      </c>
      <c r="C2688">
        <v>42.286000000000001</v>
      </c>
      <c r="D2688">
        <v>0</v>
      </c>
      <c r="E2688">
        <v>950</v>
      </c>
      <c r="F2688">
        <v>0</v>
      </c>
      <c r="G2688">
        <v>421.96032489999988</v>
      </c>
      <c r="H2688">
        <v>-241.785231920001</v>
      </c>
      <c r="I2688">
        <v>0</v>
      </c>
      <c r="J2688">
        <v>11.80000000000018</v>
      </c>
      <c r="K2688">
        <v>2.17567347</v>
      </c>
      <c r="L2688">
        <v>-491.2</v>
      </c>
      <c r="M2688">
        <v>0</v>
      </c>
      <c r="N2688">
        <v>0</v>
      </c>
      <c r="O2688">
        <v>-108.5421375400112</v>
      </c>
      <c r="P2688">
        <v>343207.75602615968</v>
      </c>
    </row>
    <row r="2689" spans="1:16" x14ac:dyDescent="0.25">
      <c r="A2689" s="10">
        <v>41586</v>
      </c>
      <c r="B2689">
        <v>-1730.95929836965</v>
      </c>
      <c r="C2689">
        <v>-216.98099999999999</v>
      </c>
      <c r="D2689">
        <v>1500</v>
      </c>
      <c r="E2689">
        <v>-2850</v>
      </c>
      <c r="F2689">
        <v>0</v>
      </c>
      <c r="G2689">
        <v>-85.358083240000042</v>
      </c>
      <c r="H2689">
        <v>-123.9641814299994</v>
      </c>
      <c r="I2689">
        <v>0</v>
      </c>
      <c r="J2689">
        <v>0.46999999999979991</v>
      </c>
      <c r="K2689">
        <v>2.3843168399999999</v>
      </c>
      <c r="L2689">
        <v>0</v>
      </c>
      <c r="M2689">
        <v>0</v>
      </c>
      <c r="N2689">
        <v>0</v>
      </c>
      <c r="O2689">
        <v>42.48964946034998</v>
      </c>
      <c r="P2689">
        <v>341476.79672779009</v>
      </c>
    </row>
    <row r="2690" spans="1:16" x14ac:dyDescent="0.25">
      <c r="A2690" s="10">
        <v>41589</v>
      </c>
      <c r="B2690">
        <v>-1037.9040782603549</v>
      </c>
      <c r="C2690">
        <v>0</v>
      </c>
      <c r="D2690">
        <v>0</v>
      </c>
      <c r="E2690">
        <v>0</v>
      </c>
      <c r="F2690">
        <v>0</v>
      </c>
      <c r="G2690">
        <v>-271.60692704000002</v>
      </c>
      <c r="H2690">
        <v>-711.03399959000126</v>
      </c>
      <c r="I2690">
        <v>0</v>
      </c>
      <c r="J2690">
        <v>-83.699999999999818</v>
      </c>
      <c r="K2690">
        <v>-32.246265289999819</v>
      </c>
      <c r="L2690">
        <v>0</v>
      </c>
      <c r="M2690">
        <v>0</v>
      </c>
      <c r="N2690">
        <v>0</v>
      </c>
      <c r="O2690">
        <v>60.683113659646423</v>
      </c>
      <c r="P2690">
        <v>340438.89264952991</v>
      </c>
    </row>
    <row r="2691" spans="1:16" x14ac:dyDescent="0.25">
      <c r="A2691" s="10">
        <v>41590</v>
      </c>
      <c r="B2691">
        <v>-2034.1604527599991</v>
      </c>
      <c r="C2691">
        <v>-1666.6220000000001</v>
      </c>
      <c r="D2691">
        <v>0</v>
      </c>
      <c r="E2691">
        <v>0</v>
      </c>
      <c r="F2691">
        <v>0</v>
      </c>
      <c r="G2691">
        <v>-213.95172389000001</v>
      </c>
      <c r="H2691">
        <v>28.759668529999541</v>
      </c>
      <c r="I2691">
        <v>0</v>
      </c>
      <c r="J2691">
        <v>11.80000000000018</v>
      </c>
      <c r="K2691">
        <v>2.12510032</v>
      </c>
      <c r="L2691">
        <v>0</v>
      </c>
      <c r="M2691">
        <v>0</v>
      </c>
      <c r="N2691">
        <v>0</v>
      </c>
      <c r="O2691">
        <v>-196.27149771999839</v>
      </c>
      <c r="P2691">
        <v>338404.73219676979</v>
      </c>
    </row>
    <row r="2692" spans="1:16" x14ac:dyDescent="0.25">
      <c r="A2692" s="10">
        <v>41591</v>
      </c>
      <c r="B2692">
        <v>275.93965839000788</v>
      </c>
      <c r="C2692">
        <v>-735.20100000000002</v>
      </c>
      <c r="D2692">
        <v>0</v>
      </c>
      <c r="E2692">
        <v>0</v>
      </c>
      <c r="F2692">
        <v>0</v>
      </c>
      <c r="G2692">
        <v>-72.354288170000032</v>
      </c>
      <c r="H2692">
        <v>-779.30937631000052</v>
      </c>
      <c r="I2692">
        <v>0</v>
      </c>
      <c r="J2692">
        <v>0</v>
      </c>
      <c r="K2692">
        <v>0.84496398999999967</v>
      </c>
      <c r="L2692">
        <v>1900.2</v>
      </c>
      <c r="M2692">
        <v>0</v>
      </c>
      <c r="N2692">
        <v>0</v>
      </c>
      <c r="O2692">
        <v>-38.240641119991551</v>
      </c>
      <c r="P2692">
        <v>338680.6718551598</v>
      </c>
    </row>
    <row r="2693" spans="1:16" x14ac:dyDescent="0.25">
      <c r="A2693" s="10">
        <v>41592</v>
      </c>
      <c r="B2693">
        <v>1786.228966360213</v>
      </c>
      <c r="C2693">
        <v>-273.87259999999998</v>
      </c>
      <c r="D2693">
        <v>0</v>
      </c>
      <c r="E2693">
        <v>2900</v>
      </c>
      <c r="F2693">
        <v>0</v>
      </c>
      <c r="G2693">
        <v>-102.42922668999979</v>
      </c>
      <c r="H2693">
        <v>-718.64042933000201</v>
      </c>
      <c r="I2693">
        <v>0</v>
      </c>
      <c r="J2693">
        <v>0</v>
      </c>
      <c r="K2693">
        <v>2.1537009500000002</v>
      </c>
      <c r="L2693">
        <v>0</v>
      </c>
      <c r="M2693">
        <v>0</v>
      </c>
      <c r="N2693">
        <v>0</v>
      </c>
      <c r="O2693">
        <v>-20.982478569785641</v>
      </c>
      <c r="P2693">
        <v>340466.90082152002</v>
      </c>
    </row>
    <row r="2694" spans="1:16" x14ac:dyDescent="0.25">
      <c r="A2694" s="10">
        <v>41593</v>
      </c>
      <c r="B2694">
        <v>-1989.7864455099909</v>
      </c>
      <c r="C2694">
        <v>-884.24279999999999</v>
      </c>
      <c r="D2694">
        <v>0</v>
      </c>
      <c r="E2694">
        <v>-1600</v>
      </c>
      <c r="F2694">
        <v>0</v>
      </c>
      <c r="G2694">
        <v>-40.704153039999973</v>
      </c>
      <c r="H2694">
        <v>485.8601164799984</v>
      </c>
      <c r="I2694">
        <v>0</v>
      </c>
      <c r="J2694">
        <v>0</v>
      </c>
      <c r="K2694">
        <v>2.6608525900000002</v>
      </c>
      <c r="L2694">
        <v>0</v>
      </c>
      <c r="M2694">
        <v>0</v>
      </c>
      <c r="N2694">
        <v>0</v>
      </c>
      <c r="O2694">
        <v>46.639538460010947</v>
      </c>
      <c r="P2694">
        <v>338477.11437601002</v>
      </c>
    </row>
    <row r="2695" spans="1:16" x14ac:dyDescent="0.25">
      <c r="A2695" s="10">
        <v>41596</v>
      </c>
      <c r="B2695">
        <v>-451.55195179011292</v>
      </c>
      <c r="C2695">
        <v>-1077.346</v>
      </c>
      <c r="D2695">
        <v>3500</v>
      </c>
      <c r="E2695">
        <v>0</v>
      </c>
      <c r="F2695">
        <v>0</v>
      </c>
      <c r="G2695">
        <v>6.919196379999903</v>
      </c>
      <c r="H2695">
        <v>-2868.204798570001</v>
      </c>
      <c r="I2695">
        <v>0</v>
      </c>
      <c r="J2695">
        <v>0</v>
      </c>
      <c r="K2695">
        <v>4.1501221799999994</v>
      </c>
      <c r="L2695">
        <v>0</v>
      </c>
      <c r="M2695">
        <v>0</v>
      </c>
      <c r="N2695">
        <v>0</v>
      </c>
      <c r="O2695">
        <v>-17.070471780111809</v>
      </c>
      <c r="P2695">
        <v>338025.56242421991</v>
      </c>
    </row>
    <row r="2696" spans="1:16" x14ac:dyDescent="0.25">
      <c r="A2696" s="10">
        <v>41597</v>
      </c>
      <c r="B2696">
        <v>-2796.171646640054</v>
      </c>
      <c r="C2696">
        <v>-858.64400000000001</v>
      </c>
      <c r="D2696">
        <v>0</v>
      </c>
      <c r="E2696">
        <v>0</v>
      </c>
      <c r="F2696">
        <v>0</v>
      </c>
      <c r="G2696">
        <v>438.17111403000001</v>
      </c>
      <c r="H2696">
        <v>-2433.464830790002</v>
      </c>
      <c r="I2696">
        <v>0</v>
      </c>
      <c r="J2696">
        <v>0</v>
      </c>
      <c r="K2696">
        <v>2.728028849999999</v>
      </c>
      <c r="L2696">
        <v>0</v>
      </c>
      <c r="M2696">
        <v>0</v>
      </c>
      <c r="N2696">
        <v>0</v>
      </c>
      <c r="O2696">
        <v>55.038041269947733</v>
      </c>
      <c r="P2696">
        <v>335229.39077757992</v>
      </c>
    </row>
    <row r="2697" spans="1:16" x14ac:dyDescent="0.25">
      <c r="A2697" s="10">
        <v>41598</v>
      </c>
      <c r="B2697">
        <v>-709.47148831980246</v>
      </c>
      <c r="C2697">
        <v>-1082.0730000000001</v>
      </c>
      <c r="D2697">
        <v>0</v>
      </c>
      <c r="E2697">
        <v>0</v>
      </c>
      <c r="F2697">
        <v>0</v>
      </c>
      <c r="G2697">
        <v>-15.94837061</v>
      </c>
      <c r="H2697">
        <v>-1066.272964010001</v>
      </c>
      <c r="I2697">
        <v>0</v>
      </c>
      <c r="J2697">
        <v>0</v>
      </c>
      <c r="K2697">
        <v>3.2367891899999992</v>
      </c>
      <c r="L2697">
        <v>1360.3</v>
      </c>
      <c r="M2697">
        <v>0</v>
      </c>
      <c r="N2697">
        <v>0</v>
      </c>
      <c r="O2697">
        <v>91.286057110198584</v>
      </c>
      <c r="P2697">
        <v>334519.91928926011</v>
      </c>
    </row>
    <row r="2698" spans="1:16" x14ac:dyDescent="0.25">
      <c r="A2698" s="10">
        <v>41599</v>
      </c>
      <c r="B2698">
        <v>2128.102762539871</v>
      </c>
      <c r="C2698">
        <v>-1123.3665000000001</v>
      </c>
      <c r="D2698">
        <v>0</v>
      </c>
      <c r="E2698">
        <v>4000</v>
      </c>
      <c r="F2698">
        <v>0</v>
      </c>
      <c r="G2698">
        <v>-644.16294185999971</v>
      </c>
      <c r="H2698">
        <v>-280.49934480999951</v>
      </c>
      <c r="I2698">
        <v>0</v>
      </c>
      <c r="J2698">
        <v>11.63799999999992</v>
      </c>
      <c r="K2698">
        <v>3.8547380199999992</v>
      </c>
      <c r="L2698">
        <v>0</v>
      </c>
      <c r="M2698">
        <v>0</v>
      </c>
      <c r="N2698">
        <v>0</v>
      </c>
      <c r="O2698">
        <v>160.6388111898703</v>
      </c>
      <c r="P2698">
        <v>336648.02205179993</v>
      </c>
    </row>
    <row r="2699" spans="1:16" x14ac:dyDescent="0.25">
      <c r="A2699" s="10">
        <v>41600</v>
      </c>
      <c r="B2699">
        <v>-1866.5654491300811</v>
      </c>
      <c r="C2699">
        <v>-537.54114000000004</v>
      </c>
      <c r="D2699">
        <v>0</v>
      </c>
      <c r="E2699">
        <v>-1900</v>
      </c>
      <c r="F2699">
        <v>0</v>
      </c>
      <c r="G2699">
        <v>-291.92117230000008</v>
      </c>
      <c r="H2699">
        <v>796.81995910000114</v>
      </c>
      <c r="I2699">
        <v>0</v>
      </c>
      <c r="J2699">
        <v>1.840000000000146</v>
      </c>
      <c r="K2699">
        <v>3.6346809599999998</v>
      </c>
      <c r="L2699">
        <v>0</v>
      </c>
      <c r="M2699">
        <v>0</v>
      </c>
      <c r="N2699">
        <v>0</v>
      </c>
      <c r="O2699">
        <v>60.602223109917723</v>
      </c>
      <c r="P2699">
        <v>334781.45660266979</v>
      </c>
    </row>
    <row r="2700" spans="1:16" x14ac:dyDescent="0.25">
      <c r="A2700" s="10">
        <v>41604</v>
      </c>
      <c r="B2700">
        <v>-1816.877034940117</v>
      </c>
      <c r="C2700">
        <v>-1119.2872</v>
      </c>
      <c r="D2700">
        <v>0</v>
      </c>
      <c r="E2700">
        <v>0</v>
      </c>
      <c r="F2700">
        <v>0</v>
      </c>
      <c r="G2700">
        <v>-117.3935460999999</v>
      </c>
      <c r="H2700">
        <v>-779.42353807999825</v>
      </c>
      <c r="I2700">
        <v>0</v>
      </c>
      <c r="J2700">
        <v>0</v>
      </c>
      <c r="K2700">
        <v>13.10424109</v>
      </c>
      <c r="L2700">
        <v>0</v>
      </c>
      <c r="M2700">
        <v>0</v>
      </c>
      <c r="N2700">
        <v>0</v>
      </c>
      <c r="O2700">
        <v>186.123008149881</v>
      </c>
      <c r="P2700">
        <v>332964.57956772979</v>
      </c>
    </row>
    <row r="2701" spans="1:16" x14ac:dyDescent="0.25">
      <c r="A2701" s="10">
        <v>41605</v>
      </c>
      <c r="B2701">
        <v>-98.796240829920251</v>
      </c>
      <c r="C2701">
        <v>-179.01900000000001</v>
      </c>
      <c r="D2701">
        <v>1500</v>
      </c>
      <c r="E2701">
        <v>0</v>
      </c>
      <c r="F2701">
        <v>0</v>
      </c>
      <c r="G2701">
        <v>-126.15642349000019</v>
      </c>
      <c r="H2701">
        <v>-1863.570325370001</v>
      </c>
      <c r="I2701">
        <v>0</v>
      </c>
      <c r="J2701">
        <v>0</v>
      </c>
      <c r="K2701">
        <v>6.2656142200000007</v>
      </c>
      <c r="L2701">
        <v>528.29999999999995</v>
      </c>
      <c r="M2701">
        <v>0</v>
      </c>
      <c r="N2701">
        <v>0</v>
      </c>
      <c r="O2701">
        <v>35.383893810081233</v>
      </c>
      <c r="P2701">
        <v>332865.78332689992</v>
      </c>
    </row>
    <row r="2702" spans="1:16" x14ac:dyDescent="0.25">
      <c r="A2702" s="10">
        <v>41606</v>
      </c>
      <c r="B2702">
        <v>1159.673089930204</v>
      </c>
      <c r="C2702">
        <v>0</v>
      </c>
      <c r="D2702">
        <v>0</v>
      </c>
      <c r="E2702">
        <v>3500</v>
      </c>
      <c r="F2702">
        <v>0</v>
      </c>
      <c r="G2702">
        <v>-92.837864899999772</v>
      </c>
      <c r="H2702">
        <v>-2417.6826343899988</v>
      </c>
      <c r="I2702">
        <v>0</v>
      </c>
      <c r="J2702">
        <v>0</v>
      </c>
      <c r="K2702">
        <v>6.0480531200000014</v>
      </c>
      <c r="L2702">
        <v>0</v>
      </c>
      <c r="M2702">
        <v>0</v>
      </c>
      <c r="N2702">
        <v>0</v>
      </c>
      <c r="O2702">
        <v>164.14553610020349</v>
      </c>
      <c r="P2702">
        <v>334025.45641683001</v>
      </c>
    </row>
    <row r="2703" spans="1:16" x14ac:dyDescent="0.25">
      <c r="A2703" s="10">
        <v>41607</v>
      </c>
      <c r="B2703">
        <v>2820.413048579765</v>
      </c>
      <c r="C2703">
        <v>-1087.3127999999999</v>
      </c>
      <c r="D2703">
        <v>0</v>
      </c>
      <c r="E2703">
        <v>0</v>
      </c>
      <c r="F2703">
        <v>1950</v>
      </c>
      <c r="G2703">
        <v>-87.429207739999811</v>
      </c>
      <c r="H2703">
        <v>1817.814914639999</v>
      </c>
      <c r="I2703">
        <v>0</v>
      </c>
      <c r="J2703">
        <v>0</v>
      </c>
      <c r="K2703">
        <v>6.28564627</v>
      </c>
      <c r="L2703">
        <v>0</v>
      </c>
      <c r="M2703">
        <v>0</v>
      </c>
      <c r="N2703">
        <v>0</v>
      </c>
      <c r="O2703">
        <v>221.05449540976531</v>
      </c>
      <c r="P2703">
        <v>336845.86946540978</v>
      </c>
    </row>
    <row r="2704" spans="1:16" x14ac:dyDescent="0.25">
      <c r="A2704" s="10">
        <v>41610</v>
      </c>
      <c r="B2704">
        <v>15025.273913459911</v>
      </c>
      <c r="C2704">
        <v>-907.66800000000001</v>
      </c>
      <c r="D2704">
        <v>0</v>
      </c>
      <c r="E2704">
        <v>0</v>
      </c>
      <c r="F2704">
        <v>0</v>
      </c>
      <c r="G2704">
        <v>-31.10146516000006</v>
      </c>
      <c r="H2704">
        <v>15211.882560800001</v>
      </c>
      <c r="I2704">
        <v>0</v>
      </c>
      <c r="J2704">
        <v>18.699999999999822</v>
      </c>
      <c r="K2704">
        <v>12.77647799</v>
      </c>
      <c r="L2704">
        <v>0</v>
      </c>
      <c r="M2704">
        <v>0</v>
      </c>
      <c r="N2704">
        <v>0</v>
      </c>
      <c r="O2704">
        <v>720.68433982991041</v>
      </c>
      <c r="P2704">
        <v>351871.14337886969</v>
      </c>
    </row>
    <row r="2705" spans="1:16" x14ac:dyDescent="0.25">
      <c r="A2705" s="10">
        <v>41611</v>
      </c>
      <c r="B2705">
        <v>150.44205344043451</v>
      </c>
      <c r="C2705">
        <v>-338.74900000000002</v>
      </c>
      <c r="D2705">
        <v>0</v>
      </c>
      <c r="E2705">
        <v>0</v>
      </c>
      <c r="F2705">
        <v>0</v>
      </c>
      <c r="G2705">
        <v>14.970522210000031</v>
      </c>
      <c r="H2705">
        <v>75.627503259999685</v>
      </c>
      <c r="I2705">
        <v>0</v>
      </c>
      <c r="J2705">
        <v>0</v>
      </c>
      <c r="K2705">
        <v>0.49463139999999989</v>
      </c>
      <c r="L2705">
        <v>0</v>
      </c>
      <c r="M2705">
        <v>0</v>
      </c>
      <c r="N2705">
        <v>0</v>
      </c>
      <c r="O2705">
        <v>398.09839657043477</v>
      </c>
      <c r="P2705">
        <v>352021.58543231012</v>
      </c>
    </row>
    <row r="2706" spans="1:16" x14ac:dyDescent="0.25">
      <c r="A2706" s="10">
        <v>41612</v>
      </c>
      <c r="B2706">
        <v>1812.719742519781</v>
      </c>
      <c r="C2706">
        <v>-764.27009999999996</v>
      </c>
      <c r="D2706">
        <v>0</v>
      </c>
      <c r="E2706">
        <v>0</v>
      </c>
      <c r="F2706">
        <v>0</v>
      </c>
      <c r="G2706">
        <v>-93.090438840000047</v>
      </c>
      <c r="H2706">
        <v>-26.456910770000832</v>
      </c>
      <c r="I2706">
        <v>0</v>
      </c>
      <c r="J2706">
        <v>0</v>
      </c>
      <c r="K2706">
        <v>0.79916790999999987</v>
      </c>
      <c r="L2706">
        <v>2244.8000000000002</v>
      </c>
      <c r="M2706">
        <v>0</v>
      </c>
      <c r="N2706">
        <v>0</v>
      </c>
      <c r="O2706">
        <v>450.93802421978211</v>
      </c>
      <c r="P2706">
        <v>353834.30517482979</v>
      </c>
    </row>
    <row r="2707" spans="1:16" x14ac:dyDescent="0.25">
      <c r="A2707" s="10">
        <v>41613</v>
      </c>
      <c r="B2707">
        <v>10106.290361790099</v>
      </c>
      <c r="C2707">
        <v>-1159.615</v>
      </c>
      <c r="D2707">
        <v>0</v>
      </c>
      <c r="E2707">
        <v>10500</v>
      </c>
      <c r="F2707">
        <v>0</v>
      </c>
      <c r="G2707">
        <v>26.63726759000058</v>
      </c>
      <c r="H2707">
        <v>-304.51025734000001</v>
      </c>
      <c r="I2707">
        <v>0</v>
      </c>
      <c r="J2707">
        <v>0</v>
      </c>
      <c r="K2707">
        <v>0.47265116000000013</v>
      </c>
      <c r="L2707">
        <v>0</v>
      </c>
      <c r="M2707">
        <v>0</v>
      </c>
      <c r="N2707">
        <v>0</v>
      </c>
      <c r="O2707">
        <v>1043.305700380103</v>
      </c>
      <c r="P2707">
        <v>363940.59553662001</v>
      </c>
    </row>
    <row r="2708" spans="1:16" x14ac:dyDescent="0.25">
      <c r="A2708" s="10">
        <v>41614</v>
      </c>
      <c r="B2708">
        <v>-10178.418893769969</v>
      </c>
      <c r="C2708">
        <v>150.29</v>
      </c>
      <c r="D2708">
        <v>0</v>
      </c>
      <c r="E2708">
        <v>-9500</v>
      </c>
      <c r="F2708">
        <v>0</v>
      </c>
      <c r="G2708">
        <v>-2.7856051199994449</v>
      </c>
      <c r="H2708">
        <v>-326.89467323999912</v>
      </c>
      <c r="I2708">
        <v>0</v>
      </c>
      <c r="J2708">
        <v>0</v>
      </c>
      <c r="K2708">
        <v>0.58290162000000001</v>
      </c>
      <c r="L2708">
        <v>0</v>
      </c>
      <c r="M2708">
        <v>0</v>
      </c>
      <c r="N2708">
        <v>0</v>
      </c>
      <c r="O2708">
        <v>-499.61151702996801</v>
      </c>
      <c r="P2708">
        <v>353762.1766428501</v>
      </c>
    </row>
    <row r="2709" spans="1:16" x14ac:dyDescent="0.25">
      <c r="A2709" s="10">
        <v>41617</v>
      </c>
      <c r="B2709">
        <v>-36.778118850139037</v>
      </c>
      <c r="C2709">
        <v>-765.1155</v>
      </c>
      <c r="D2709">
        <v>1500</v>
      </c>
      <c r="E2709">
        <v>0</v>
      </c>
      <c r="F2709">
        <v>0</v>
      </c>
      <c r="G2709">
        <v>54.076493869999922</v>
      </c>
      <c r="H2709">
        <v>-571.6609248299992</v>
      </c>
      <c r="I2709">
        <v>0</v>
      </c>
      <c r="J2709">
        <v>-83</v>
      </c>
      <c r="K2709">
        <v>-33.558814769999643</v>
      </c>
      <c r="L2709">
        <v>0</v>
      </c>
      <c r="M2709">
        <v>0</v>
      </c>
      <c r="N2709">
        <v>0</v>
      </c>
      <c r="O2709">
        <v>-137.5193731201401</v>
      </c>
      <c r="P2709">
        <v>353725.3985239999</v>
      </c>
    </row>
    <row r="2710" spans="1:16" x14ac:dyDescent="0.25">
      <c r="A2710" s="10">
        <v>41618</v>
      </c>
      <c r="B2710">
        <v>-486.61249789985578</v>
      </c>
      <c r="C2710">
        <v>-955.80600000000004</v>
      </c>
      <c r="D2710">
        <v>0</v>
      </c>
      <c r="E2710">
        <v>0</v>
      </c>
      <c r="F2710">
        <v>0</v>
      </c>
      <c r="G2710">
        <v>631.40569485000003</v>
      </c>
      <c r="H2710">
        <v>450.3772889899974</v>
      </c>
      <c r="I2710">
        <v>0</v>
      </c>
      <c r="J2710">
        <v>10.711955750000021</v>
      </c>
      <c r="K2710">
        <v>0.61833802999999987</v>
      </c>
      <c r="L2710">
        <v>0</v>
      </c>
      <c r="M2710">
        <v>0</v>
      </c>
      <c r="N2710">
        <v>0</v>
      </c>
      <c r="O2710">
        <v>-623.91977551985326</v>
      </c>
      <c r="P2710">
        <v>353238.78602609999</v>
      </c>
    </row>
    <row r="2711" spans="1:16" x14ac:dyDescent="0.25">
      <c r="A2711" s="10">
        <v>41619</v>
      </c>
      <c r="B2711">
        <v>1729.8204054299861</v>
      </c>
      <c r="C2711">
        <v>358.12900000000002</v>
      </c>
      <c r="D2711">
        <v>0</v>
      </c>
      <c r="E2711">
        <v>0</v>
      </c>
      <c r="F2711">
        <v>0</v>
      </c>
      <c r="G2711">
        <v>237.93939906</v>
      </c>
      <c r="H2711">
        <v>120.7134074300011</v>
      </c>
      <c r="I2711">
        <v>0</v>
      </c>
      <c r="J2711">
        <v>0</v>
      </c>
      <c r="K2711">
        <v>0.51836889000000008</v>
      </c>
      <c r="L2711">
        <v>1056.2</v>
      </c>
      <c r="M2711">
        <v>0</v>
      </c>
      <c r="N2711">
        <v>0</v>
      </c>
      <c r="O2711">
        <v>-43.679769950015178</v>
      </c>
      <c r="P2711">
        <v>354968.60643152997</v>
      </c>
    </row>
    <row r="2712" spans="1:16" x14ac:dyDescent="0.25">
      <c r="A2712" s="10">
        <v>41620</v>
      </c>
      <c r="B2712">
        <v>15214.891324759639</v>
      </c>
      <c r="C2712">
        <v>266.89399999999989</v>
      </c>
      <c r="D2712">
        <v>0</v>
      </c>
      <c r="E2712">
        <v>16000</v>
      </c>
      <c r="F2712">
        <v>3630.7058126400002</v>
      </c>
      <c r="G2712">
        <v>-3869.1464182800009</v>
      </c>
      <c r="H2712">
        <v>-348.32317407000028</v>
      </c>
      <c r="I2712">
        <v>0</v>
      </c>
      <c r="J2712">
        <v>17.480000000000022</v>
      </c>
      <c r="K2712">
        <v>0.48444532000000001</v>
      </c>
      <c r="L2712">
        <v>0</v>
      </c>
      <c r="M2712">
        <v>0</v>
      </c>
      <c r="N2712">
        <v>0</v>
      </c>
      <c r="O2712">
        <v>-483.20334085036228</v>
      </c>
      <c r="P2712">
        <v>370183.49775628973</v>
      </c>
    </row>
    <row r="2713" spans="1:16" x14ac:dyDescent="0.25">
      <c r="A2713" s="10">
        <v>41621</v>
      </c>
      <c r="B2713">
        <v>-14079.180812619859</v>
      </c>
      <c r="C2713">
        <v>237.261</v>
      </c>
      <c r="D2713">
        <v>0</v>
      </c>
      <c r="E2713">
        <v>-12950</v>
      </c>
      <c r="F2713">
        <v>0</v>
      </c>
      <c r="G2713">
        <v>-517.59497069999929</v>
      </c>
      <c r="H2713">
        <v>-522.83884867000415</v>
      </c>
      <c r="I2713">
        <v>0</v>
      </c>
      <c r="J2713">
        <v>1.700780000000123</v>
      </c>
      <c r="K2713">
        <v>0.39774976000000012</v>
      </c>
      <c r="L2713">
        <v>-195</v>
      </c>
      <c r="M2713">
        <v>0</v>
      </c>
      <c r="N2713">
        <v>0</v>
      </c>
      <c r="O2713">
        <v>-133.1065230098535</v>
      </c>
      <c r="P2713">
        <v>356104.31694366969</v>
      </c>
    </row>
    <row r="2714" spans="1:16" x14ac:dyDescent="0.25">
      <c r="A2714" s="10">
        <v>41624</v>
      </c>
      <c r="B2714">
        <v>-301.35057707998209</v>
      </c>
      <c r="C2714">
        <v>0</v>
      </c>
      <c r="D2714">
        <v>0</v>
      </c>
      <c r="E2714">
        <v>0</v>
      </c>
      <c r="F2714">
        <v>0</v>
      </c>
      <c r="G2714">
        <v>17.721053829999988</v>
      </c>
      <c r="H2714">
        <v>23.295271630002389</v>
      </c>
      <c r="I2714">
        <v>0</v>
      </c>
      <c r="J2714">
        <v>0</v>
      </c>
      <c r="K2714">
        <v>1.39869584</v>
      </c>
      <c r="L2714">
        <v>-403.5</v>
      </c>
      <c r="M2714">
        <v>0</v>
      </c>
      <c r="N2714">
        <v>0</v>
      </c>
      <c r="O2714">
        <v>59.734401620015497</v>
      </c>
      <c r="P2714">
        <v>355802.96636658983</v>
      </c>
    </row>
    <row r="2715" spans="1:16" x14ac:dyDescent="0.25">
      <c r="A2715" s="10">
        <v>41625</v>
      </c>
      <c r="B2715">
        <v>132.74940587027231</v>
      </c>
      <c r="C2715">
        <v>40.927500000000002</v>
      </c>
      <c r="D2715">
        <v>0</v>
      </c>
      <c r="E2715">
        <v>0</v>
      </c>
      <c r="F2715">
        <v>0</v>
      </c>
      <c r="G2715">
        <v>595.11139277999996</v>
      </c>
      <c r="H2715">
        <v>-466.84447271000141</v>
      </c>
      <c r="I2715">
        <v>0</v>
      </c>
      <c r="J2715">
        <v>1.1497129999997919</v>
      </c>
      <c r="K2715">
        <v>0.50426813999999998</v>
      </c>
      <c r="L2715">
        <v>-88.6</v>
      </c>
      <c r="M2715">
        <v>0</v>
      </c>
      <c r="N2715">
        <v>0</v>
      </c>
      <c r="O2715">
        <v>50.5010046602739</v>
      </c>
      <c r="P2715">
        <v>355935.7157724601</v>
      </c>
    </row>
    <row r="2716" spans="1:16" x14ac:dyDescent="0.25">
      <c r="A2716" s="10">
        <v>41626</v>
      </c>
      <c r="B2716">
        <v>1836.7279016798129</v>
      </c>
      <c r="C2716">
        <v>462.23610000000002</v>
      </c>
      <c r="D2716">
        <v>0</v>
      </c>
      <c r="E2716">
        <v>0</v>
      </c>
      <c r="F2716">
        <v>0</v>
      </c>
      <c r="G2716">
        <v>225.30503311999999</v>
      </c>
      <c r="H2716">
        <v>-51.904249059999529</v>
      </c>
      <c r="I2716">
        <v>0</v>
      </c>
      <c r="J2716">
        <v>0</v>
      </c>
      <c r="K2716">
        <v>0.47598414999999999</v>
      </c>
      <c r="L2716">
        <v>816</v>
      </c>
      <c r="M2716">
        <v>0</v>
      </c>
      <c r="N2716">
        <v>0</v>
      </c>
      <c r="O2716">
        <v>384.61503346981249</v>
      </c>
      <c r="P2716">
        <v>357772.44367413991</v>
      </c>
    </row>
    <row r="2717" spans="1:16" x14ac:dyDescent="0.25">
      <c r="A2717" s="10">
        <v>41627</v>
      </c>
      <c r="B2717">
        <v>16187.361652839811</v>
      </c>
      <c r="C2717">
        <v>-411.88900000000001</v>
      </c>
      <c r="D2717">
        <v>0</v>
      </c>
      <c r="E2717">
        <v>11700</v>
      </c>
      <c r="F2717">
        <v>0</v>
      </c>
      <c r="G2717">
        <v>18.520439590000361</v>
      </c>
      <c r="H2717">
        <v>1341.78531387</v>
      </c>
      <c r="I2717">
        <v>0</v>
      </c>
      <c r="J2717">
        <v>0</v>
      </c>
      <c r="K2717">
        <v>0.67875255000000001</v>
      </c>
      <c r="L2717">
        <v>3276</v>
      </c>
      <c r="M2717">
        <v>0</v>
      </c>
      <c r="N2717">
        <v>0</v>
      </c>
      <c r="O2717">
        <v>262.26614682981022</v>
      </c>
      <c r="P2717">
        <v>373959.80532697978</v>
      </c>
    </row>
    <row r="2718" spans="1:16" x14ac:dyDescent="0.25">
      <c r="A2718" s="10">
        <v>41628</v>
      </c>
      <c r="B2718">
        <v>-8770.6512786498042</v>
      </c>
      <c r="C2718">
        <v>595.49954000000002</v>
      </c>
      <c r="D2718">
        <v>0</v>
      </c>
      <c r="E2718">
        <v>-11150</v>
      </c>
      <c r="F2718">
        <v>0</v>
      </c>
      <c r="G2718">
        <v>23.554459999999949</v>
      </c>
      <c r="H2718">
        <v>1570.92925203</v>
      </c>
      <c r="I2718">
        <v>0</v>
      </c>
      <c r="J2718">
        <v>0</v>
      </c>
      <c r="K2718">
        <v>0.75177432000000011</v>
      </c>
      <c r="L2718">
        <v>-64.199999999999989</v>
      </c>
      <c r="M2718">
        <v>0</v>
      </c>
      <c r="N2718">
        <v>0</v>
      </c>
      <c r="O2718">
        <v>252.81369500019611</v>
      </c>
      <c r="P2718">
        <v>365189.15404832992</v>
      </c>
    </row>
    <row r="2719" spans="1:16" x14ac:dyDescent="0.25">
      <c r="A2719" s="10">
        <v>41631</v>
      </c>
      <c r="B2719">
        <v>-227.51164506986979</v>
      </c>
      <c r="C2719">
        <v>-117.36199999999999</v>
      </c>
      <c r="D2719">
        <v>0</v>
      </c>
      <c r="E2719">
        <v>0</v>
      </c>
      <c r="F2719">
        <v>0</v>
      </c>
      <c r="G2719">
        <v>10.73677037</v>
      </c>
      <c r="H2719">
        <v>-570.21776215999944</v>
      </c>
      <c r="I2719">
        <v>0</v>
      </c>
      <c r="J2719">
        <v>19.815000000000051</v>
      </c>
      <c r="K2719">
        <v>1.2378056099999999</v>
      </c>
      <c r="L2719">
        <v>-159.9</v>
      </c>
      <c r="M2719">
        <v>0</v>
      </c>
      <c r="N2719">
        <v>0</v>
      </c>
      <c r="O2719">
        <v>588.17854111012969</v>
      </c>
      <c r="P2719">
        <v>364961.64240325999</v>
      </c>
    </row>
    <row r="2720" spans="1:16" x14ac:dyDescent="0.25">
      <c r="A2720" s="10">
        <v>41634</v>
      </c>
      <c r="B2720">
        <v>13297.058366939769</v>
      </c>
      <c r="C2720">
        <v>-817.8845</v>
      </c>
      <c r="D2720">
        <v>0</v>
      </c>
      <c r="E2720">
        <v>20220</v>
      </c>
      <c r="F2720">
        <v>0</v>
      </c>
      <c r="G2720">
        <v>-6505.0275737800002</v>
      </c>
      <c r="H2720">
        <v>-104.4135933799989</v>
      </c>
      <c r="I2720">
        <v>0</v>
      </c>
      <c r="J2720">
        <v>7.5999999999999091</v>
      </c>
      <c r="K2720">
        <v>1.2953849</v>
      </c>
      <c r="L2720">
        <v>40.5</v>
      </c>
      <c r="M2720">
        <v>0</v>
      </c>
      <c r="N2720">
        <v>0</v>
      </c>
      <c r="O2720">
        <v>454.9886491997724</v>
      </c>
      <c r="P2720">
        <v>378258.70077019982</v>
      </c>
    </row>
    <row r="2721" spans="1:16" x14ac:dyDescent="0.25">
      <c r="A2721" s="10">
        <v>41635</v>
      </c>
      <c r="B2721">
        <v>-4202.6505085697281</v>
      </c>
      <c r="C2721">
        <v>-1907.7774999999999</v>
      </c>
      <c r="D2721">
        <v>0</v>
      </c>
      <c r="E2721">
        <v>0</v>
      </c>
      <c r="F2721">
        <v>0</v>
      </c>
      <c r="G2721">
        <v>-1092.6617791599999</v>
      </c>
      <c r="H2721">
        <v>-684.62487648000297</v>
      </c>
      <c r="I2721">
        <v>0</v>
      </c>
      <c r="J2721">
        <v>0</v>
      </c>
      <c r="K2721">
        <v>0.39087535999999989</v>
      </c>
      <c r="L2721">
        <v>-266.7</v>
      </c>
      <c r="M2721">
        <v>0</v>
      </c>
      <c r="N2721">
        <v>0</v>
      </c>
      <c r="O2721">
        <v>-251.27722828972489</v>
      </c>
      <c r="P2721">
        <v>374056.05026162998</v>
      </c>
    </row>
    <row r="2722" spans="1:16" x14ac:dyDescent="0.25">
      <c r="A2722" s="10">
        <v>41638</v>
      </c>
      <c r="B2722">
        <v>3140.473516169935</v>
      </c>
      <c r="C2722">
        <v>220.285</v>
      </c>
      <c r="D2722">
        <v>0</v>
      </c>
      <c r="E2722">
        <v>0</v>
      </c>
      <c r="F2722">
        <v>0</v>
      </c>
      <c r="G2722">
        <v>2084.084200759999</v>
      </c>
      <c r="H2722">
        <v>522.32370226999956</v>
      </c>
      <c r="I2722">
        <v>0</v>
      </c>
      <c r="J2722">
        <v>0</v>
      </c>
      <c r="K2722">
        <v>1.04562339</v>
      </c>
      <c r="L2722">
        <v>0</v>
      </c>
      <c r="M2722">
        <v>0</v>
      </c>
      <c r="N2722">
        <v>0</v>
      </c>
      <c r="O2722">
        <v>312.73498974993601</v>
      </c>
      <c r="P2722">
        <v>377196.52377779997</v>
      </c>
    </row>
    <row r="2723" spans="1:16" x14ac:dyDescent="0.25">
      <c r="A2723" s="10">
        <v>41641</v>
      </c>
      <c r="B2723">
        <v>963.60863609984551</v>
      </c>
      <c r="C2723">
        <v>-553.01850000000002</v>
      </c>
      <c r="D2723">
        <v>0</v>
      </c>
      <c r="E2723">
        <v>0</v>
      </c>
      <c r="F2723">
        <v>0</v>
      </c>
      <c r="G2723">
        <v>568.34747753000033</v>
      </c>
      <c r="H2723">
        <v>-860.46846960000312</v>
      </c>
      <c r="I2723">
        <v>0</v>
      </c>
      <c r="J2723">
        <v>0</v>
      </c>
      <c r="K2723">
        <v>0.65471068999999993</v>
      </c>
      <c r="L2723">
        <v>839.1</v>
      </c>
      <c r="M2723">
        <v>0</v>
      </c>
      <c r="N2723">
        <v>0</v>
      </c>
      <c r="O2723">
        <v>968.99341747984829</v>
      </c>
      <c r="P2723">
        <v>378160.13241389988</v>
      </c>
    </row>
    <row r="2724" spans="1:16" x14ac:dyDescent="0.25">
      <c r="A2724" s="10">
        <v>41642</v>
      </c>
      <c r="B2724">
        <v>-1662.906890340033</v>
      </c>
      <c r="C2724">
        <v>-596.69699999999989</v>
      </c>
      <c r="D2724">
        <v>0</v>
      </c>
      <c r="E2724">
        <v>-6000</v>
      </c>
      <c r="F2724">
        <v>0</v>
      </c>
      <c r="G2724">
        <v>5737.4132777599998</v>
      </c>
      <c r="H2724">
        <v>456.20650672000011</v>
      </c>
      <c r="I2724">
        <v>0</v>
      </c>
      <c r="J2724">
        <v>0</v>
      </c>
      <c r="K2724">
        <v>0.86180997000000004</v>
      </c>
      <c r="L2724">
        <v>-98.4</v>
      </c>
      <c r="M2724">
        <v>0</v>
      </c>
      <c r="N2724">
        <v>0</v>
      </c>
      <c r="O2724">
        <v>-1162.291484790032</v>
      </c>
      <c r="P2724">
        <v>376497.22552355978</v>
      </c>
    </row>
    <row r="2725" spans="1:16" x14ac:dyDescent="0.25">
      <c r="A2725" s="10">
        <v>41645</v>
      </c>
      <c r="B2725">
        <v>-1034.1318190902241</v>
      </c>
      <c r="C2725">
        <v>-790.2059999999999</v>
      </c>
      <c r="D2725">
        <v>0</v>
      </c>
      <c r="E2725">
        <v>0</v>
      </c>
      <c r="F2725">
        <v>0</v>
      </c>
      <c r="G2725">
        <v>-618.95460887999968</v>
      </c>
      <c r="H2725">
        <v>6.8724507799988714</v>
      </c>
      <c r="I2725">
        <v>0</v>
      </c>
      <c r="J2725">
        <v>14.30000000000018</v>
      </c>
      <c r="K2725">
        <v>1.12813239</v>
      </c>
      <c r="L2725">
        <v>-109.9</v>
      </c>
      <c r="M2725">
        <v>0</v>
      </c>
      <c r="N2725">
        <v>0</v>
      </c>
      <c r="O2725">
        <v>462.62820661977628</v>
      </c>
      <c r="P2725">
        <v>375463.09370446968</v>
      </c>
    </row>
    <row r="2726" spans="1:16" x14ac:dyDescent="0.25">
      <c r="A2726" s="10">
        <v>41646</v>
      </c>
      <c r="B2726">
        <v>-1297.848425589619</v>
      </c>
      <c r="C2726">
        <v>-659.72899999999993</v>
      </c>
      <c r="D2726">
        <v>0</v>
      </c>
      <c r="E2726">
        <v>0</v>
      </c>
      <c r="F2726">
        <v>0</v>
      </c>
      <c r="G2726">
        <v>-137.59086713000011</v>
      </c>
      <c r="H2726">
        <v>-466.47455567999992</v>
      </c>
      <c r="I2726">
        <v>0</v>
      </c>
      <c r="J2726">
        <v>0</v>
      </c>
      <c r="K2726">
        <v>0.36956402999999999</v>
      </c>
      <c r="L2726">
        <v>0</v>
      </c>
      <c r="M2726">
        <v>0</v>
      </c>
      <c r="N2726">
        <v>0</v>
      </c>
      <c r="O2726">
        <v>-34.423566809618443</v>
      </c>
      <c r="P2726">
        <v>374165.24527888</v>
      </c>
    </row>
    <row r="2727" spans="1:16" x14ac:dyDescent="0.25">
      <c r="A2727" s="10">
        <v>41647</v>
      </c>
      <c r="B2727">
        <v>-2533.0306967102219</v>
      </c>
      <c r="C2727">
        <v>-544.69450000000006</v>
      </c>
      <c r="D2727">
        <v>0</v>
      </c>
      <c r="E2727">
        <v>0</v>
      </c>
      <c r="F2727">
        <v>0</v>
      </c>
      <c r="G2727">
        <v>730.15614980000009</v>
      </c>
      <c r="H2727">
        <v>-547.04493805000038</v>
      </c>
      <c r="I2727">
        <v>0</v>
      </c>
      <c r="J2727">
        <v>0</v>
      </c>
      <c r="K2727">
        <v>0.4655549799999999</v>
      </c>
      <c r="L2727">
        <v>-2261.3000000000002</v>
      </c>
      <c r="M2727">
        <v>0</v>
      </c>
      <c r="N2727">
        <v>0</v>
      </c>
      <c r="O2727">
        <v>89.387036559777968</v>
      </c>
      <c r="P2727">
        <v>371632.21458216978</v>
      </c>
    </row>
    <row r="2728" spans="1:16" x14ac:dyDescent="0.25">
      <c r="A2728" s="10">
        <v>41648</v>
      </c>
      <c r="B2728">
        <v>2410.0249027701789</v>
      </c>
      <c r="C2728">
        <v>-324.10550000000001</v>
      </c>
      <c r="D2728">
        <v>0</v>
      </c>
      <c r="E2728">
        <v>0</v>
      </c>
      <c r="F2728">
        <v>0</v>
      </c>
      <c r="G2728">
        <v>1002.76781276</v>
      </c>
      <c r="H2728">
        <v>1296.07777489</v>
      </c>
      <c r="I2728">
        <v>0</v>
      </c>
      <c r="J2728">
        <v>-88.699999999999818</v>
      </c>
      <c r="K2728">
        <v>-35.501306110000002</v>
      </c>
      <c r="L2728">
        <v>504.6</v>
      </c>
      <c r="M2728">
        <v>0</v>
      </c>
      <c r="N2728">
        <v>0</v>
      </c>
      <c r="O2728">
        <v>54.886121230178738</v>
      </c>
      <c r="P2728">
        <v>374042.23948494002</v>
      </c>
    </row>
    <row r="2729" spans="1:16" x14ac:dyDescent="0.25">
      <c r="A2729" s="10">
        <v>41649</v>
      </c>
      <c r="B2729">
        <v>1003.328032610123</v>
      </c>
      <c r="C2729">
        <v>-258.65650000000011</v>
      </c>
      <c r="D2729">
        <v>0</v>
      </c>
      <c r="E2729">
        <v>0</v>
      </c>
      <c r="F2729">
        <v>0</v>
      </c>
      <c r="G2729">
        <v>-164.57823346999999</v>
      </c>
      <c r="H2729">
        <v>854.52144918000067</v>
      </c>
      <c r="I2729">
        <v>0</v>
      </c>
      <c r="J2729">
        <v>65.610999999999876</v>
      </c>
      <c r="K2729">
        <v>0.43430422000000002</v>
      </c>
      <c r="L2729">
        <v>383.4</v>
      </c>
      <c r="M2729">
        <v>0</v>
      </c>
      <c r="N2729">
        <v>0</v>
      </c>
      <c r="O2729">
        <v>122.5960126801228</v>
      </c>
      <c r="P2729">
        <v>375045.56751755008</v>
      </c>
    </row>
    <row r="2730" spans="1:16" x14ac:dyDescent="0.25">
      <c r="A2730" s="10">
        <v>41652</v>
      </c>
      <c r="B2730">
        <v>-307.6140504500944</v>
      </c>
      <c r="C2730">
        <v>-625.08100000000002</v>
      </c>
      <c r="D2730">
        <v>0</v>
      </c>
      <c r="E2730">
        <v>0</v>
      </c>
      <c r="F2730">
        <v>0</v>
      </c>
      <c r="G2730">
        <v>16.678765429999999</v>
      </c>
      <c r="H2730">
        <v>146.75269214000039</v>
      </c>
      <c r="I2730">
        <v>0</v>
      </c>
      <c r="J2730">
        <v>0</v>
      </c>
      <c r="K2730">
        <v>1.15612626</v>
      </c>
      <c r="L2730">
        <v>-66.900000000000006</v>
      </c>
      <c r="M2730">
        <v>0</v>
      </c>
      <c r="N2730">
        <v>0</v>
      </c>
      <c r="O2730">
        <v>219.77936571990529</v>
      </c>
      <c r="P2730">
        <v>374737.95346709999</v>
      </c>
    </row>
    <row r="2731" spans="1:16" x14ac:dyDescent="0.25">
      <c r="A2731" s="10">
        <v>41653</v>
      </c>
      <c r="B2731">
        <v>331.27395841007842</v>
      </c>
      <c r="C2731">
        <v>459.59350000000001</v>
      </c>
      <c r="D2731">
        <v>0</v>
      </c>
      <c r="E2731">
        <v>0</v>
      </c>
      <c r="F2731">
        <v>0</v>
      </c>
      <c r="G2731">
        <v>-131.35216541</v>
      </c>
      <c r="H2731">
        <v>2.4293653199993059</v>
      </c>
      <c r="I2731">
        <v>0</v>
      </c>
      <c r="J2731">
        <v>28.949999999999822</v>
      </c>
      <c r="K2731">
        <v>0.79716355000000005</v>
      </c>
      <c r="L2731">
        <v>-134.19999999999999</v>
      </c>
      <c r="M2731">
        <v>0</v>
      </c>
      <c r="N2731">
        <v>0</v>
      </c>
      <c r="O2731">
        <v>105.0560949500793</v>
      </c>
      <c r="P2731">
        <v>375069.22742551012</v>
      </c>
    </row>
    <row r="2732" spans="1:16" x14ac:dyDescent="0.25">
      <c r="A2732" s="10">
        <v>41654</v>
      </c>
      <c r="B2732">
        <v>-3626.9458666701098</v>
      </c>
      <c r="C2732">
        <v>-203.55350000000001</v>
      </c>
      <c r="D2732">
        <v>0</v>
      </c>
      <c r="E2732">
        <v>0</v>
      </c>
      <c r="F2732">
        <v>0</v>
      </c>
      <c r="G2732">
        <v>-201.56648388999989</v>
      </c>
      <c r="H2732">
        <v>-1603.2959114600001</v>
      </c>
      <c r="I2732">
        <v>0</v>
      </c>
      <c r="J2732">
        <v>0</v>
      </c>
      <c r="K2732">
        <v>0.72689841999999982</v>
      </c>
      <c r="L2732">
        <v>-1893.9</v>
      </c>
      <c r="M2732">
        <v>0</v>
      </c>
      <c r="N2732">
        <v>0</v>
      </c>
      <c r="O2732">
        <v>274.64313025988952</v>
      </c>
      <c r="P2732">
        <v>371442.28155884001</v>
      </c>
    </row>
    <row r="2733" spans="1:16" x14ac:dyDescent="0.25">
      <c r="A2733" s="10">
        <v>41655</v>
      </c>
      <c r="B2733">
        <v>-4143.7712875198349</v>
      </c>
      <c r="C2733">
        <v>-748.94082000000003</v>
      </c>
      <c r="D2733">
        <v>0</v>
      </c>
      <c r="E2733">
        <v>6000</v>
      </c>
      <c r="F2733">
        <v>0</v>
      </c>
      <c r="G2733">
        <v>-6154.3113284900001</v>
      </c>
      <c r="H2733">
        <v>-3577.4904036000012</v>
      </c>
      <c r="I2733">
        <v>0</v>
      </c>
      <c r="J2733">
        <v>0</v>
      </c>
      <c r="K2733">
        <v>0.96528358000000036</v>
      </c>
      <c r="L2733">
        <v>-105.6</v>
      </c>
      <c r="M2733">
        <v>0</v>
      </c>
      <c r="N2733">
        <v>0</v>
      </c>
      <c r="O2733">
        <v>441.60598099016659</v>
      </c>
      <c r="P2733">
        <v>367298.51027132012</v>
      </c>
    </row>
    <row r="2734" spans="1:16" x14ac:dyDescent="0.25">
      <c r="A2734" s="10">
        <v>41656</v>
      </c>
      <c r="B2734">
        <v>-844.41431665030586</v>
      </c>
      <c r="C2734">
        <v>-0.33899999999994179</v>
      </c>
      <c r="D2734">
        <v>0</v>
      </c>
      <c r="E2734">
        <v>0</v>
      </c>
      <c r="F2734">
        <v>0</v>
      </c>
      <c r="G2734">
        <v>-105.8418797099999</v>
      </c>
      <c r="H2734">
        <v>-1186.7840351900011</v>
      </c>
      <c r="I2734">
        <v>0</v>
      </c>
      <c r="J2734">
        <v>0</v>
      </c>
      <c r="K2734">
        <v>1.70155922</v>
      </c>
      <c r="L2734">
        <v>0</v>
      </c>
      <c r="M2734">
        <v>0</v>
      </c>
      <c r="N2734">
        <v>0</v>
      </c>
      <c r="O2734">
        <v>446.84903902969518</v>
      </c>
      <c r="P2734">
        <v>366454.09595466981</v>
      </c>
    </row>
    <row r="2735" spans="1:16" x14ac:dyDescent="0.25">
      <c r="A2735" s="10">
        <v>41659</v>
      </c>
      <c r="B2735">
        <v>-1211.5159692299201</v>
      </c>
      <c r="C2735">
        <v>0</v>
      </c>
      <c r="D2735">
        <v>0</v>
      </c>
      <c r="E2735">
        <v>0</v>
      </c>
      <c r="F2735">
        <v>0</v>
      </c>
      <c r="G2735">
        <v>580.40504729999986</v>
      </c>
      <c r="H2735">
        <v>-1840.1425927699979</v>
      </c>
      <c r="I2735">
        <v>0</v>
      </c>
      <c r="J2735">
        <v>5.2976539999999659</v>
      </c>
      <c r="K2735">
        <v>4.7151790499999997</v>
      </c>
      <c r="L2735">
        <v>-34.099999999999987</v>
      </c>
      <c r="M2735">
        <v>0</v>
      </c>
      <c r="N2735">
        <v>0</v>
      </c>
      <c r="O2735">
        <v>72.308743190079028</v>
      </c>
      <c r="P2735">
        <v>365242.57998543989</v>
      </c>
    </row>
    <row r="2736" spans="1:16" x14ac:dyDescent="0.25">
      <c r="A2736" s="10">
        <v>41660</v>
      </c>
      <c r="B2736">
        <v>-800.33290055976181</v>
      </c>
      <c r="C2736">
        <v>-1096.3832500000001</v>
      </c>
      <c r="D2736">
        <v>0</v>
      </c>
      <c r="E2736">
        <v>0</v>
      </c>
      <c r="F2736">
        <v>0</v>
      </c>
      <c r="G2736">
        <v>398.22197111000003</v>
      </c>
      <c r="H2736">
        <v>-506.03218763000041</v>
      </c>
      <c r="I2736">
        <v>0</v>
      </c>
      <c r="J2736">
        <v>-3.6999999999998181</v>
      </c>
      <c r="K2736">
        <v>1.129095299999636</v>
      </c>
      <c r="L2736">
        <v>0</v>
      </c>
      <c r="M2736">
        <v>0</v>
      </c>
      <c r="N2736">
        <v>0</v>
      </c>
      <c r="O2736">
        <v>406.43147066023869</v>
      </c>
      <c r="P2736">
        <v>364442.24708488007</v>
      </c>
    </row>
    <row r="2737" spans="1:16" x14ac:dyDescent="0.25">
      <c r="A2737" s="10">
        <v>41661</v>
      </c>
      <c r="B2737">
        <v>-4009.745622660324</v>
      </c>
      <c r="C2737">
        <v>-566.83299999999997</v>
      </c>
      <c r="D2737">
        <v>0</v>
      </c>
      <c r="E2737">
        <v>0</v>
      </c>
      <c r="F2737">
        <v>0</v>
      </c>
      <c r="G2737">
        <v>-150.57630825999999</v>
      </c>
      <c r="H2737">
        <v>-822.99256005999814</v>
      </c>
      <c r="I2737">
        <v>0</v>
      </c>
      <c r="J2737">
        <v>0</v>
      </c>
      <c r="K2737">
        <v>1.8710413299999999</v>
      </c>
      <c r="L2737">
        <v>-2705</v>
      </c>
      <c r="M2737">
        <v>0</v>
      </c>
      <c r="N2737">
        <v>0</v>
      </c>
      <c r="O2737">
        <v>233.7852043296738</v>
      </c>
      <c r="P2737">
        <v>360432.50146221981</v>
      </c>
    </row>
    <row r="2738" spans="1:16" x14ac:dyDescent="0.25">
      <c r="A2738" s="10">
        <v>41662</v>
      </c>
      <c r="B2738">
        <v>140.2515519702574</v>
      </c>
      <c r="C2738">
        <v>-1598.9749999999999</v>
      </c>
      <c r="D2738">
        <v>0</v>
      </c>
      <c r="E2738">
        <v>-1850</v>
      </c>
      <c r="F2738">
        <v>0</v>
      </c>
      <c r="G2738">
        <v>-444.41919415000012</v>
      </c>
      <c r="H2738">
        <v>-738.22154256999966</v>
      </c>
      <c r="I2738">
        <v>0</v>
      </c>
      <c r="J2738">
        <v>0</v>
      </c>
      <c r="K2738">
        <v>2.05834501</v>
      </c>
      <c r="L2738">
        <v>-122.9</v>
      </c>
      <c r="M2738">
        <v>0</v>
      </c>
      <c r="N2738">
        <v>0</v>
      </c>
      <c r="O2738">
        <v>4892.7089436802562</v>
      </c>
      <c r="P2738">
        <v>360572.75301419012</v>
      </c>
    </row>
    <row r="2739" spans="1:16" x14ac:dyDescent="0.25">
      <c r="A2739" s="10">
        <v>41663</v>
      </c>
      <c r="B2739">
        <v>-4040.3608309801771</v>
      </c>
      <c r="C2739">
        <v>-1540.8</v>
      </c>
      <c r="D2739">
        <v>0</v>
      </c>
      <c r="E2739">
        <v>0</v>
      </c>
      <c r="F2739">
        <v>0</v>
      </c>
      <c r="G2739">
        <v>142.23786705000001</v>
      </c>
      <c r="H2739">
        <v>-3250.2933338400021</v>
      </c>
      <c r="I2739">
        <v>0</v>
      </c>
      <c r="J2739">
        <v>0</v>
      </c>
      <c r="K2739">
        <v>2.2603261199999989</v>
      </c>
      <c r="L2739">
        <v>0</v>
      </c>
      <c r="M2739">
        <v>0</v>
      </c>
      <c r="N2739">
        <v>0</v>
      </c>
      <c r="O2739">
        <v>606.23430968982507</v>
      </c>
      <c r="P2739">
        <v>356532.39218320989</v>
      </c>
    </row>
    <row r="2740" spans="1:16" x14ac:dyDescent="0.25">
      <c r="A2740" s="10">
        <v>41666</v>
      </c>
      <c r="B2740">
        <v>-2800.283985159941</v>
      </c>
      <c r="C2740">
        <v>-893.45299999999997</v>
      </c>
      <c r="D2740">
        <v>0</v>
      </c>
      <c r="E2740">
        <v>0</v>
      </c>
      <c r="F2740">
        <v>0</v>
      </c>
      <c r="G2740">
        <v>-46.150076460000001</v>
      </c>
      <c r="H2740">
        <v>-2324.8737572799978</v>
      </c>
      <c r="I2740">
        <v>0</v>
      </c>
      <c r="J2740">
        <v>0</v>
      </c>
      <c r="K2740">
        <v>9.7945685099999977</v>
      </c>
      <c r="L2740">
        <v>144.69999999999999</v>
      </c>
      <c r="M2740">
        <v>0</v>
      </c>
      <c r="N2740">
        <v>0</v>
      </c>
      <c r="O2740">
        <v>309.69828007005782</v>
      </c>
      <c r="P2740">
        <v>353732.10819804989</v>
      </c>
    </row>
    <row r="2741" spans="1:16" x14ac:dyDescent="0.25">
      <c r="A2741" s="10">
        <v>41667</v>
      </c>
      <c r="B2741">
        <v>3474.5207935500648</v>
      </c>
      <c r="C2741">
        <v>-749.65900000000011</v>
      </c>
      <c r="D2741">
        <v>0</v>
      </c>
      <c r="E2741">
        <v>0</v>
      </c>
      <c r="F2741">
        <v>0</v>
      </c>
      <c r="G2741">
        <v>79.516541560000007</v>
      </c>
      <c r="H2741">
        <v>3840.2164015699959</v>
      </c>
      <c r="I2741">
        <v>0</v>
      </c>
      <c r="J2741">
        <v>37.5</v>
      </c>
      <c r="K2741">
        <v>4.1895744199999996</v>
      </c>
      <c r="L2741">
        <v>-8.1000000000000014</v>
      </c>
      <c r="M2741">
        <v>0</v>
      </c>
      <c r="N2741">
        <v>0</v>
      </c>
      <c r="O2741">
        <v>270.8572760000684</v>
      </c>
      <c r="P2741">
        <v>357206.62899160001</v>
      </c>
    </row>
    <row r="2742" spans="1:16" x14ac:dyDescent="0.25">
      <c r="A2742" s="10">
        <v>41668</v>
      </c>
      <c r="B2742">
        <v>5369.3227670500073</v>
      </c>
      <c r="C2742">
        <v>-373.07100000000003</v>
      </c>
      <c r="D2742">
        <v>0</v>
      </c>
      <c r="E2742">
        <v>0</v>
      </c>
      <c r="F2742">
        <v>0</v>
      </c>
      <c r="G2742">
        <v>7388.6271111200003</v>
      </c>
      <c r="H2742">
        <v>3495.3541661200029</v>
      </c>
      <c r="I2742">
        <v>0</v>
      </c>
      <c r="J2742">
        <v>0</v>
      </c>
      <c r="K2742">
        <v>2.3275833499999998</v>
      </c>
      <c r="L2742">
        <v>-5077.6000000000004</v>
      </c>
      <c r="M2742">
        <v>0</v>
      </c>
      <c r="N2742">
        <v>0</v>
      </c>
      <c r="O2742">
        <v>-66.31509353999536</v>
      </c>
      <c r="P2742">
        <v>362575.95175865002</v>
      </c>
    </row>
    <row r="2743" spans="1:16" x14ac:dyDescent="0.25">
      <c r="A2743" s="10">
        <v>41669</v>
      </c>
      <c r="B2743">
        <v>1869.7595573901201</v>
      </c>
      <c r="C2743">
        <v>-727.24599999999998</v>
      </c>
      <c r="D2743">
        <v>0</v>
      </c>
      <c r="E2743">
        <v>1900</v>
      </c>
      <c r="F2743">
        <v>0</v>
      </c>
      <c r="G2743">
        <v>49.970908420000171</v>
      </c>
      <c r="H2743">
        <v>656.2518979000015</v>
      </c>
      <c r="I2743">
        <v>0</v>
      </c>
      <c r="J2743">
        <v>0</v>
      </c>
      <c r="K2743">
        <v>1.4401208000000001</v>
      </c>
      <c r="L2743">
        <v>0</v>
      </c>
      <c r="M2743">
        <v>0</v>
      </c>
      <c r="N2743">
        <v>0</v>
      </c>
      <c r="O2743">
        <v>-10.65736972988179</v>
      </c>
      <c r="P2743">
        <v>364445.71131604008</v>
      </c>
    </row>
    <row r="2744" spans="1:16" x14ac:dyDescent="0.25">
      <c r="A2744" s="10">
        <v>41670</v>
      </c>
      <c r="B2744">
        <v>-588.12634321028668</v>
      </c>
      <c r="C2744">
        <v>-324.89</v>
      </c>
      <c r="D2744">
        <v>0</v>
      </c>
      <c r="E2744">
        <v>0</v>
      </c>
      <c r="F2744">
        <v>0</v>
      </c>
      <c r="G2744">
        <v>-73.75761564000004</v>
      </c>
      <c r="H2744">
        <v>-428.65165034000171</v>
      </c>
      <c r="I2744">
        <v>0</v>
      </c>
      <c r="J2744">
        <v>0</v>
      </c>
      <c r="K2744">
        <v>1.4964663199999999</v>
      </c>
      <c r="L2744">
        <v>0</v>
      </c>
      <c r="M2744">
        <v>0</v>
      </c>
      <c r="N2744">
        <v>0</v>
      </c>
      <c r="O2744">
        <v>237.676456449715</v>
      </c>
      <c r="P2744">
        <v>363857.58497282979</v>
      </c>
    </row>
    <row r="2745" spans="1:16" x14ac:dyDescent="0.25">
      <c r="A2745" s="10">
        <v>41673</v>
      </c>
      <c r="B2745">
        <v>-3182.1306962598469</v>
      </c>
      <c r="C2745">
        <v>-16.184999999999999</v>
      </c>
      <c r="D2745">
        <v>-800</v>
      </c>
      <c r="E2745">
        <v>0</v>
      </c>
      <c r="F2745">
        <v>0</v>
      </c>
      <c r="G2745">
        <v>70.005731440000091</v>
      </c>
      <c r="H2745">
        <v>-2971.35710333</v>
      </c>
      <c r="I2745">
        <v>0</v>
      </c>
      <c r="J2745">
        <v>0</v>
      </c>
      <c r="K2745">
        <v>5.1757412900000013</v>
      </c>
      <c r="L2745">
        <v>0</v>
      </c>
      <c r="M2745">
        <v>0</v>
      </c>
      <c r="N2745">
        <v>0</v>
      </c>
      <c r="O2745">
        <v>530.22993434015223</v>
      </c>
      <c r="P2745">
        <v>360675.45427657</v>
      </c>
    </row>
    <row r="2746" spans="1:16" x14ac:dyDescent="0.25">
      <c r="A2746" s="10">
        <v>41674</v>
      </c>
      <c r="B2746">
        <v>-2425.9579141800059</v>
      </c>
      <c r="C2746">
        <v>0</v>
      </c>
      <c r="D2746">
        <v>0</v>
      </c>
      <c r="E2746">
        <v>0</v>
      </c>
      <c r="F2746">
        <v>0</v>
      </c>
      <c r="G2746">
        <v>-350.06727536</v>
      </c>
      <c r="H2746">
        <v>-1743.1848075799969</v>
      </c>
      <c r="I2746">
        <v>0</v>
      </c>
      <c r="J2746">
        <v>0</v>
      </c>
      <c r="K2746">
        <v>2.1519925099999999</v>
      </c>
      <c r="L2746">
        <v>0</v>
      </c>
      <c r="M2746">
        <v>0</v>
      </c>
      <c r="N2746">
        <v>0</v>
      </c>
      <c r="O2746">
        <v>-334.85782375000872</v>
      </c>
      <c r="P2746">
        <v>358249.49636239</v>
      </c>
    </row>
    <row r="2747" spans="1:16" x14ac:dyDescent="0.25">
      <c r="A2747" s="10">
        <v>41675</v>
      </c>
      <c r="B2747">
        <v>-8810.5016941399081</v>
      </c>
      <c r="C2747">
        <v>2841.1129999999998</v>
      </c>
      <c r="D2747">
        <v>0</v>
      </c>
      <c r="E2747">
        <v>0</v>
      </c>
      <c r="F2747">
        <v>0</v>
      </c>
      <c r="G2747">
        <v>52.102778139999941</v>
      </c>
      <c r="H2747">
        <v>-2991.5767682500009</v>
      </c>
      <c r="I2747">
        <v>0</v>
      </c>
      <c r="J2747">
        <v>0</v>
      </c>
      <c r="K2747">
        <v>2.539662949999999</v>
      </c>
      <c r="L2747">
        <v>-7194.0999999999995</v>
      </c>
      <c r="M2747">
        <v>0</v>
      </c>
      <c r="N2747">
        <v>0</v>
      </c>
      <c r="O2747">
        <v>-1520.580366979907</v>
      </c>
      <c r="P2747">
        <v>349438.99466825009</v>
      </c>
    </row>
    <row r="2748" spans="1:16" x14ac:dyDescent="0.25">
      <c r="A2748" s="10">
        <v>41676</v>
      </c>
      <c r="B2748">
        <v>1671.607503569857</v>
      </c>
      <c r="C2748">
        <v>3213.576</v>
      </c>
      <c r="D2748">
        <v>0</v>
      </c>
      <c r="E2748">
        <v>0</v>
      </c>
      <c r="F2748">
        <v>0</v>
      </c>
      <c r="G2748">
        <v>136.87655007999999</v>
      </c>
      <c r="H2748">
        <v>-749.73447416000272</v>
      </c>
      <c r="I2748">
        <v>0</v>
      </c>
      <c r="J2748">
        <v>8.0999999999999091</v>
      </c>
      <c r="K2748">
        <v>3.3804590599999988</v>
      </c>
      <c r="L2748">
        <v>1441.3</v>
      </c>
      <c r="M2748">
        <v>0</v>
      </c>
      <c r="N2748">
        <v>0</v>
      </c>
      <c r="O2748">
        <v>-2381.891031410139</v>
      </c>
      <c r="P2748">
        <v>351110.60217181989</v>
      </c>
    </row>
    <row r="2749" spans="1:16" x14ac:dyDescent="0.25">
      <c r="A2749" s="10">
        <v>41677</v>
      </c>
      <c r="B2749">
        <v>-1761.7135443398729</v>
      </c>
      <c r="C2749">
        <v>2815.5549999999998</v>
      </c>
      <c r="D2749">
        <v>0</v>
      </c>
      <c r="E2749">
        <v>0</v>
      </c>
      <c r="F2749">
        <v>0</v>
      </c>
      <c r="G2749">
        <v>-321.58863631999998</v>
      </c>
      <c r="H2749">
        <v>-3555.8776181299982</v>
      </c>
      <c r="I2749">
        <v>0</v>
      </c>
      <c r="J2749">
        <v>42</v>
      </c>
      <c r="K2749">
        <v>3.4145417499999988</v>
      </c>
      <c r="L2749">
        <v>455.1</v>
      </c>
      <c r="M2749">
        <v>0</v>
      </c>
      <c r="N2749">
        <v>0</v>
      </c>
      <c r="O2749">
        <v>-1200.3168316398751</v>
      </c>
      <c r="P2749">
        <v>349348.88862748008</v>
      </c>
    </row>
    <row r="2750" spans="1:16" x14ac:dyDescent="0.25">
      <c r="A2750" s="10">
        <v>41680</v>
      </c>
      <c r="B2750">
        <v>-2595.595138909935</v>
      </c>
      <c r="C2750">
        <v>-593.35250000000008</v>
      </c>
      <c r="D2750">
        <v>0</v>
      </c>
      <c r="E2750">
        <v>-2800</v>
      </c>
      <c r="F2750">
        <v>0</v>
      </c>
      <c r="G2750">
        <v>-34.659137750000077</v>
      </c>
      <c r="H2750">
        <v>-96.621358540000074</v>
      </c>
      <c r="I2750">
        <v>0</v>
      </c>
      <c r="J2750">
        <v>-92.599999999999909</v>
      </c>
      <c r="K2750">
        <v>-22.992523050000369</v>
      </c>
      <c r="L2750">
        <v>0</v>
      </c>
      <c r="M2750">
        <v>0</v>
      </c>
      <c r="N2750">
        <v>0</v>
      </c>
      <c r="O2750">
        <v>1044.6303804300651</v>
      </c>
      <c r="P2750">
        <v>346753.29348857008</v>
      </c>
    </row>
    <row r="2751" spans="1:16" x14ac:dyDescent="0.25">
      <c r="A2751" s="10">
        <v>41681</v>
      </c>
      <c r="B2751">
        <v>45.732935459587679</v>
      </c>
      <c r="C2751">
        <v>163.27500000000001</v>
      </c>
      <c r="D2751">
        <v>0</v>
      </c>
      <c r="E2751">
        <v>0</v>
      </c>
      <c r="F2751">
        <v>0</v>
      </c>
      <c r="G2751">
        <v>-111.24546499</v>
      </c>
      <c r="H2751">
        <v>-705.77271714999733</v>
      </c>
      <c r="I2751">
        <v>0</v>
      </c>
      <c r="J2751">
        <v>0</v>
      </c>
      <c r="K2751">
        <v>4.4946437699999988</v>
      </c>
      <c r="L2751">
        <v>0</v>
      </c>
      <c r="M2751">
        <v>0</v>
      </c>
      <c r="N2751">
        <v>0</v>
      </c>
      <c r="O2751">
        <v>694.98147382958496</v>
      </c>
      <c r="P2751">
        <v>346799.02642402973</v>
      </c>
    </row>
    <row r="2752" spans="1:16" x14ac:dyDescent="0.25">
      <c r="A2752" s="10">
        <v>41682</v>
      </c>
      <c r="B2752">
        <v>5433.2429367002933</v>
      </c>
      <c r="C2752">
        <v>1195.8923199999999</v>
      </c>
      <c r="D2752">
        <v>0</v>
      </c>
      <c r="E2752">
        <v>0</v>
      </c>
      <c r="F2752">
        <v>0</v>
      </c>
      <c r="G2752">
        <v>109.35523095000011</v>
      </c>
      <c r="H2752">
        <v>15686.48296234</v>
      </c>
      <c r="I2752">
        <v>0</v>
      </c>
      <c r="J2752">
        <v>0</v>
      </c>
      <c r="K2752">
        <v>5.3082554300000009</v>
      </c>
      <c r="L2752">
        <v>-11274.1</v>
      </c>
      <c r="M2752">
        <v>0</v>
      </c>
      <c r="N2752">
        <v>0</v>
      </c>
      <c r="O2752">
        <v>-289.69583201970852</v>
      </c>
      <c r="P2752">
        <v>352232.26936073002</v>
      </c>
    </row>
    <row r="2753" spans="1:16" x14ac:dyDescent="0.25">
      <c r="A2753" s="10">
        <v>41683</v>
      </c>
      <c r="B2753">
        <v>960.77987645991493</v>
      </c>
      <c r="C2753">
        <v>494.26</v>
      </c>
      <c r="D2753">
        <v>0</v>
      </c>
      <c r="E2753">
        <v>2800</v>
      </c>
      <c r="F2753">
        <v>0</v>
      </c>
      <c r="G2753">
        <v>-33.340461670000018</v>
      </c>
      <c r="H2753">
        <v>-1667.0258138000011</v>
      </c>
      <c r="I2753">
        <v>0</v>
      </c>
      <c r="J2753">
        <v>0</v>
      </c>
      <c r="K2753">
        <v>2.8797793899999999</v>
      </c>
      <c r="L2753">
        <v>0</v>
      </c>
      <c r="M2753">
        <v>0</v>
      </c>
      <c r="N2753">
        <v>0</v>
      </c>
      <c r="O2753">
        <v>-635.99362746008455</v>
      </c>
      <c r="P2753">
        <v>353193.04923718987</v>
      </c>
    </row>
    <row r="2754" spans="1:16" x14ac:dyDescent="0.25">
      <c r="A2754" s="10">
        <v>41684</v>
      </c>
      <c r="B2754">
        <v>-715.83043498999814</v>
      </c>
      <c r="C2754">
        <v>518.86500000000001</v>
      </c>
      <c r="D2754">
        <v>0</v>
      </c>
      <c r="E2754">
        <v>0</v>
      </c>
      <c r="F2754">
        <v>0</v>
      </c>
      <c r="G2754">
        <v>174.88110252999999</v>
      </c>
      <c r="H2754">
        <v>-925.47286285999871</v>
      </c>
      <c r="I2754">
        <v>0</v>
      </c>
      <c r="J2754">
        <v>0</v>
      </c>
      <c r="K2754">
        <v>1.6513071699999999</v>
      </c>
      <c r="L2754">
        <v>0</v>
      </c>
      <c r="M2754">
        <v>0</v>
      </c>
      <c r="N2754">
        <v>0</v>
      </c>
      <c r="O2754">
        <v>-485.75498182999951</v>
      </c>
      <c r="P2754">
        <v>352477.21880219987</v>
      </c>
    </row>
    <row r="2755" spans="1:16" x14ac:dyDescent="0.25">
      <c r="A2755" s="10">
        <v>41687</v>
      </c>
      <c r="B2755">
        <v>-5985.044317019755</v>
      </c>
      <c r="C2755">
        <v>158.77500000000001</v>
      </c>
      <c r="D2755">
        <v>0</v>
      </c>
      <c r="E2755">
        <v>-4000</v>
      </c>
      <c r="F2755">
        <v>0</v>
      </c>
      <c r="G2755">
        <v>-1231.1961756400001</v>
      </c>
      <c r="H2755">
        <v>-603.35772852000082</v>
      </c>
      <c r="I2755">
        <v>0</v>
      </c>
      <c r="J2755">
        <v>3.5</v>
      </c>
      <c r="K2755">
        <v>5.7778863300000012</v>
      </c>
      <c r="L2755">
        <v>0</v>
      </c>
      <c r="M2755">
        <v>0</v>
      </c>
      <c r="N2755">
        <v>0</v>
      </c>
      <c r="O2755">
        <v>-318.54329918975452</v>
      </c>
      <c r="P2755">
        <v>346492.17448518018</v>
      </c>
    </row>
    <row r="2756" spans="1:16" x14ac:dyDescent="0.25">
      <c r="A2756" s="10">
        <v>41688</v>
      </c>
      <c r="B2756">
        <v>-403.80435022024949</v>
      </c>
      <c r="C2756">
        <v>1323.326</v>
      </c>
      <c r="D2756">
        <v>0</v>
      </c>
      <c r="E2756">
        <v>0</v>
      </c>
      <c r="F2756">
        <v>0</v>
      </c>
      <c r="G2756">
        <v>-458.74700903000019</v>
      </c>
      <c r="H2756">
        <v>-1439.1832106999971</v>
      </c>
      <c r="I2756">
        <v>0</v>
      </c>
      <c r="J2756">
        <v>6.8000000000001819</v>
      </c>
      <c r="K2756">
        <v>1.8969042199999999</v>
      </c>
      <c r="L2756">
        <v>0</v>
      </c>
      <c r="M2756">
        <v>0</v>
      </c>
      <c r="N2756">
        <v>0</v>
      </c>
      <c r="O2756">
        <v>162.10296528974769</v>
      </c>
      <c r="P2756">
        <v>346088.37013495993</v>
      </c>
    </row>
    <row r="2757" spans="1:16" x14ac:dyDescent="0.25">
      <c r="A2757" s="10">
        <v>41689</v>
      </c>
      <c r="B2757">
        <v>-3495.073089729995</v>
      </c>
      <c r="C2757">
        <v>571.78499999999997</v>
      </c>
      <c r="D2757">
        <v>0</v>
      </c>
      <c r="E2757">
        <v>0</v>
      </c>
      <c r="F2757">
        <v>0</v>
      </c>
      <c r="G2757">
        <v>34.4539295900002</v>
      </c>
      <c r="H2757">
        <v>950.49114087999988</v>
      </c>
      <c r="I2757">
        <v>0</v>
      </c>
      <c r="J2757">
        <v>0</v>
      </c>
      <c r="K2757">
        <v>2.9763307299999999</v>
      </c>
      <c r="L2757">
        <v>-5117.6000000000004</v>
      </c>
      <c r="M2757">
        <v>0</v>
      </c>
      <c r="N2757">
        <v>0</v>
      </c>
      <c r="O2757">
        <v>62.820509070005571</v>
      </c>
      <c r="P2757">
        <v>342593.29704522988</v>
      </c>
    </row>
    <row r="2758" spans="1:16" x14ac:dyDescent="0.25">
      <c r="A2758" s="10">
        <v>41690</v>
      </c>
      <c r="B2758">
        <v>2603.9264802900129</v>
      </c>
      <c r="C2758">
        <v>-350.58300000000003</v>
      </c>
      <c r="D2758">
        <v>0</v>
      </c>
      <c r="E2758">
        <v>4000</v>
      </c>
      <c r="F2758">
        <v>0</v>
      </c>
      <c r="G2758">
        <v>-129.6536430200002</v>
      </c>
      <c r="H2758">
        <v>-1607.4395383400019</v>
      </c>
      <c r="I2758">
        <v>0</v>
      </c>
      <c r="J2758">
        <v>6.5999999999999091</v>
      </c>
      <c r="K2758">
        <v>2.6167004500000002</v>
      </c>
      <c r="L2758">
        <v>280.60000000000002</v>
      </c>
      <c r="M2758">
        <v>0</v>
      </c>
      <c r="N2758">
        <v>0</v>
      </c>
      <c r="O2758">
        <v>401.78596120001617</v>
      </c>
      <c r="P2758">
        <v>345197.22352551989</v>
      </c>
    </row>
    <row r="2759" spans="1:16" x14ac:dyDescent="0.25">
      <c r="A2759" s="10">
        <v>41691</v>
      </c>
      <c r="B2759">
        <v>-6461.4325171001256</v>
      </c>
      <c r="C2759">
        <v>-125.2555</v>
      </c>
      <c r="D2759">
        <v>0</v>
      </c>
      <c r="E2759">
        <v>-2300</v>
      </c>
      <c r="F2759">
        <v>0</v>
      </c>
      <c r="G2759">
        <v>893.67486792999989</v>
      </c>
      <c r="H2759">
        <v>-5298.0017422000001</v>
      </c>
      <c r="I2759">
        <v>0</v>
      </c>
      <c r="J2759">
        <v>1.922889479999867</v>
      </c>
      <c r="K2759">
        <v>2.5331697499999999</v>
      </c>
      <c r="L2759">
        <v>0</v>
      </c>
      <c r="M2759">
        <v>0</v>
      </c>
      <c r="N2759">
        <v>0</v>
      </c>
      <c r="O2759">
        <v>363.69379793987429</v>
      </c>
      <c r="P2759">
        <v>338735.79100841988</v>
      </c>
    </row>
    <row r="2760" spans="1:16" x14ac:dyDescent="0.25">
      <c r="A2760" s="10">
        <v>41694</v>
      </c>
      <c r="B2760">
        <v>1281.754169150254</v>
      </c>
      <c r="C2760">
        <v>-172.357</v>
      </c>
      <c r="D2760">
        <v>-1200</v>
      </c>
      <c r="E2760">
        <v>0</v>
      </c>
      <c r="F2760">
        <v>0</v>
      </c>
      <c r="G2760">
        <v>-318.32803853000001</v>
      </c>
      <c r="H2760">
        <v>3048.62984297</v>
      </c>
      <c r="I2760">
        <v>0</v>
      </c>
      <c r="J2760">
        <v>0</v>
      </c>
      <c r="K2760">
        <v>10.448083520000001</v>
      </c>
      <c r="L2760">
        <v>0</v>
      </c>
      <c r="M2760">
        <v>0</v>
      </c>
      <c r="N2760">
        <v>0</v>
      </c>
      <c r="O2760">
        <v>-86.638718809745484</v>
      </c>
      <c r="P2760">
        <v>340017.54517757008</v>
      </c>
    </row>
    <row r="2761" spans="1:16" x14ac:dyDescent="0.25">
      <c r="A2761" s="10">
        <v>41695</v>
      </c>
      <c r="B2761">
        <v>-9540.3477120202133</v>
      </c>
      <c r="C2761">
        <v>0.43200000000001643</v>
      </c>
      <c r="D2761">
        <v>0</v>
      </c>
      <c r="E2761">
        <v>0</v>
      </c>
      <c r="F2761">
        <v>0</v>
      </c>
      <c r="G2761">
        <v>389.42456319000001</v>
      </c>
      <c r="H2761">
        <v>-10306.625504910009</v>
      </c>
      <c r="I2761">
        <v>0</v>
      </c>
      <c r="J2761">
        <v>12.637060000000019</v>
      </c>
      <c r="K2761">
        <v>3.0355509300000012</v>
      </c>
      <c r="L2761">
        <v>0</v>
      </c>
      <c r="M2761">
        <v>0</v>
      </c>
      <c r="N2761">
        <v>0</v>
      </c>
      <c r="O2761">
        <v>360.74861876979338</v>
      </c>
      <c r="P2761">
        <v>330477.19746554992</v>
      </c>
    </row>
    <row r="2762" spans="1:16" x14ac:dyDescent="0.25">
      <c r="A2762" s="10">
        <v>41696</v>
      </c>
      <c r="B2762">
        <v>9259.8931023099576</v>
      </c>
      <c r="C2762">
        <v>-62.566000000000003</v>
      </c>
      <c r="D2762">
        <v>0</v>
      </c>
      <c r="E2762">
        <v>0</v>
      </c>
      <c r="F2762">
        <v>0</v>
      </c>
      <c r="G2762">
        <v>-876.31600723000008</v>
      </c>
      <c r="H2762">
        <v>15523.541185120001</v>
      </c>
      <c r="I2762">
        <v>0</v>
      </c>
      <c r="J2762">
        <v>0</v>
      </c>
      <c r="K2762">
        <v>5.3042650299999998</v>
      </c>
      <c r="L2762">
        <v>-5839.6</v>
      </c>
      <c r="M2762">
        <v>0</v>
      </c>
      <c r="N2762">
        <v>0</v>
      </c>
      <c r="O2762">
        <v>509.52965938995578</v>
      </c>
      <c r="P2762">
        <v>339737.09056785982</v>
      </c>
    </row>
    <row r="2763" spans="1:16" x14ac:dyDescent="0.25">
      <c r="A2763" s="10">
        <v>41697</v>
      </c>
      <c r="B2763">
        <v>-7221.6145523596806</v>
      </c>
      <c r="C2763">
        <v>-23.742000000000019</v>
      </c>
      <c r="D2763">
        <v>0</v>
      </c>
      <c r="E2763">
        <v>2300</v>
      </c>
      <c r="F2763">
        <v>0</v>
      </c>
      <c r="G2763">
        <v>615.52741824000009</v>
      </c>
      <c r="H2763">
        <v>-10600.341392230001</v>
      </c>
      <c r="I2763">
        <v>0</v>
      </c>
      <c r="J2763">
        <v>0</v>
      </c>
      <c r="K2763">
        <v>2.81258791</v>
      </c>
      <c r="L2763">
        <v>0</v>
      </c>
      <c r="M2763">
        <v>0</v>
      </c>
      <c r="N2763">
        <v>0</v>
      </c>
      <c r="O2763">
        <v>484.12883372032081</v>
      </c>
      <c r="P2763">
        <v>332515.4760155002</v>
      </c>
    </row>
    <row r="2764" spans="1:16" x14ac:dyDescent="0.25">
      <c r="A2764" s="10">
        <v>41698</v>
      </c>
      <c r="B2764">
        <v>12303.52062425978</v>
      </c>
      <c r="C2764">
        <v>971.25199999999995</v>
      </c>
      <c r="D2764">
        <v>0</v>
      </c>
      <c r="E2764">
        <v>0</v>
      </c>
      <c r="F2764">
        <v>0</v>
      </c>
      <c r="G2764">
        <v>-352.54986240000011</v>
      </c>
      <c r="H2764">
        <v>12007.464403309999</v>
      </c>
      <c r="I2764">
        <v>0</v>
      </c>
      <c r="J2764">
        <v>0</v>
      </c>
      <c r="K2764">
        <v>4.7389584500000002</v>
      </c>
      <c r="L2764">
        <v>-71</v>
      </c>
      <c r="M2764">
        <v>0</v>
      </c>
      <c r="N2764">
        <v>0</v>
      </c>
      <c r="O2764">
        <v>-256.38487510021622</v>
      </c>
      <c r="P2764">
        <v>344818.99663975992</v>
      </c>
    </row>
    <row r="2765" spans="1:16" x14ac:dyDescent="0.25">
      <c r="A2765" s="10">
        <v>41703</v>
      </c>
      <c r="B2765">
        <v>4541.7690687797149</v>
      </c>
      <c r="C2765">
        <v>-307.76</v>
      </c>
      <c r="D2765">
        <v>0</v>
      </c>
      <c r="E2765">
        <v>0</v>
      </c>
      <c r="F2765">
        <v>0</v>
      </c>
      <c r="G2765">
        <v>460.80262426999991</v>
      </c>
      <c r="H2765">
        <v>4464.946679040002</v>
      </c>
      <c r="I2765">
        <v>0</v>
      </c>
      <c r="J2765">
        <v>0</v>
      </c>
      <c r="K2765">
        <v>7.8332049600000007</v>
      </c>
      <c r="L2765">
        <v>542.09999999999991</v>
      </c>
      <c r="M2765">
        <v>0</v>
      </c>
      <c r="N2765">
        <v>0</v>
      </c>
      <c r="O2765">
        <v>-626.15343949028647</v>
      </c>
      <c r="P2765">
        <v>349360.76570853958</v>
      </c>
    </row>
    <row r="2766" spans="1:16" x14ac:dyDescent="0.25">
      <c r="A2766" s="10">
        <v>41704</v>
      </c>
      <c r="B2766">
        <v>1813.7512754600609</v>
      </c>
      <c r="C2766">
        <v>19.196000000000002</v>
      </c>
      <c r="D2766">
        <v>0</v>
      </c>
      <c r="E2766">
        <v>0</v>
      </c>
      <c r="F2766">
        <v>0</v>
      </c>
      <c r="G2766">
        <v>259.71170770999998</v>
      </c>
      <c r="H2766">
        <v>-1246.7392298499999</v>
      </c>
      <c r="I2766">
        <v>0</v>
      </c>
      <c r="J2766">
        <v>6</v>
      </c>
      <c r="K2766">
        <v>0.52143578999999995</v>
      </c>
      <c r="L2766">
        <v>2998.7</v>
      </c>
      <c r="M2766">
        <v>0</v>
      </c>
      <c r="N2766">
        <v>0</v>
      </c>
      <c r="O2766">
        <v>-223.6386381899396</v>
      </c>
      <c r="P2766">
        <v>351174.5169839997</v>
      </c>
    </row>
    <row r="2767" spans="1:16" x14ac:dyDescent="0.25">
      <c r="A2767" s="10">
        <v>41705</v>
      </c>
      <c r="B2767">
        <v>2247.2642674205122</v>
      </c>
      <c r="C2767">
        <v>644.18550000000005</v>
      </c>
      <c r="D2767">
        <v>0</v>
      </c>
      <c r="E2767">
        <v>0</v>
      </c>
      <c r="F2767">
        <v>0</v>
      </c>
      <c r="G2767">
        <v>-260.98499382</v>
      </c>
      <c r="H2767">
        <v>-502.44865092000049</v>
      </c>
      <c r="I2767">
        <v>0</v>
      </c>
      <c r="J2767">
        <v>0</v>
      </c>
      <c r="K2767">
        <v>0.39940135999999998</v>
      </c>
      <c r="L2767">
        <v>2557</v>
      </c>
      <c r="M2767">
        <v>0</v>
      </c>
      <c r="N2767">
        <v>0</v>
      </c>
      <c r="O2767">
        <v>-190.88698919948709</v>
      </c>
      <c r="P2767">
        <v>353421.78125142021</v>
      </c>
    </row>
    <row r="2768" spans="1:16" x14ac:dyDescent="0.25">
      <c r="A2768" s="10">
        <v>41708</v>
      </c>
      <c r="B2768">
        <v>1220.364514049666</v>
      </c>
      <c r="C2768">
        <v>365.47800000000001</v>
      </c>
      <c r="D2768">
        <v>0</v>
      </c>
      <c r="E2768">
        <v>0</v>
      </c>
      <c r="F2768">
        <v>0</v>
      </c>
      <c r="G2768">
        <v>-524.02646565999987</v>
      </c>
      <c r="H2768">
        <v>1561.1290144500001</v>
      </c>
      <c r="I2768">
        <v>0</v>
      </c>
      <c r="J2768">
        <v>0</v>
      </c>
      <c r="K2768">
        <v>1.4078379400000001</v>
      </c>
      <c r="L2768">
        <v>0</v>
      </c>
      <c r="M2768">
        <v>0</v>
      </c>
      <c r="N2768">
        <v>0</v>
      </c>
      <c r="O2768">
        <v>-183.62387268033339</v>
      </c>
      <c r="P2768">
        <v>354642.14576546988</v>
      </c>
    </row>
    <row r="2769" spans="1:16" x14ac:dyDescent="0.25">
      <c r="A2769" s="10">
        <v>41709</v>
      </c>
      <c r="B2769">
        <v>-476.133769549953</v>
      </c>
      <c r="C2769">
        <v>-880.19520000000011</v>
      </c>
      <c r="D2769">
        <v>0</v>
      </c>
      <c r="E2769">
        <v>0</v>
      </c>
      <c r="F2769">
        <v>0</v>
      </c>
      <c r="G2769">
        <v>355.0542366599999</v>
      </c>
      <c r="H2769">
        <v>12.65762631999951</v>
      </c>
      <c r="I2769">
        <v>0</v>
      </c>
      <c r="J2769">
        <v>0</v>
      </c>
      <c r="K2769">
        <v>0.50268316999999996</v>
      </c>
      <c r="L2769">
        <v>0</v>
      </c>
      <c r="M2769">
        <v>0</v>
      </c>
      <c r="N2769">
        <v>0</v>
      </c>
      <c r="O2769">
        <v>35.846884300047712</v>
      </c>
      <c r="P2769">
        <v>354166.01199591992</v>
      </c>
    </row>
    <row r="2770" spans="1:16" x14ac:dyDescent="0.25">
      <c r="A2770" s="10">
        <v>41710</v>
      </c>
      <c r="B2770">
        <v>-224.57524258981019</v>
      </c>
      <c r="C2770">
        <v>1566.903</v>
      </c>
      <c r="D2770">
        <v>0</v>
      </c>
      <c r="E2770">
        <v>0</v>
      </c>
      <c r="F2770">
        <v>0</v>
      </c>
      <c r="G2770">
        <v>-200.31568718</v>
      </c>
      <c r="H2770">
        <v>724.01704608999808</v>
      </c>
      <c r="I2770">
        <v>0</v>
      </c>
      <c r="J2770">
        <v>-95.300000000000182</v>
      </c>
      <c r="K2770">
        <v>-32.457877420000202</v>
      </c>
      <c r="L2770">
        <v>-2086.5</v>
      </c>
      <c r="M2770">
        <v>0</v>
      </c>
      <c r="N2770">
        <v>0</v>
      </c>
      <c r="O2770">
        <v>-100.921724079808</v>
      </c>
      <c r="P2770">
        <v>353941.43675333011</v>
      </c>
    </row>
    <row r="2771" spans="1:16" x14ac:dyDescent="0.25">
      <c r="A2771" s="10">
        <v>41711</v>
      </c>
      <c r="B2771">
        <v>1735.9473146097739</v>
      </c>
      <c r="C2771">
        <v>197.434</v>
      </c>
      <c r="D2771">
        <v>0</v>
      </c>
      <c r="E2771">
        <v>2600</v>
      </c>
      <c r="F2771">
        <v>0</v>
      </c>
      <c r="G2771">
        <v>-2720.5086973000002</v>
      </c>
      <c r="H2771">
        <v>-1094.9455902899999</v>
      </c>
      <c r="I2771">
        <v>0</v>
      </c>
      <c r="J2771">
        <v>0</v>
      </c>
      <c r="K2771">
        <v>0.27431517</v>
      </c>
      <c r="L2771">
        <v>2735.6</v>
      </c>
      <c r="M2771">
        <v>0</v>
      </c>
      <c r="N2771">
        <v>0</v>
      </c>
      <c r="O2771">
        <v>18.09328702977373</v>
      </c>
      <c r="P2771">
        <v>355677.38406793983</v>
      </c>
    </row>
    <row r="2772" spans="1:16" x14ac:dyDescent="0.25">
      <c r="A2772" s="10">
        <v>41712</v>
      </c>
      <c r="B2772">
        <v>1653.265664079983</v>
      </c>
      <c r="C2772">
        <v>436.06029999999998</v>
      </c>
      <c r="D2772">
        <v>0</v>
      </c>
      <c r="E2772">
        <v>0</v>
      </c>
      <c r="F2772">
        <v>0</v>
      </c>
      <c r="G2772">
        <v>28.065806259999992</v>
      </c>
      <c r="H2772">
        <v>734.99855608000053</v>
      </c>
      <c r="I2772">
        <v>0</v>
      </c>
      <c r="J2772">
        <v>2.5</v>
      </c>
      <c r="K2772">
        <v>0.35872163000000001</v>
      </c>
      <c r="L2772">
        <v>459.9</v>
      </c>
      <c r="M2772">
        <v>0</v>
      </c>
      <c r="N2772">
        <v>0</v>
      </c>
      <c r="O2772">
        <v>-8.6177198900177245</v>
      </c>
      <c r="P2772">
        <v>357330.64973201993</v>
      </c>
    </row>
    <row r="2773" spans="1:16" x14ac:dyDescent="0.25">
      <c r="A2773" s="10">
        <v>41715</v>
      </c>
      <c r="B2773">
        <v>-2669.3840352897528</v>
      </c>
      <c r="C2773">
        <v>-180.89519799999999</v>
      </c>
      <c r="D2773">
        <v>-2000</v>
      </c>
      <c r="E2773">
        <v>0</v>
      </c>
      <c r="F2773">
        <v>0</v>
      </c>
      <c r="G2773">
        <v>19.931302920000011</v>
      </c>
      <c r="H2773">
        <v>-649.08698299000116</v>
      </c>
      <c r="I2773">
        <v>0</v>
      </c>
      <c r="J2773">
        <v>16.440000000000051</v>
      </c>
      <c r="K2773">
        <v>1.0932749500000001</v>
      </c>
      <c r="L2773">
        <v>0</v>
      </c>
      <c r="M2773">
        <v>0</v>
      </c>
      <c r="N2773">
        <v>0</v>
      </c>
      <c r="O2773">
        <v>123.1335678302483</v>
      </c>
      <c r="P2773">
        <v>354661.26569673012</v>
      </c>
    </row>
    <row r="2774" spans="1:16" x14ac:dyDescent="0.25">
      <c r="A2774" s="10">
        <v>41716</v>
      </c>
      <c r="B2774">
        <v>-700.00004379020629</v>
      </c>
      <c r="C2774">
        <v>-340.84800000000001</v>
      </c>
      <c r="D2774">
        <v>0</v>
      </c>
      <c r="E2774">
        <v>0</v>
      </c>
      <c r="F2774">
        <v>0</v>
      </c>
      <c r="G2774">
        <v>-151.23794240999999</v>
      </c>
      <c r="H2774">
        <v>-763.23390876999838</v>
      </c>
      <c r="I2774">
        <v>0</v>
      </c>
      <c r="J2774">
        <v>21.230000000000022</v>
      </c>
      <c r="K2774">
        <v>0.55361451000000006</v>
      </c>
      <c r="L2774">
        <v>349.6</v>
      </c>
      <c r="M2774">
        <v>0</v>
      </c>
      <c r="N2774">
        <v>0</v>
      </c>
      <c r="O2774">
        <v>183.93619287979209</v>
      </c>
      <c r="P2774">
        <v>353961.26565293991</v>
      </c>
    </row>
    <row r="2775" spans="1:16" x14ac:dyDescent="0.25">
      <c r="A2775" s="10">
        <v>41717</v>
      </c>
      <c r="B2775">
        <v>189.12754170020321</v>
      </c>
      <c r="C2775">
        <v>461.04199999999997</v>
      </c>
      <c r="D2775">
        <v>0</v>
      </c>
      <c r="E2775">
        <v>0</v>
      </c>
      <c r="F2775">
        <v>0</v>
      </c>
      <c r="G2775">
        <v>415.50182954000002</v>
      </c>
      <c r="H2775">
        <v>369.32286126000048</v>
      </c>
      <c r="I2775">
        <v>0</v>
      </c>
      <c r="J2775">
        <v>0</v>
      </c>
      <c r="K2775">
        <v>0.64267127999999984</v>
      </c>
      <c r="L2775">
        <v>-895.5</v>
      </c>
      <c r="M2775">
        <v>0</v>
      </c>
      <c r="N2775">
        <v>0</v>
      </c>
      <c r="O2775">
        <v>-161.8818203797974</v>
      </c>
      <c r="P2775">
        <v>354150.39319464011</v>
      </c>
    </row>
    <row r="2776" spans="1:16" x14ac:dyDescent="0.25">
      <c r="A2776" s="10">
        <v>41718</v>
      </c>
      <c r="B2776">
        <v>-913.28984228998866</v>
      </c>
      <c r="C2776">
        <v>231.22800000000001</v>
      </c>
      <c r="D2776">
        <v>0</v>
      </c>
      <c r="E2776">
        <v>-2500</v>
      </c>
      <c r="F2776">
        <v>0</v>
      </c>
      <c r="G2776">
        <v>2152.9742507300002</v>
      </c>
      <c r="H2776">
        <v>-938.527740550001</v>
      </c>
      <c r="I2776">
        <v>0</v>
      </c>
      <c r="J2776">
        <v>0</v>
      </c>
      <c r="K2776">
        <v>0.61089220000000011</v>
      </c>
      <c r="L2776">
        <v>2.5</v>
      </c>
      <c r="M2776">
        <v>0</v>
      </c>
      <c r="N2776">
        <v>0</v>
      </c>
      <c r="O2776">
        <v>137.9247553300124</v>
      </c>
      <c r="P2776">
        <v>353237.10335235012</v>
      </c>
    </row>
    <row r="2777" spans="1:16" x14ac:dyDescent="0.25">
      <c r="A2777" s="10">
        <v>41719</v>
      </c>
      <c r="B2777">
        <v>-694.07847178995257</v>
      </c>
      <c r="C2777">
        <v>367.33659999999998</v>
      </c>
      <c r="D2777">
        <v>0</v>
      </c>
      <c r="E2777">
        <v>0</v>
      </c>
      <c r="F2777">
        <v>0</v>
      </c>
      <c r="G2777">
        <v>24.39179025</v>
      </c>
      <c r="H2777">
        <v>-1596.72682231</v>
      </c>
      <c r="I2777">
        <v>0</v>
      </c>
      <c r="J2777">
        <v>25.113209999999981</v>
      </c>
      <c r="K2777">
        <v>1.07916375</v>
      </c>
      <c r="L2777">
        <v>305.10000000000002</v>
      </c>
      <c r="M2777">
        <v>0</v>
      </c>
      <c r="N2777">
        <v>0</v>
      </c>
      <c r="O2777">
        <v>179.6275865200476</v>
      </c>
      <c r="P2777">
        <v>352543.02488056017</v>
      </c>
    </row>
    <row r="2778" spans="1:16" x14ac:dyDescent="0.25">
      <c r="A2778" s="10">
        <v>41723</v>
      </c>
      <c r="B2778">
        <v>-5304.8479320104216</v>
      </c>
      <c r="C2778">
        <v>1.100000000000001</v>
      </c>
      <c r="D2778">
        <v>-3000</v>
      </c>
      <c r="E2778">
        <v>0</v>
      </c>
      <c r="F2778">
        <v>0</v>
      </c>
      <c r="G2778">
        <v>29.683465969999819</v>
      </c>
      <c r="H2778">
        <v>-2510.8133153899998</v>
      </c>
      <c r="I2778">
        <v>0</v>
      </c>
      <c r="J2778">
        <v>0</v>
      </c>
      <c r="K2778">
        <v>5.7489457899999996</v>
      </c>
      <c r="L2778">
        <v>34.099999999999987</v>
      </c>
      <c r="M2778">
        <v>0</v>
      </c>
      <c r="N2778">
        <v>0</v>
      </c>
      <c r="O2778">
        <v>135.33297161957651</v>
      </c>
      <c r="P2778">
        <v>347238.17694854969</v>
      </c>
    </row>
    <row r="2779" spans="1:16" x14ac:dyDescent="0.25">
      <c r="A2779" s="10">
        <v>41724</v>
      </c>
      <c r="B2779">
        <v>-724.26265754969836</v>
      </c>
      <c r="C2779">
        <v>-120.36750000000001</v>
      </c>
      <c r="D2779">
        <v>0</v>
      </c>
      <c r="E2779">
        <v>0</v>
      </c>
      <c r="F2779">
        <v>0</v>
      </c>
      <c r="G2779">
        <v>144.47519299000001</v>
      </c>
      <c r="H2779">
        <v>-2569.6808465800018</v>
      </c>
      <c r="I2779">
        <v>0</v>
      </c>
      <c r="J2779">
        <v>0</v>
      </c>
      <c r="K2779">
        <v>2.0640994699999999</v>
      </c>
      <c r="L2779">
        <v>1880.1</v>
      </c>
      <c r="M2779">
        <v>0</v>
      </c>
      <c r="N2779">
        <v>0</v>
      </c>
      <c r="O2779">
        <v>-60.853603429696477</v>
      </c>
      <c r="P2779">
        <v>346513.91429100011</v>
      </c>
    </row>
    <row r="2780" spans="1:16" x14ac:dyDescent="0.25">
      <c r="A2780" s="10">
        <v>41725</v>
      </c>
      <c r="B2780">
        <v>-1694.4020025700449</v>
      </c>
      <c r="C2780">
        <v>-404</v>
      </c>
      <c r="D2780">
        <v>0</v>
      </c>
      <c r="E2780">
        <v>6300</v>
      </c>
      <c r="F2780">
        <v>12000</v>
      </c>
      <c r="G2780">
        <v>-12218.994294280001</v>
      </c>
      <c r="H2780">
        <v>-7366.5183966299974</v>
      </c>
      <c r="I2780">
        <v>0</v>
      </c>
      <c r="J2780">
        <v>40.599999999999909</v>
      </c>
      <c r="K2780">
        <v>2.5912829500000001</v>
      </c>
      <c r="L2780">
        <v>37.799999999999997</v>
      </c>
      <c r="M2780">
        <v>0</v>
      </c>
      <c r="N2780">
        <v>0</v>
      </c>
      <c r="O2780">
        <v>-85.880594610047183</v>
      </c>
      <c r="P2780">
        <v>344819.51228842989</v>
      </c>
    </row>
    <row r="2781" spans="1:16" x14ac:dyDescent="0.25">
      <c r="A2781" s="10">
        <v>41726</v>
      </c>
      <c r="B2781">
        <v>4364.6453110299799</v>
      </c>
      <c r="C2781">
        <v>1592.3219999999999</v>
      </c>
      <c r="D2781">
        <v>0</v>
      </c>
      <c r="E2781">
        <v>0</v>
      </c>
      <c r="F2781">
        <v>0</v>
      </c>
      <c r="G2781">
        <v>9673.3079656800001</v>
      </c>
      <c r="H2781">
        <v>-6847.2603917199958</v>
      </c>
      <c r="I2781">
        <v>0</v>
      </c>
      <c r="J2781">
        <v>-0.1999999999998181</v>
      </c>
      <c r="K2781">
        <v>4.781896119999999</v>
      </c>
      <c r="L2781">
        <v>75.3</v>
      </c>
      <c r="M2781">
        <v>0</v>
      </c>
      <c r="N2781">
        <v>0</v>
      </c>
      <c r="O2781">
        <v>-133.6061590500249</v>
      </c>
      <c r="P2781">
        <v>349184.15759945998</v>
      </c>
    </row>
    <row r="2782" spans="1:16" x14ac:dyDescent="0.25">
      <c r="A2782" s="10">
        <v>41729</v>
      </c>
      <c r="B2782">
        <v>-154.802123369881</v>
      </c>
      <c r="C2782">
        <v>235.95949999999991</v>
      </c>
      <c r="D2782">
        <v>-2100.7067000000002</v>
      </c>
      <c r="E2782">
        <v>0</v>
      </c>
      <c r="F2782">
        <v>0</v>
      </c>
      <c r="G2782">
        <v>2099.5730850999998</v>
      </c>
      <c r="H2782">
        <v>-374.77412039999763</v>
      </c>
      <c r="I2782">
        <v>0</v>
      </c>
      <c r="J2782">
        <v>0</v>
      </c>
      <c r="K2782">
        <v>19.372158689999999</v>
      </c>
      <c r="L2782">
        <v>0</v>
      </c>
      <c r="M2782">
        <v>0</v>
      </c>
      <c r="N2782">
        <v>0</v>
      </c>
      <c r="O2782">
        <v>-34.226046759883438</v>
      </c>
      <c r="P2782">
        <v>349029.35547609022</v>
      </c>
    </row>
    <row r="2783" spans="1:16" x14ac:dyDescent="0.25">
      <c r="A2783" s="10">
        <v>41730</v>
      </c>
      <c r="B2783">
        <v>14726.464417719981</v>
      </c>
      <c r="C2783">
        <v>249.54900000000009</v>
      </c>
      <c r="D2783">
        <v>0</v>
      </c>
      <c r="E2783">
        <v>0</v>
      </c>
      <c r="F2783">
        <v>0</v>
      </c>
      <c r="G2783">
        <v>358.70059530999981</v>
      </c>
      <c r="H2783">
        <v>14125.544236690001</v>
      </c>
      <c r="I2783">
        <v>0</v>
      </c>
      <c r="J2783">
        <v>0</v>
      </c>
      <c r="K2783">
        <v>6.6758103500000008</v>
      </c>
      <c r="L2783">
        <v>169.8</v>
      </c>
      <c r="M2783">
        <v>0</v>
      </c>
      <c r="N2783">
        <v>0</v>
      </c>
      <c r="O2783">
        <v>-183.80522463001691</v>
      </c>
      <c r="P2783">
        <v>363755.81989381008</v>
      </c>
    </row>
    <row r="2784" spans="1:16" x14ac:dyDescent="0.25">
      <c r="A2784" s="10">
        <v>41732</v>
      </c>
      <c r="B2784">
        <v>-4548.3701559703904</v>
      </c>
      <c r="C2784">
        <v>-652.49199999999996</v>
      </c>
      <c r="D2784">
        <v>0</v>
      </c>
      <c r="E2784">
        <v>0</v>
      </c>
      <c r="F2784">
        <v>0</v>
      </c>
      <c r="G2784">
        <v>473.05094893</v>
      </c>
      <c r="H2784">
        <v>-923.34968485999707</v>
      </c>
      <c r="I2784">
        <v>0</v>
      </c>
      <c r="J2784">
        <v>5.3213989999999276</v>
      </c>
      <c r="K2784">
        <v>5.8722385799999994</v>
      </c>
      <c r="L2784">
        <v>-3375.8</v>
      </c>
      <c r="M2784">
        <v>0</v>
      </c>
      <c r="N2784">
        <v>0</v>
      </c>
      <c r="O2784">
        <v>-80.97305762039359</v>
      </c>
      <c r="P2784">
        <v>359207.44973783969</v>
      </c>
    </row>
    <row r="2785" spans="1:16" x14ac:dyDescent="0.25">
      <c r="A2785" s="10">
        <v>41733</v>
      </c>
      <c r="B2785">
        <v>-146.9334756499735</v>
      </c>
      <c r="C2785">
        <v>3165.3829999999998</v>
      </c>
      <c r="D2785">
        <v>0</v>
      </c>
      <c r="E2785">
        <v>-2750</v>
      </c>
      <c r="F2785">
        <v>0</v>
      </c>
      <c r="G2785">
        <v>-583.49455781999995</v>
      </c>
      <c r="H2785">
        <v>234.06556023999661</v>
      </c>
      <c r="I2785">
        <v>0</v>
      </c>
      <c r="J2785">
        <v>5.9659558299999844</v>
      </c>
      <c r="K2785">
        <v>3.1310811200000002</v>
      </c>
      <c r="L2785">
        <v>84.800000000000011</v>
      </c>
      <c r="M2785">
        <v>0</v>
      </c>
      <c r="N2785">
        <v>0</v>
      </c>
      <c r="O2785">
        <v>-306.78451501996989</v>
      </c>
      <c r="P2785">
        <v>359060.51626218978</v>
      </c>
    </row>
    <row r="2786" spans="1:16" x14ac:dyDescent="0.25">
      <c r="A2786" s="10">
        <v>41736</v>
      </c>
      <c r="B2786">
        <v>1827.5071787700299</v>
      </c>
      <c r="C2786">
        <v>219.71</v>
      </c>
      <c r="D2786">
        <v>-200</v>
      </c>
      <c r="E2786">
        <v>0</v>
      </c>
      <c r="F2786">
        <v>0</v>
      </c>
      <c r="G2786">
        <v>326.17587728000012</v>
      </c>
      <c r="H2786">
        <v>1291.171230000002</v>
      </c>
      <c r="I2786">
        <v>0</v>
      </c>
      <c r="J2786">
        <v>44.577577869999907</v>
      </c>
      <c r="K2786">
        <v>8.7256045899999997</v>
      </c>
      <c r="L2786">
        <v>41.5</v>
      </c>
      <c r="M2786">
        <v>0</v>
      </c>
      <c r="N2786">
        <v>0</v>
      </c>
      <c r="O2786">
        <v>95.646889030027893</v>
      </c>
      <c r="P2786">
        <v>360888.02344095969</v>
      </c>
    </row>
    <row r="2787" spans="1:16" x14ac:dyDescent="0.25">
      <c r="A2787" s="10">
        <v>41737</v>
      </c>
      <c r="B2787">
        <v>3738.8401546701789</v>
      </c>
      <c r="C2787">
        <v>960.12</v>
      </c>
      <c r="D2787">
        <v>0</v>
      </c>
      <c r="E2787">
        <v>0</v>
      </c>
      <c r="F2787">
        <v>0</v>
      </c>
      <c r="G2787">
        <v>-181.28936605999999</v>
      </c>
      <c r="H2787">
        <v>2954.163609650001</v>
      </c>
      <c r="I2787">
        <v>0</v>
      </c>
      <c r="J2787">
        <v>0</v>
      </c>
      <c r="K2787">
        <v>2.6972078199999991</v>
      </c>
      <c r="L2787">
        <v>24.7</v>
      </c>
      <c r="M2787">
        <v>0</v>
      </c>
      <c r="N2787">
        <v>0</v>
      </c>
      <c r="O2787">
        <v>-21.55129673982146</v>
      </c>
      <c r="P2787">
        <v>364626.86359562993</v>
      </c>
    </row>
    <row r="2788" spans="1:16" x14ac:dyDescent="0.25">
      <c r="A2788" s="10">
        <v>41738</v>
      </c>
      <c r="B2788">
        <v>-3732.5359906801032</v>
      </c>
      <c r="C2788">
        <v>1601.6</v>
      </c>
      <c r="D2788">
        <v>0</v>
      </c>
      <c r="E2788">
        <v>0</v>
      </c>
      <c r="F2788">
        <v>0</v>
      </c>
      <c r="G2788">
        <v>150.35403916999999</v>
      </c>
      <c r="H2788">
        <v>1038.287739220001</v>
      </c>
      <c r="I2788">
        <v>0</v>
      </c>
      <c r="J2788">
        <v>-97.599999999999909</v>
      </c>
      <c r="K2788">
        <v>-34.06407295999982</v>
      </c>
      <c r="L2788">
        <v>-6317.5</v>
      </c>
      <c r="M2788">
        <v>0</v>
      </c>
      <c r="N2788">
        <v>0</v>
      </c>
      <c r="O2788">
        <v>-73.613696110103774</v>
      </c>
      <c r="P2788">
        <v>360894.32760494982</v>
      </c>
    </row>
    <row r="2789" spans="1:16" x14ac:dyDescent="0.25">
      <c r="A2789" s="10">
        <v>41739</v>
      </c>
      <c r="B2789">
        <v>989.12876489991311</v>
      </c>
      <c r="C2789">
        <v>120</v>
      </c>
      <c r="D2789">
        <v>0</v>
      </c>
      <c r="E2789">
        <v>2800</v>
      </c>
      <c r="F2789">
        <v>0</v>
      </c>
      <c r="G2789">
        <v>-836.19691120000005</v>
      </c>
      <c r="H2789">
        <v>-1012.269152000001</v>
      </c>
      <c r="I2789">
        <v>0</v>
      </c>
      <c r="J2789">
        <v>0</v>
      </c>
      <c r="K2789">
        <v>2.5095599999999999E-2</v>
      </c>
      <c r="L2789">
        <v>0</v>
      </c>
      <c r="M2789">
        <v>0</v>
      </c>
      <c r="N2789">
        <v>0</v>
      </c>
      <c r="O2789">
        <v>-82.430267500085932</v>
      </c>
      <c r="P2789">
        <v>361883.45636984968</v>
      </c>
    </row>
    <row r="2790" spans="1:16" x14ac:dyDescent="0.25">
      <c r="A2790" s="10">
        <v>41740</v>
      </c>
      <c r="B2790">
        <v>-362.69483156979572</v>
      </c>
      <c r="C2790">
        <v>2176.8000000000002</v>
      </c>
      <c r="D2790">
        <v>0</v>
      </c>
      <c r="E2790">
        <v>-750</v>
      </c>
      <c r="F2790">
        <v>0</v>
      </c>
      <c r="G2790">
        <v>103.85871587</v>
      </c>
      <c r="H2790">
        <v>-1938.6435666</v>
      </c>
      <c r="I2790">
        <v>0</v>
      </c>
      <c r="J2790">
        <v>0</v>
      </c>
      <c r="K2790">
        <v>4.0578976999999989</v>
      </c>
      <c r="L2790">
        <v>80.8</v>
      </c>
      <c r="M2790">
        <v>0</v>
      </c>
      <c r="N2790">
        <v>0</v>
      </c>
      <c r="O2790">
        <v>-39.567878539796119</v>
      </c>
      <c r="P2790">
        <v>361520.76153827988</v>
      </c>
    </row>
    <row r="2791" spans="1:16" x14ac:dyDescent="0.25">
      <c r="A2791" s="10">
        <v>41743</v>
      </c>
      <c r="B2791">
        <v>-701.46344737021627</v>
      </c>
      <c r="C2791">
        <v>752.70500000000004</v>
      </c>
      <c r="D2791">
        <v>-1500</v>
      </c>
      <c r="E2791">
        <v>0</v>
      </c>
      <c r="F2791">
        <v>0</v>
      </c>
      <c r="G2791">
        <v>733.72892945000001</v>
      </c>
      <c r="H2791">
        <v>-544.13045471999976</v>
      </c>
      <c r="I2791">
        <v>0</v>
      </c>
      <c r="J2791">
        <v>0</v>
      </c>
      <c r="K2791">
        <v>7.7555782799999999</v>
      </c>
      <c r="L2791">
        <v>0</v>
      </c>
      <c r="M2791">
        <v>0</v>
      </c>
      <c r="N2791">
        <v>0</v>
      </c>
      <c r="O2791">
        <v>-151.5225003802166</v>
      </c>
      <c r="P2791">
        <v>360819.29809090972</v>
      </c>
    </row>
    <row r="2792" spans="1:16" x14ac:dyDescent="0.25">
      <c r="A2792" s="10">
        <v>41744</v>
      </c>
      <c r="B2792">
        <v>3803.735338169965</v>
      </c>
      <c r="C2792">
        <v>3078.7</v>
      </c>
      <c r="D2792">
        <v>0</v>
      </c>
      <c r="E2792">
        <v>0</v>
      </c>
      <c r="F2792">
        <v>0</v>
      </c>
      <c r="G2792">
        <v>-110.2818266199999</v>
      </c>
      <c r="H2792">
        <v>923.93949128999884</v>
      </c>
      <c r="I2792">
        <v>0</v>
      </c>
      <c r="J2792">
        <v>13</v>
      </c>
      <c r="K2792">
        <v>2.6160648000000002</v>
      </c>
      <c r="L2792">
        <v>0</v>
      </c>
      <c r="M2792">
        <v>0</v>
      </c>
      <c r="N2792">
        <v>0</v>
      </c>
      <c r="O2792">
        <v>-104.2383913000339</v>
      </c>
      <c r="P2792">
        <v>364623.03342907957</v>
      </c>
    </row>
    <row r="2793" spans="1:16" x14ac:dyDescent="0.25">
      <c r="A2793" s="10">
        <v>41745</v>
      </c>
      <c r="B2793">
        <v>-5619.1866555399038</v>
      </c>
      <c r="C2793">
        <v>1749.5509999999999</v>
      </c>
      <c r="D2793">
        <v>0</v>
      </c>
      <c r="E2793">
        <v>-2850</v>
      </c>
      <c r="F2793">
        <v>0</v>
      </c>
      <c r="G2793">
        <v>300.0980331199998</v>
      </c>
      <c r="H2793">
        <v>-1448.296125249999</v>
      </c>
      <c r="I2793">
        <v>0</v>
      </c>
      <c r="J2793">
        <v>0</v>
      </c>
      <c r="K2793">
        <v>2.2293516200000001</v>
      </c>
      <c r="L2793">
        <v>-3330.5</v>
      </c>
      <c r="M2793">
        <v>0</v>
      </c>
      <c r="N2793">
        <v>0</v>
      </c>
      <c r="O2793">
        <v>-42.268915029904747</v>
      </c>
      <c r="P2793">
        <v>359003.84677353973</v>
      </c>
    </row>
    <row r="2794" spans="1:16" x14ac:dyDescent="0.25">
      <c r="A2794" s="10">
        <v>41750</v>
      </c>
      <c r="B2794">
        <v>-6502.2987226198302</v>
      </c>
      <c r="C2794">
        <v>151.91600000000011</v>
      </c>
      <c r="D2794">
        <v>-5300</v>
      </c>
      <c r="E2794">
        <v>0</v>
      </c>
      <c r="F2794">
        <v>0</v>
      </c>
      <c r="G2794">
        <v>-4.1623751600000114</v>
      </c>
      <c r="H2794">
        <v>-1345.7019699900011</v>
      </c>
      <c r="I2794">
        <v>0</v>
      </c>
      <c r="J2794">
        <v>0</v>
      </c>
      <c r="K2794">
        <v>12.10950648</v>
      </c>
      <c r="L2794">
        <v>12.400000000000031</v>
      </c>
      <c r="M2794">
        <v>0</v>
      </c>
      <c r="N2794">
        <v>0</v>
      </c>
      <c r="O2794">
        <v>-28.859883949829051</v>
      </c>
      <c r="P2794">
        <v>352501.5480509199</v>
      </c>
    </row>
    <row r="2795" spans="1:16" x14ac:dyDescent="0.25">
      <c r="A2795" s="10">
        <v>41751</v>
      </c>
      <c r="B2795">
        <v>-1558.844845310088</v>
      </c>
      <c r="C2795">
        <v>452.012</v>
      </c>
      <c r="D2795">
        <v>0</v>
      </c>
      <c r="E2795">
        <v>0</v>
      </c>
      <c r="F2795">
        <v>0</v>
      </c>
      <c r="G2795">
        <v>-651.35967820999997</v>
      </c>
      <c r="H2795">
        <v>-1342.294338489997</v>
      </c>
      <c r="I2795">
        <v>0</v>
      </c>
      <c r="J2795">
        <v>0</v>
      </c>
      <c r="K2795">
        <v>2.8522695200000001</v>
      </c>
      <c r="L2795">
        <v>25.1</v>
      </c>
      <c r="M2795">
        <v>0</v>
      </c>
      <c r="N2795">
        <v>0</v>
      </c>
      <c r="O2795">
        <v>-45.155098130090117</v>
      </c>
      <c r="P2795">
        <v>350942.70320560993</v>
      </c>
    </row>
    <row r="2796" spans="1:16" x14ac:dyDescent="0.25">
      <c r="A2796" s="10">
        <v>41752</v>
      </c>
      <c r="B2796">
        <v>-7777.2757544798642</v>
      </c>
      <c r="C2796">
        <v>347.85399999999998</v>
      </c>
      <c r="D2796">
        <v>0</v>
      </c>
      <c r="E2796">
        <v>0</v>
      </c>
      <c r="F2796">
        <v>0</v>
      </c>
      <c r="G2796">
        <v>491.35912635</v>
      </c>
      <c r="H2796">
        <v>-3478.732424560003</v>
      </c>
      <c r="I2796">
        <v>0</v>
      </c>
      <c r="J2796">
        <v>0.86979400000018359</v>
      </c>
      <c r="K2796">
        <v>3.3731972399999992</v>
      </c>
      <c r="L2796">
        <v>-5015.9000000000005</v>
      </c>
      <c r="M2796">
        <v>0</v>
      </c>
      <c r="N2796">
        <v>0</v>
      </c>
      <c r="O2796">
        <v>-126.09944750986109</v>
      </c>
      <c r="P2796">
        <v>343165.42745113</v>
      </c>
    </row>
    <row r="2797" spans="1:16" x14ac:dyDescent="0.25">
      <c r="A2797" s="10">
        <v>41753</v>
      </c>
      <c r="B2797">
        <v>1936.249522399854</v>
      </c>
      <c r="C2797">
        <v>711.97</v>
      </c>
      <c r="D2797">
        <v>0</v>
      </c>
      <c r="E2797">
        <v>3600</v>
      </c>
      <c r="F2797">
        <v>0</v>
      </c>
      <c r="G2797">
        <v>-17.881563390000021</v>
      </c>
      <c r="H2797">
        <v>-2253.8927495199969</v>
      </c>
      <c r="I2797">
        <v>0</v>
      </c>
      <c r="J2797">
        <v>0.82078885000009905</v>
      </c>
      <c r="K2797">
        <v>3.7015924100000008</v>
      </c>
      <c r="L2797">
        <v>0</v>
      </c>
      <c r="M2797">
        <v>0</v>
      </c>
      <c r="N2797">
        <v>0</v>
      </c>
      <c r="O2797">
        <v>-108.46854595014889</v>
      </c>
      <c r="P2797">
        <v>345101.67697352992</v>
      </c>
    </row>
    <row r="2798" spans="1:16" x14ac:dyDescent="0.25">
      <c r="A2798" s="10">
        <v>41754</v>
      </c>
      <c r="B2798">
        <v>-10323.448314940089</v>
      </c>
      <c r="C2798">
        <v>2648</v>
      </c>
      <c r="D2798">
        <v>0</v>
      </c>
      <c r="E2798">
        <v>-2500</v>
      </c>
      <c r="F2798">
        <v>0</v>
      </c>
      <c r="G2798">
        <v>-335.56948659000022</v>
      </c>
      <c r="H2798">
        <v>-10161.395276839999</v>
      </c>
      <c r="I2798">
        <v>0</v>
      </c>
      <c r="J2798">
        <v>0</v>
      </c>
      <c r="K2798">
        <v>4.3652322100000003</v>
      </c>
      <c r="L2798">
        <v>0</v>
      </c>
      <c r="M2798">
        <v>0</v>
      </c>
      <c r="N2798">
        <v>0</v>
      </c>
      <c r="O2798">
        <v>21.151216279904471</v>
      </c>
      <c r="P2798">
        <v>334778.22865858983</v>
      </c>
    </row>
    <row r="2799" spans="1:16" x14ac:dyDescent="0.25">
      <c r="A2799" s="10">
        <v>41757</v>
      </c>
      <c r="B2799">
        <v>-5552.574563369968</v>
      </c>
      <c r="C2799">
        <v>628</v>
      </c>
      <c r="D2799">
        <v>0</v>
      </c>
      <c r="E2799">
        <v>0</v>
      </c>
      <c r="F2799">
        <v>0</v>
      </c>
      <c r="G2799">
        <v>-779.57493520999992</v>
      </c>
      <c r="H2799">
        <v>-5482.3853764600062</v>
      </c>
      <c r="I2799">
        <v>0</v>
      </c>
      <c r="J2799">
        <v>0</v>
      </c>
      <c r="K2799">
        <v>21.19564403</v>
      </c>
      <c r="L2799">
        <v>155.6</v>
      </c>
      <c r="M2799">
        <v>0</v>
      </c>
      <c r="N2799">
        <v>0</v>
      </c>
      <c r="O2799">
        <v>-95.40989572996223</v>
      </c>
      <c r="P2799">
        <v>329225.6540952198</v>
      </c>
    </row>
    <row r="2800" spans="1:16" x14ac:dyDescent="0.25">
      <c r="A2800" s="10">
        <v>41758</v>
      </c>
      <c r="B2800">
        <v>1221.7424865602529</v>
      </c>
      <c r="C2800">
        <v>727.63350000000003</v>
      </c>
      <c r="D2800">
        <v>0</v>
      </c>
      <c r="E2800">
        <v>0</v>
      </c>
      <c r="F2800">
        <v>0</v>
      </c>
      <c r="G2800">
        <v>-136.6009350600001</v>
      </c>
      <c r="H2800">
        <v>588.08761983001023</v>
      </c>
      <c r="I2800">
        <v>0</v>
      </c>
      <c r="J2800">
        <v>0</v>
      </c>
      <c r="K2800">
        <v>8.6378016100000004</v>
      </c>
      <c r="L2800">
        <v>84.1</v>
      </c>
      <c r="M2800">
        <v>0</v>
      </c>
      <c r="N2800">
        <v>0</v>
      </c>
      <c r="O2800">
        <v>-50.115499819757403</v>
      </c>
      <c r="P2800">
        <v>330447.39658177999</v>
      </c>
    </row>
    <row r="2801" spans="1:16" x14ac:dyDescent="0.25">
      <c r="A2801" s="10">
        <v>41759</v>
      </c>
      <c r="B2801">
        <v>21715.368021059781</v>
      </c>
      <c r="C2801">
        <v>473.64420000000001</v>
      </c>
      <c r="D2801">
        <v>0</v>
      </c>
      <c r="E2801">
        <v>2200</v>
      </c>
      <c r="F2801">
        <v>0</v>
      </c>
      <c r="G2801">
        <v>941.3995026700004</v>
      </c>
      <c r="H2801">
        <v>24276.362932669999</v>
      </c>
      <c r="I2801">
        <v>0</v>
      </c>
      <c r="J2801">
        <v>0</v>
      </c>
      <c r="K2801">
        <v>8.5269870200000035</v>
      </c>
      <c r="L2801">
        <v>-6169.7</v>
      </c>
      <c r="M2801">
        <v>0</v>
      </c>
      <c r="N2801">
        <v>0</v>
      </c>
      <c r="O2801">
        <v>-14.865601300215349</v>
      </c>
      <c r="P2801">
        <v>352162.76460283989</v>
      </c>
    </row>
    <row r="2802" spans="1:16" x14ac:dyDescent="0.25">
      <c r="A2802" s="10">
        <v>41764</v>
      </c>
      <c r="B2802">
        <v>7386.5516489903684</v>
      </c>
      <c r="C2802">
        <v>583.99400000000003</v>
      </c>
      <c r="D2802">
        <v>0</v>
      </c>
      <c r="E2802">
        <v>0</v>
      </c>
      <c r="F2802">
        <v>0</v>
      </c>
      <c r="G2802">
        <v>-116.51285856</v>
      </c>
      <c r="H2802">
        <v>7054.7011293199994</v>
      </c>
      <c r="I2802">
        <v>0</v>
      </c>
      <c r="J2802">
        <v>0</v>
      </c>
      <c r="K2802">
        <v>10.48192085</v>
      </c>
      <c r="L2802">
        <v>0</v>
      </c>
      <c r="M2802">
        <v>0</v>
      </c>
      <c r="N2802">
        <v>0</v>
      </c>
      <c r="O2802">
        <v>-146.11254261963259</v>
      </c>
      <c r="P2802">
        <v>359549.3162518302</v>
      </c>
    </row>
    <row r="2803" spans="1:16" x14ac:dyDescent="0.25">
      <c r="A2803" s="10">
        <v>41765</v>
      </c>
      <c r="B2803">
        <v>761.70522918982886</v>
      </c>
      <c r="C2803">
        <v>1140</v>
      </c>
      <c r="D2803">
        <v>0</v>
      </c>
      <c r="E2803">
        <v>0</v>
      </c>
      <c r="F2803">
        <v>0</v>
      </c>
      <c r="G2803">
        <v>-101.40205324</v>
      </c>
      <c r="H2803">
        <v>-616.46091373000127</v>
      </c>
      <c r="I2803">
        <v>0</v>
      </c>
      <c r="J2803">
        <v>0</v>
      </c>
      <c r="K2803">
        <v>0.61190186999999996</v>
      </c>
      <c r="L2803">
        <v>202.4</v>
      </c>
      <c r="M2803">
        <v>0</v>
      </c>
      <c r="N2803">
        <v>0</v>
      </c>
      <c r="O2803">
        <v>136.55629428983011</v>
      </c>
      <c r="P2803">
        <v>360311.02148102003</v>
      </c>
    </row>
    <row r="2804" spans="1:16" x14ac:dyDescent="0.25">
      <c r="A2804" s="10">
        <v>41766</v>
      </c>
      <c r="B2804">
        <v>147.8552719901208</v>
      </c>
      <c r="C2804">
        <v>516.78800000000001</v>
      </c>
      <c r="D2804">
        <v>0</v>
      </c>
      <c r="E2804">
        <v>0</v>
      </c>
      <c r="F2804">
        <v>0</v>
      </c>
      <c r="G2804">
        <v>-134.06675665</v>
      </c>
      <c r="H2804">
        <v>-866.17008657000042</v>
      </c>
      <c r="I2804">
        <v>0</v>
      </c>
      <c r="J2804">
        <v>0</v>
      </c>
      <c r="K2804">
        <v>0.71893163000000004</v>
      </c>
      <c r="L2804">
        <v>571</v>
      </c>
      <c r="M2804">
        <v>0</v>
      </c>
      <c r="N2804">
        <v>0</v>
      </c>
      <c r="O2804">
        <v>59.58518358012121</v>
      </c>
      <c r="P2804">
        <v>360458.87675301009</v>
      </c>
    </row>
    <row r="2805" spans="1:16" x14ac:dyDescent="0.25">
      <c r="A2805" s="10">
        <v>41767</v>
      </c>
      <c r="B2805">
        <v>2091.9676760400762</v>
      </c>
      <c r="C2805">
        <v>1128.049</v>
      </c>
      <c r="D2805">
        <v>0</v>
      </c>
      <c r="E2805">
        <v>250</v>
      </c>
      <c r="F2805">
        <v>0</v>
      </c>
      <c r="G2805">
        <v>168.10926612</v>
      </c>
      <c r="H2805">
        <v>615.53846747999978</v>
      </c>
      <c r="I2805">
        <v>0</v>
      </c>
      <c r="J2805">
        <v>14.18524600000001</v>
      </c>
      <c r="K2805">
        <v>0.51892559999999999</v>
      </c>
      <c r="L2805">
        <v>0</v>
      </c>
      <c r="M2805">
        <v>0</v>
      </c>
      <c r="N2805">
        <v>0</v>
      </c>
      <c r="O2805">
        <v>-84.433229159923854</v>
      </c>
      <c r="P2805">
        <v>362550.84442905022</v>
      </c>
    </row>
    <row r="2806" spans="1:16" x14ac:dyDescent="0.25">
      <c r="A2806" s="10">
        <v>41768</v>
      </c>
      <c r="B2806">
        <v>-324.64639074000257</v>
      </c>
      <c r="C2806">
        <v>156.078</v>
      </c>
      <c r="D2806">
        <v>0</v>
      </c>
      <c r="E2806">
        <v>0</v>
      </c>
      <c r="F2806">
        <v>0</v>
      </c>
      <c r="G2806">
        <v>-23.211344740000019</v>
      </c>
      <c r="H2806">
        <v>-505.69850879999922</v>
      </c>
      <c r="I2806">
        <v>0</v>
      </c>
      <c r="J2806">
        <v>1.54306859999997</v>
      </c>
      <c r="K2806">
        <v>0.45598422000000011</v>
      </c>
      <c r="L2806">
        <v>56.7</v>
      </c>
      <c r="M2806">
        <v>0</v>
      </c>
      <c r="N2806">
        <v>0</v>
      </c>
      <c r="O2806">
        <v>-10.513590020003379</v>
      </c>
      <c r="P2806">
        <v>362226.19803831022</v>
      </c>
    </row>
    <row r="2807" spans="1:16" x14ac:dyDescent="0.25">
      <c r="A2807" s="10">
        <v>41771</v>
      </c>
      <c r="B2807">
        <v>-884.16312355035939</v>
      </c>
      <c r="C2807">
        <v>180.23599999999999</v>
      </c>
      <c r="D2807">
        <v>0</v>
      </c>
      <c r="E2807">
        <v>0</v>
      </c>
      <c r="F2807">
        <v>0</v>
      </c>
      <c r="G2807">
        <v>-210.5999908</v>
      </c>
      <c r="H2807">
        <v>-677.66721248000067</v>
      </c>
      <c r="I2807">
        <v>0</v>
      </c>
      <c r="J2807">
        <v>-102.59999999999989</v>
      </c>
      <c r="K2807">
        <v>-33.536774959999818</v>
      </c>
      <c r="L2807">
        <v>48</v>
      </c>
      <c r="M2807">
        <v>0</v>
      </c>
      <c r="N2807">
        <v>0</v>
      </c>
      <c r="O2807">
        <v>-87.995145310358964</v>
      </c>
      <c r="P2807">
        <v>361342.03491475992</v>
      </c>
    </row>
    <row r="2808" spans="1:16" x14ac:dyDescent="0.25">
      <c r="A2808" s="10">
        <v>41772</v>
      </c>
      <c r="B2808">
        <v>1667.06750806031</v>
      </c>
      <c r="C2808">
        <v>16.04</v>
      </c>
      <c r="D2808">
        <v>0</v>
      </c>
      <c r="E2808">
        <v>0</v>
      </c>
      <c r="F2808">
        <v>0</v>
      </c>
      <c r="G2808">
        <v>-29.48525729999994</v>
      </c>
      <c r="H2808">
        <v>1545.221818890001</v>
      </c>
      <c r="I2808">
        <v>0</v>
      </c>
      <c r="J2808">
        <v>0</v>
      </c>
      <c r="K2808">
        <v>0.83668121000000006</v>
      </c>
      <c r="L2808">
        <v>81</v>
      </c>
      <c r="M2808">
        <v>0</v>
      </c>
      <c r="N2808">
        <v>0</v>
      </c>
      <c r="O2808">
        <v>53.454265260309469</v>
      </c>
      <c r="P2808">
        <v>363009.10242282017</v>
      </c>
    </row>
    <row r="2809" spans="1:16" x14ac:dyDescent="0.25">
      <c r="A2809" s="10">
        <v>41773</v>
      </c>
      <c r="B2809">
        <v>-5489.9648621903043</v>
      </c>
      <c r="C2809">
        <v>-160.72</v>
      </c>
      <c r="D2809">
        <v>0</v>
      </c>
      <c r="E2809">
        <v>0</v>
      </c>
      <c r="F2809">
        <v>0</v>
      </c>
      <c r="G2809">
        <v>-36.899213450000047</v>
      </c>
      <c r="H2809">
        <v>-2835.95691085</v>
      </c>
      <c r="I2809">
        <v>0</v>
      </c>
      <c r="J2809">
        <v>13.19999999999982</v>
      </c>
      <c r="K2809">
        <v>1.09008869</v>
      </c>
      <c r="L2809">
        <v>-2545</v>
      </c>
      <c r="M2809">
        <v>0</v>
      </c>
      <c r="N2809">
        <v>0</v>
      </c>
      <c r="O2809">
        <v>74.321173419696791</v>
      </c>
      <c r="P2809">
        <v>357519.13756062993</v>
      </c>
    </row>
    <row r="2810" spans="1:16" x14ac:dyDescent="0.25">
      <c r="A2810" s="10">
        <v>41774</v>
      </c>
      <c r="B2810">
        <v>-1979.411962859798</v>
      </c>
      <c r="C2810">
        <v>-193.696</v>
      </c>
      <c r="D2810">
        <v>0</v>
      </c>
      <c r="E2810">
        <v>4000</v>
      </c>
      <c r="F2810">
        <v>0</v>
      </c>
      <c r="G2810">
        <v>-3940.7427337600002</v>
      </c>
      <c r="H2810">
        <v>-1930.7757694100021</v>
      </c>
      <c r="I2810">
        <v>0</v>
      </c>
      <c r="J2810">
        <v>8.7547800000002098</v>
      </c>
      <c r="K2810">
        <v>2.0464313600000001</v>
      </c>
      <c r="L2810">
        <v>58.2</v>
      </c>
      <c r="M2810">
        <v>0</v>
      </c>
      <c r="N2810">
        <v>0</v>
      </c>
      <c r="O2810">
        <v>16.80132895020343</v>
      </c>
      <c r="P2810">
        <v>355539.72559777013</v>
      </c>
    </row>
    <row r="2811" spans="1:16" x14ac:dyDescent="0.25">
      <c r="A2811" s="10">
        <v>41775</v>
      </c>
      <c r="B2811">
        <v>-2218.4114120000149</v>
      </c>
      <c r="C2811">
        <v>467.15499999999997</v>
      </c>
      <c r="D2811">
        <v>0</v>
      </c>
      <c r="E2811">
        <v>-2400</v>
      </c>
      <c r="F2811">
        <v>0</v>
      </c>
      <c r="G2811">
        <v>7.9305993700001807</v>
      </c>
      <c r="H2811">
        <v>-275.40131391999972</v>
      </c>
      <c r="I2811">
        <v>0</v>
      </c>
      <c r="J2811">
        <v>0</v>
      </c>
      <c r="K2811">
        <v>3.1986224499999989</v>
      </c>
      <c r="L2811">
        <v>40.799999999999997</v>
      </c>
      <c r="M2811">
        <v>0</v>
      </c>
      <c r="N2811">
        <v>0</v>
      </c>
      <c r="O2811">
        <v>-62.094319900016217</v>
      </c>
      <c r="P2811">
        <v>353321.31418577011</v>
      </c>
    </row>
    <row r="2812" spans="1:16" x14ac:dyDescent="0.25">
      <c r="A2812" s="10">
        <v>41778</v>
      </c>
      <c r="B2812">
        <v>-1812.526613840135</v>
      </c>
      <c r="C2812">
        <v>0.80559999999999832</v>
      </c>
      <c r="D2812">
        <v>0</v>
      </c>
      <c r="E2812">
        <v>0</v>
      </c>
      <c r="F2812">
        <v>0</v>
      </c>
      <c r="G2812">
        <v>48.210433690000059</v>
      </c>
      <c r="H2812">
        <v>-1776.968285319999</v>
      </c>
      <c r="I2812">
        <v>0</v>
      </c>
      <c r="J2812">
        <v>0</v>
      </c>
      <c r="K2812">
        <v>6.2968309599999994</v>
      </c>
      <c r="L2812">
        <v>40.800000000000011</v>
      </c>
      <c r="M2812">
        <v>0</v>
      </c>
      <c r="N2812">
        <v>0</v>
      </c>
      <c r="O2812">
        <v>-131.67119317013581</v>
      </c>
      <c r="P2812">
        <v>351508.78757192998</v>
      </c>
    </row>
    <row r="2813" spans="1:16" x14ac:dyDescent="0.25">
      <c r="A2813" s="10">
        <v>41779</v>
      </c>
      <c r="B2813">
        <v>-1348.4947819199881</v>
      </c>
      <c r="C2813">
        <v>161.34</v>
      </c>
      <c r="D2813">
        <v>0</v>
      </c>
      <c r="E2813">
        <v>0</v>
      </c>
      <c r="F2813">
        <v>0</v>
      </c>
      <c r="G2813">
        <v>28.874094249999981</v>
      </c>
      <c r="H2813">
        <v>-1847.2264070800011</v>
      </c>
      <c r="I2813">
        <v>0</v>
      </c>
      <c r="J2813">
        <v>-2.6999999999998181</v>
      </c>
      <c r="K2813">
        <v>1.4562944699998179</v>
      </c>
      <c r="L2813">
        <v>370.8</v>
      </c>
      <c r="M2813">
        <v>0</v>
      </c>
      <c r="N2813">
        <v>0</v>
      </c>
      <c r="O2813">
        <v>-61.038763559987089</v>
      </c>
      <c r="P2813">
        <v>350160.29279000987</v>
      </c>
    </row>
    <row r="2814" spans="1:16" x14ac:dyDescent="0.25">
      <c r="A2814" s="10">
        <v>41780</v>
      </c>
      <c r="B2814">
        <v>4023.037435710256</v>
      </c>
      <c r="C2814">
        <v>-257.971</v>
      </c>
      <c r="D2814">
        <v>0</v>
      </c>
      <c r="E2814">
        <v>0</v>
      </c>
      <c r="F2814">
        <v>0</v>
      </c>
      <c r="G2814">
        <v>91.461545939999993</v>
      </c>
      <c r="H2814">
        <v>5699.3766243900009</v>
      </c>
      <c r="I2814">
        <v>0</v>
      </c>
      <c r="J2814">
        <v>7.2279296699998667</v>
      </c>
      <c r="K2814">
        <v>2.5179205100000002</v>
      </c>
      <c r="L2814">
        <v>-1290.200000000001</v>
      </c>
      <c r="M2814">
        <v>0</v>
      </c>
      <c r="N2814">
        <v>0</v>
      </c>
      <c r="O2814">
        <v>-229.37558479974359</v>
      </c>
      <c r="P2814">
        <v>354183.33022572019</v>
      </c>
    </row>
    <row r="2815" spans="1:16" x14ac:dyDescent="0.25">
      <c r="A2815" s="10">
        <v>41781</v>
      </c>
      <c r="B2815">
        <v>1535.641538639552</v>
      </c>
      <c r="C2815">
        <v>595.77670000000001</v>
      </c>
      <c r="D2815">
        <v>0</v>
      </c>
      <c r="E2815">
        <v>2450</v>
      </c>
      <c r="F2815">
        <v>0</v>
      </c>
      <c r="G2815">
        <v>4026.8601853999999</v>
      </c>
      <c r="H2815">
        <v>-5687.4525131999981</v>
      </c>
      <c r="I2815">
        <v>0</v>
      </c>
      <c r="J2815">
        <v>0</v>
      </c>
      <c r="K2815">
        <v>2.1385355700000002</v>
      </c>
      <c r="L2815">
        <v>81.400000000000006</v>
      </c>
      <c r="M2815">
        <v>0</v>
      </c>
      <c r="N2815">
        <v>0</v>
      </c>
      <c r="O2815">
        <v>66.918630869550228</v>
      </c>
      <c r="P2815">
        <v>355718.9717643598</v>
      </c>
    </row>
    <row r="2816" spans="1:16" x14ac:dyDescent="0.25">
      <c r="A2816" s="10">
        <v>41782</v>
      </c>
      <c r="B2816">
        <v>-10886.87864981953</v>
      </c>
      <c r="C2816">
        <v>1511.838</v>
      </c>
      <c r="D2816">
        <v>0</v>
      </c>
      <c r="E2816">
        <v>-11550</v>
      </c>
      <c r="F2816">
        <v>0</v>
      </c>
      <c r="G2816">
        <v>-7.7654684899999316</v>
      </c>
      <c r="H2816">
        <v>-948.43368308999925</v>
      </c>
      <c r="I2816">
        <v>0</v>
      </c>
      <c r="J2816">
        <v>6.1999999999998181</v>
      </c>
      <c r="K2816">
        <v>4.1250689100000004</v>
      </c>
      <c r="L2816">
        <v>128.6</v>
      </c>
      <c r="M2816">
        <v>0</v>
      </c>
      <c r="N2816">
        <v>0</v>
      </c>
      <c r="O2816">
        <v>-31.4425671495279</v>
      </c>
      <c r="P2816">
        <v>344832.09311454021</v>
      </c>
    </row>
    <row r="2817" spans="1:16" x14ac:dyDescent="0.25">
      <c r="A2817" s="10">
        <v>41785</v>
      </c>
      <c r="B2817">
        <v>-6757.2430538302297</v>
      </c>
      <c r="C2817">
        <v>0</v>
      </c>
      <c r="D2817">
        <v>0</v>
      </c>
      <c r="E2817">
        <v>0</v>
      </c>
      <c r="F2817">
        <v>0</v>
      </c>
      <c r="G2817">
        <v>-139.55991180999999</v>
      </c>
      <c r="H2817">
        <v>-6709.5803452500004</v>
      </c>
      <c r="I2817">
        <v>0</v>
      </c>
      <c r="J2817">
        <v>0</v>
      </c>
      <c r="K2817">
        <v>9.2315785299999966</v>
      </c>
      <c r="L2817">
        <v>97.600000000000023</v>
      </c>
      <c r="M2817">
        <v>0</v>
      </c>
      <c r="N2817">
        <v>0</v>
      </c>
      <c r="O2817">
        <v>-14.934375300229661</v>
      </c>
      <c r="P2817">
        <v>338074.85006070993</v>
      </c>
    </row>
    <row r="2818" spans="1:16" x14ac:dyDescent="0.25">
      <c r="A2818" s="10">
        <v>41786</v>
      </c>
      <c r="B2818">
        <v>7806.3747542296778</v>
      </c>
      <c r="C2818">
        <v>-0.14999999999997729</v>
      </c>
      <c r="D2818">
        <v>0</v>
      </c>
      <c r="E2818">
        <v>0</v>
      </c>
      <c r="F2818">
        <v>0</v>
      </c>
      <c r="G2818">
        <v>128.08403430999999</v>
      </c>
      <c r="H2818">
        <v>7652.3115534900007</v>
      </c>
      <c r="I2818">
        <v>0</v>
      </c>
      <c r="J2818">
        <v>0</v>
      </c>
      <c r="K2818">
        <v>3.9191230200000011</v>
      </c>
      <c r="L2818">
        <v>14.2</v>
      </c>
      <c r="M2818">
        <v>0</v>
      </c>
      <c r="N2818">
        <v>0</v>
      </c>
      <c r="O2818">
        <v>8.0100434096766548</v>
      </c>
      <c r="P2818">
        <v>345881.22481493972</v>
      </c>
    </row>
    <row r="2819" spans="1:16" x14ac:dyDescent="0.25">
      <c r="A2819" s="10">
        <v>41787</v>
      </c>
      <c r="B2819">
        <v>343.2392738801999</v>
      </c>
      <c r="C2819">
        <v>684.54040000000009</v>
      </c>
      <c r="D2819">
        <v>0</v>
      </c>
      <c r="E2819">
        <v>0</v>
      </c>
      <c r="F2819">
        <v>0</v>
      </c>
      <c r="G2819">
        <v>161.12352616000001</v>
      </c>
      <c r="H2819">
        <v>2914.0123971899989</v>
      </c>
      <c r="I2819">
        <v>0</v>
      </c>
      <c r="J2819">
        <v>0</v>
      </c>
      <c r="K2819">
        <v>2.2413467699999998</v>
      </c>
      <c r="L2819">
        <v>-3384.7</v>
      </c>
      <c r="M2819">
        <v>0</v>
      </c>
      <c r="N2819">
        <v>0</v>
      </c>
      <c r="O2819">
        <v>-33.978396239799707</v>
      </c>
      <c r="P2819">
        <v>346224.46408881992</v>
      </c>
    </row>
    <row r="2820" spans="1:16" x14ac:dyDescent="0.25">
      <c r="A2820" s="10">
        <v>41788</v>
      </c>
      <c r="B2820">
        <v>-3272.7249112999421</v>
      </c>
      <c r="C2820">
        <v>32.243000000000052</v>
      </c>
      <c r="D2820">
        <v>0</v>
      </c>
      <c r="E2820">
        <v>14800</v>
      </c>
      <c r="F2820">
        <v>0</v>
      </c>
      <c r="G2820">
        <v>-3634.25583074</v>
      </c>
      <c r="H2820">
        <v>-14639.77454907</v>
      </c>
      <c r="I2820">
        <v>0</v>
      </c>
      <c r="J2820">
        <v>0</v>
      </c>
      <c r="K2820">
        <v>2.5719925799999999</v>
      </c>
      <c r="L2820">
        <v>220.6</v>
      </c>
      <c r="M2820">
        <v>0</v>
      </c>
      <c r="N2820">
        <v>0</v>
      </c>
      <c r="O2820">
        <v>-54.109524069942843</v>
      </c>
      <c r="P2820">
        <v>342951.73917751992</v>
      </c>
    </row>
    <row r="2821" spans="1:16" x14ac:dyDescent="0.25">
      <c r="A2821" s="10">
        <v>41789</v>
      </c>
      <c r="B2821">
        <v>5976.5506721798438</v>
      </c>
      <c r="C2821">
        <v>654.37599999999998</v>
      </c>
      <c r="D2821">
        <v>0</v>
      </c>
      <c r="E2821">
        <v>0</v>
      </c>
      <c r="F2821">
        <v>4700</v>
      </c>
      <c r="G2821">
        <v>-4797.3703773399993</v>
      </c>
      <c r="H2821">
        <v>5406.0395337700029</v>
      </c>
      <c r="I2821">
        <v>0</v>
      </c>
      <c r="J2821">
        <v>0</v>
      </c>
      <c r="K2821">
        <v>7.0912324399999997</v>
      </c>
      <c r="L2821">
        <v>82</v>
      </c>
      <c r="M2821">
        <v>0</v>
      </c>
      <c r="N2821">
        <v>0</v>
      </c>
      <c r="O2821">
        <v>-75.585716690160012</v>
      </c>
      <c r="P2821">
        <v>348928.28984969982</v>
      </c>
    </row>
    <row r="2822" spans="1:16" x14ac:dyDescent="0.25">
      <c r="A2822" s="10">
        <v>41792</v>
      </c>
      <c r="B2822">
        <v>16666.052122549969</v>
      </c>
      <c r="C2822">
        <v>588.52819999999997</v>
      </c>
      <c r="D2822">
        <v>0</v>
      </c>
      <c r="E2822">
        <v>0</v>
      </c>
      <c r="F2822">
        <v>0</v>
      </c>
      <c r="G2822">
        <v>289.82480211000001</v>
      </c>
      <c r="H2822">
        <v>15674.398741180001</v>
      </c>
      <c r="I2822">
        <v>0</v>
      </c>
      <c r="J2822">
        <v>0</v>
      </c>
      <c r="K2822">
        <v>13.665196610000001</v>
      </c>
      <c r="L2822">
        <v>99.4</v>
      </c>
      <c r="M2822">
        <v>0</v>
      </c>
      <c r="N2822">
        <v>0</v>
      </c>
      <c r="O2822">
        <v>0.2351826499652816</v>
      </c>
      <c r="P2822">
        <v>365594.34197224968</v>
      </c>
    </row>
    <row r="2823" spans="1:16" x14ac:dyDescent="0.25">
      <c r="A2823" s="10">
        <v>41793</v>
      </c>
      <c r="B2823">
        <v>1057.478057690256</v>
      </c>
      <c r="C2823">
        <v>-137.30099999999999</v>
      </c>
      <c r="D2823">
        <v>0</v>
      </c>
      <c r="E2823">
        <v>0</v>
      </c>
      <c r="F2823">
        <v>0</v>
      </c>
      <c r="G2823">
        <v>-70.815510610000047</v>
      </c>
      <c r="H2823">
        <v>1159.75978678</v>
      </c>
      <c r="I2823">
        <v>0</v>
      </c>
      <c r="J2823">
        <v>0</v>
      </c>
      <c r="K2823">
        <v>0.57912493999999992</v>
      </c>
      <c r="L2823">
        <v>74.300000000000011</v>
      </c>
      <c r="M2823">
        <v>0</v>
      </c>
      <c r="N2823">
        <v>0</v>
      </c>
      <c r="O2823">
        <v>30.955656580256299</v>
      </c>
      <c r="P2823">
        <v>366651.82002993999</v>
      </c>
    </row>
    <row r="2824" spans="1:16" x14ac:dyDescent="0.25">
      <c r="A2824" s="10">
        <v>41794</v>
      </c>
      <c r="B2824">
        <v>3557.671600619854</v>
      </c>
      <c r="C2824">
        <v>352.62799999999999</v>
      </c>
      <c r="D2824">
        <v>0</v>
      </c>
      <c r="E2824">
        <v>0</v>
      </c>
      <c r="F2824">
        <v>0</v>
      </c>
      <c r="G2824">
        <v>7560.3842037899994</v>
      </c>
      <c r="H2824">
        <v>403.35788889999998</v>
      </c>
      <c r="I2824">
        <v>0</v>
      </c>
      <c r="J2824">
        <v>0</v>
      </c>
      <c r="K2824">
        <v>0.4730154700000001</v>
      </c>
      <c r="L2824">
        <v>-4618.5</v>
      </c>
      <c r="M2824">
        <v>0</v>
      </c>
      <c r="N2824">
        <v>0</v>
      </c>
      <c r="O2824">
        <v>-140.67150754014401</v>
      </c>
      <c r="P2824">
        <v>370209.49163055979</v>
      </c>
    </row>
    <row r="2825" spans="1:16" x14ac:dyDescent="0.25">
      <c r="A2825" s="10">
        <v>41795</v>
      </c>
      <c r="B2825">
        <v>-539.34943724970822</v>
      </c>
      <c r="C2825">
        <v>-292.27600000000001</v>
      </c>
      <c r="D2825">
        <v>0</v>
      </c>
      <c r="E2825">
        <v>0</v>
      </c>
      <c r="F2825">
        <v>0</v>
      </c>
      <c r="G2825">
        <v>375.07375323000002</v>
      </c>
      <c r="H2825">
        <v>-1016.571148509999</v>
      </c>
      <c r="I2825">
        <v>0</v>
      </c>
      <c r="J2825">
        <v>191.67122538999999</v>
      </c>
      <c r="K2825">
        <v>0.33797196000000002</v>
      </c>
      <c r="L2825">
        <v>0</v>
      </c>
      <c r="M2825">
        <v>0</v>
      </c>
      <c r="N2825">
        <v>0</v>
      </c>
      <c r="O2825">
        <v>202.41476068029101</v>
      </c>
      <c r="P2825">
        <v>369670.14219331008</v>
      </c>
    </row>
    <row r="2826" spans="1:16" x14ac:dyDescent="0.25">
      <c r="A2826" s="10">
        <v>41796</v>
      </c>
      <c r="B2826">
        <v>-5138.3669605500181</v>
      </c>
      <c r="C2826">
        <v>154.44499999999999</v>
      </c>
      <c r="D2826">
        <v>0</v>
      </c>
      <c r="E2826">
        <v>-4500</v>
      </c>
      <c r="F2826">
        <v>6000</v>
      </c>
      <c r="G2826">
        <v>-6148.3708577099997</v>
      </c>
      <c r="H2826">
        <v>-699.58246069000143</v>
      </c>
      <c r="I2826">
        <v>0</v>
      </c>
      <c r="J2826">
        <v>0</v>
      </c>
      <c r="K2826">
        <v>0.43981727999999998</v>
      </c>
      <c r="L2826">
        <v>69.900000000000006</v>
      </c>
      <c r="M2826">
        <v>0</v>
      </c>
      <c r="N2826">
        <v>0</v>
      </c>
      <c r="O2826">
        <v>-15.198459430016189</v>
      </c>
      <c r="P2826">
        <v>364531.77523276012</v>
      </c>
    </row>
    <row r="2827" spans="1:16" x14ac:dyDescent="0.25">
      <c r="A2827" s="10">
        <v>41799</v>
      </c>
      <c r="B2827">
        <v>5957.0532662796904</v>
      </c>
      <c r="C2827">
        <v>1207.1115</v>
      </c>
      <c r="D2827">
        <v>0</v>
      </c>
      <c r="E2827">
        <v>0</v>
      </c>
      <c r="F2827">
        <v>0</v>
      </c>
      <c r="G2827">
        <v>6091.6366153600002</v>
      </c>
      <c r="H2827">
        <v>-1156.238471429999</v>
      </c>
      <c r="I2827">
        <v>0</v>
      </c>
      <c r="J2827">
        <v>-107.5</v>
      </c>
      <c r="K2827">
        <v>-34.4940213</v>
      </c>
      <c r="L2827">
        <v>27.699999999999989</v>
      </c>
      <c r="M2827">
        <v>0</v>
      </c>
      <c r="N2827">
        <v>0</v>
      </c>
      <c r="O2827">
        <v>-71.162356350310986</v>
      </c>
      <c r="P2827">
        <v>370488.82849903993</v>
      </c>
    </row>
    <row r="2828" spans="1:16" x14ac:dyDescent="0.25">
      <c r="A2828" s="10">
        <v>41800</v>
      </c>
      <c r="B2828">
        <v>1318.337681860256</v>
      </c>
      <c r="C2828">
        <v>144.61519999999999</v>
      </c>
      <c r="D2828">
        <v>0</v>
      </c>
      <c r="E2828">
        <v>0</v>
      </c>
      <c r="F2828">
        <v>0</v>
      </c>
      <c r="G2828">
        <v>249.95812135</v>
      </c>
      <c r="H2828">
        <v>1010.2185924299999</v>
      </c>
      <c r="I2828">
        <v>0</v>
      </c>
      <c r="J2828">
        <v>0</v>
      </c>
      <c r="K2828">
        <v>0.54392043000000001</v>
      </c>
      <c r="L2828">
        <v>4.1000000000000094</v>
      </c>
      <c r="M2828">
        <v>0</v>
      </c>
      <c r="N2828">
        <v>0</v>
      </c>
      <c r="O2828">
        <v>-91.098152349744623</v>
      </c>
      <c r="P2828">
        <v>371807.16618090012</v>
      </c>
    </row>
    <row r="2829" spans="1:16" x14ac:dyDescent="0.25">
      <c r="A2829" s="10">
        <v>41801</v>
      </c>
      <c r="B2829">
        <v>745.39168078010016</v>
      </c>
      <c r="C2829">
        <v>361.74049999999988</v>
      </c>
      <c r="D2829">
        <v>0</v>
      </c>
      <c r="E2829">
        <v>0</v>
      </c>
      <c r="F2829">
        <v>0</v>
      </c>
      <c r="G2829">
        <v>-101.15701643</v>
      </c>
      <c r="H2829">
        <v>1466.1198235799991</v>
      </c>
      <c r="I2829">
        <v>0</v>
      </c>
      <c r="J2829">
        <v>0</v>
      </c>
      <c r="K2829">
        <v>0.38524429999999998</v>
      </c>
      <c r="L2829">
        <v>-1160.7</v>
      </c>
      <c r="M2829">
        <v>0</v>
      </c>
      <c r="N2829">
        <v>0</v>
      </c>
      <c r="O2829">
        <v>179.00312933010051</v>
      </c>
      <c r="P2829">
        <v>372552.55786168022</v>
      </c>
    </row>
    <row r="2830" spans="1:16" x14ac:dyDescent="0.25">
      <c r="A2830" s="10">
        <v>41802</v>
      </c>
      <c r="B2830">
        <v>4257.9449960897909</v>
      </c>
      <c r="C2830">
        <v>-373.80900000000003</v>
      </c>
      <c r="D2830">
        <v>0</v>
      </c>
      <c r="E2830">
        <v>4550</v>
      </c>
      <c r="F2830">
        <v>0</v>
      </c>
      <c r="G2830">
        <v>-392.7149668399997</v>
      </c>
      <c r="H2830">
        <v>540.30349545000081</v>
      </c>
      <c r="I2830">
        <v>0</v>
      </c>
      <c r="J2830">
        <v>0</v>
      </c>
      <c r="K2830">
        <v>1.19648467</v>
      </c>
      <c r="L2830">
        <v>2</v>
      </c>
      <c r="M2830">
        <v>0</v>
      </c>
      <c r="N2830">
        <v>0</v>
      </c>
      <c r="O2830">
        <v>-69.03101719021052</v>
      </c>
      <c r="P2830">
        <v>376810.50285777001</v>
      </c>
    </row>
    <row r="2831" spans="1:16" x14ac:dyDescent="0.25">
      <c r="A2831" s="10">
        <v>41803</v>
      </c>
      <c r="B2831">
        <v>-11636.580841330169</v>
      </c>
      <c r="C2831">
        <v>586.34077000000002</v>
      </c>
      <c r="D2831">
        <v>0</v>
      </c>
      <c r="E2831">
        <v>-9500</v>
      </c>
      <c r="F2831">
        <v>0</v>
      </c>
      <c r="G2831">
        <v>-381.31591158000077</v>
      </c>
      <c r="H2831">
        <v>-2335.3414443500001</v>
      </c>
      <c r="I2831">
        <v>0</v>
      </c>
      <c r="J2831">
        <v>6</v>
      </c>
      <c r="K2831">
        <v>0.30304572000000002</v>
      </c>
      <c r="L2831">
        <v>16.3</v>
      </c>
      <c r="M2831">
        <v>0</v>
      </c>
      <c r="N2831">
        <v>0</v>
      </c>
      <c r="O2831">
        <v>-28.867301120171401</v>
      </c>
      <c r="P2831">
        <v>365173.92201643978</v>
      </c>
    </row>
    <row r="2832" spans="1:16" x14ac:dyDescent="0.25">
      <c r="A2832" s="10">
        <v>41806</v>
      </c>
      <c r="B2832">
        <v>-5758.0140000496176</v>
      </c>
      <c r="C2832">
        <v>121.9</v>
      </c>
      <c r="D2832">
        <v>0</v>
      </c>
      <c r="E2832">
        <v>0</v>
      </c>
      <c r="F2832">
        <v>0</v>
      </c>
      <c r="G2832">
        <v>36.484279809999983</v>
      </c>
      <c r="H2832">
        <v>-5964.8384002600014</v>
      </c>
      <c r="I2832">
        <v>0</v>
      </c>
      <c r="J2832">
        <v>0</v>
      </c>
      <c r="K2832">
        <v>2.5343900399999999</v>
      </c>
      <c r="L2832">
        <v>21.800000000000011</v>
      </c>
      <c r="M2832">
        <v>0</v>
      </c>
      <c r="N2832">
        <v>0</v>
      </c>
      <c r="O2832">
        <v>24.105730360381859</v>
      </c>
      <c r="P2832">
        <v>359415.90801639023</v>
      </c>
    </row>
    <row r="2833" spans="1:16" x14ac:dyDescent="0.25">
      <c r="A2833" s="10">
        <v>41807</v>
      </c>
      <c r="B2833">
        <v>593.14906160952603</v>
      </c>
      <c r="C2833">
        <v>325.12200000000001</v>
      </c>
      <c r="D2833">
        <v>0</v>
      </c>
      <c r="E2833">
        <v>0</v>
      </c>
      <c r="F2833">
        <v>0</v>
      </c>
      <c r="G2833">
        <v>192.13394973000001</v>
      </c>
      <c r="H2833">
        <v>31.801472770001059</v>
      </c>
      <c r="I2833">
        <v>0</v>
      </c>
      <c r="J2833">
        <v>2.787499519999983</v>
      </c>
      <c r="K2833">
        <v>2.2944093300000001</v>
      </c>
      <c r="L2833">
        <v>79</v>
      </c>
      <c r="M2833">
        <v>0</v>
      </c>
      <c r="N2833">
        <v>0</v>
      </c>
      <c r="O2833">
        <v>-39.990269740475171</v>
      </c>
      <c r="P2833">
        <v>360009.05707799981</v>
      </c>
    </row>
    <row r="2834" spans="1:16" x14ac:dyDescent="0.25">
      <c r="A2834" s="10">
        <v>41808</v>
      </c>
      <c r="B2834">
        <v>2565.2784304103689</v>
      </c>
      <c r="C2834">
        <v>325.16000000000003</v>
      </c>
      <c r="D2834">
        <v>0</v>
      </c>
      <c r="E2834">
        <v>0</v>
      </c>
      <c r="F2834">
        <v>0</v>
      </c>
      <c r="G2834">
        <v>-293.02046776999998</v>
      </c>
      <c r="H2834">
        <v>-601.14233744000194</v>
      </c>
      <c r="I2834">
        <v>0</v>
      </c>
      <c r="J2834">
        <v>0</v>
      </c>
      <c r="K2834">
        <v>2.2999455200000001</v>
      </c>
      <c r="L2834">
        <v>3142.6</v>
      </c>
      <c r="M2834">
        <v>0</v>
      </c>
      <c r="N2834">
        <v>0</v>
      </c>
      <c r="O2834">
        <v>-10.61870989962917</v>
      </c>
      <c r="P2834">
        <v>362574.33550841012</v>
      </c>
    </row>
    <row r="2835" spans="1:16" x14ac:dyDescent="0.25">
      <c r="A2835" s="10">
        <v>41809</v>
      </c>
      <c r="B2835">
        <v>-288.64907821011599</v>
      </c>
      <c r="C2835">
        <v>-943.19600000000003</v>
      </c>
      <c r="D2835">
        <v>0</v>
      </c>
      <c r="E2835">
        <v>-5250</v>
      </c>
      <c r="F2835">
        <v>5850</v>
      </c>
      <c r="G2835">
        <v>379.2170571100001</v>
      </c>
      <c r="H2835">
        <v>-327.73759566999979</v>
      </c>
      <c r="I2835">
        <v>0</v>
      </c>
      <c r="J2835">
        <v>0</v>
      </c>
      <c r="K2835">
        <v>2.3168478499999989</v>
      </c>
      <c r="L2835">
        <v>0</v>
      </c>
      <c r="M2835">
        <v>0</v>
      </c>
      <c r="N2835">
        <v>0</v>
      </c>
      <c r="O2835">
        <v>0.75061249988357304</v>
      </c>
      <c r="P2835">
        <v>362285.68643019989</v>
      </c>
    </row>
    <row r="2836" spans="1:16" x14ac:dyDescent="0.25">
      <c r="A2836" s="10">
        <v>41813</v>
      </c>
      <c r="B2836">
        <v>939.81433565996076</v>
      </c>
      <c r="C2836">
        <v>128.42599999999999</v>
      </c>
      <c r="D2836">
        <v>0</v>
      </c>
      <c r="E2836">
        <v>0</v>
      </c>
      <c r="F2836">
        <v>0</v>
      </c>
      <c r="G2836">
        <v>-544.48671709999996</v>
      </c>
      <c r="H2836">
        <v>1448.9719001400031</v>
      </c>
      <c r="I2836">
        <v>0</v>
      </c>
      <c r="J2836">
        <v>0</v>
      </c>
      <c r="K2836">
        <v>8.5912237600000001</v>
      </c>
      <c r="L2836">
        <v>0</v>
      </c>
      <c r="M2836">
        <v>0</v>
      </c>
      <c r="N2836">
        <v>0</v>
      </c>
      <c r="O2836">
        <v>-101.688071140042</v>
      </c>
      <c r="P2836">
        <v>363225.50076585991</v>
      </c>
    </row>
    <row r="2837" spans="1:16" x14ac:dyDescent="0.25">
      <c r="A2837" s="10">
        <v>41814</v>
      </c>
      <c r="B2837">
        <v>-234.81241233018221</v>
      </c>
      <c r="C2837">
        <v>922.68499999999995</v>
      </c>
      <c r="D2837">
        <v>0</v>
      </c>
      <c r="E2837">
        <v>0</v>
      </c>
      <c r="F2837">
        <v>0</v>
      </c>
      <c r="G2837">
        <v>332.53969319999999</v>
      </c>
      <c r="H2837">
        <v>-1375.423447120002</v>
      </c>
      <c r="I2837">
        <v>0</v>
      </c>
      <c r="J2837">
        <v>0</v>
      </c>
      <c r="K2837">
        <v>2.0522374299999999</v>
      </c>
      <c r="L2837">
        <v>98.999999999999986</v>
      </c>
      <c r="M2837">
        <v>0</v>
      </c>
      <c r="N2837">
        <v>0</v>
      </c>
      <c r="O2837">
        <v>-215.66589584018041</v>
      </c>
      <c r="P2837">
        <v>362990.68835352972</v>
      </c>
    </row>
    <row r="2838" spans="1:16" x14ac:dyDescent="0.25">
      <c r="A2838" s="10">
        <v>41815</v>
      </c>
      <c r="B2838">
        <v>2597.0086208404391</v>
      </c>
      <c r="C2838">
        <v>371.47619999999989</v>
      </c>
      <c r="D2838">
        <v>0</v>
      </c>
      <c r="E2838">
        <v>0</v>
      </c>
      <c r="F2838">
        <v>0</v>
      </c>
      <c r="G2838">
        <v>132.8804252999999</v>
      </c>
      <c r="H2838">
        <v>1171.397663779999</v>
      </c>
      <c r="I2838">
        <v>0</v>
      </c>
      <c r="J2838">
        <v>0</v>
      </c>
      <c r="K2838">
        <v>2.5269180499999999</v>
      </c>
      <c r="L2838">
        <v>866.1</v>
      </c>
      <c r="M2838">
        <v>0</v>
      </c>
      <c r="N2838">
        <v>0</v>
      </c>
      <c r="O2838">
        <v>52.627413710440578</v>
      </c>
      <c r="P2838">
        <v>365587.69697437022</v>
      </c>
    </row>
    <row r="2839" spans="1:16" x14ac:dyDescent="0.25">
      <c r="A2839" s="10">
        <v>41816</v>
      </c>
      <c r="B2839">
        <v>7027.8071037598993</v>
      </c>
      <c r="C2839">
        <v>528.57600000000002</v>
      </c>
      <c r="D2839">
        <v>-6200</v>
      </c>
      <c r="E2839">
        <v>14700</v>
      </c>
      <c r="F2839">
        <v>0</v>
      </c>
      <c r="G2839">
        <v>-968.75054103000002</v>
      </c>
      <c r="H2839">
        <v>-956.0528033999999</v>
      </c>
      <c r="I2839">
        <v>0</v>
      </c>
      <c r="J2839">
        <v>0</v>
      </c>
      <c r="K2839">
        <v>2.8908434699999992</v>
      </c>
      <c r="L2839">
        <v>0</v>
      </c>
      <c r="M2839">
        <v>0</v>
      </c>
      <c r="N2839">
        <v>0</v>
      </c>
      <c r="O2839">
        <v>-78.856395280101054</v>
      </c>
      <c r="P2839">
        <v>372615.50407813012</v>
      </c>
    </row>
    <row r="2840" spans="1:16" x14ac:dyDescent="0.25">
      <c r="A2840" s="10">
        <v>41817</v>
      </c>
      <c r="B2840">
        <v>-1908.476052960089</v>
      </c>
      <c r="C2840">
        <v>890.44899999999984</v>
      </c>
      <c r="D2840">
        <v>0</v>
      </c>
      <c r="E2840">
        <v>0</v>
      </c>
      <c r="F2840">
        <v>0</v>
      </c>
      <c r="G2840">
        <v>-5.0119216999999026</v>
      </c>
      <c r="H2840">
        <v>-2972.4249597400012</v>
      </c>
      <c r="I2840">
        <v>0</v>
      </c>
      <c r="J2840">
        <v>0</v>
      </c>
      <c r="K2840">
        <v>2.10281224</v>
      </c>
      <c r="L2840">
        <v>0</v>
      </c>
      <c r="M2840">
        <v>0</v>
      </c>
      <c r="N2840">
        <v>0</v>
      </c>
      <c r="O2840">
        <v>176.40901623991289</v>
      </c>
      <c r="P2840">
        <v>370707.02802516997</v>
      </c>
    </row>
    <row r="2841" spans="1:16" x14ac:dyDescent="0.25">
      <c r="A2841" s="10">
        <v>41820</v>
      </c>
      <c r="B2841">
        <v>-96.013277340039252</v>
      </c>
      <c r="C2841">
        <v>674.9860000000001</v>
      </c>
      <c r="D2841">
        <v>0</v>
      </c>
      <c r="E2841">
        <v>0</v>
      </c>
      <c r="F2841">
        <v>0</v>
      </c>
      <c r="G2841">
        <v>451.68867405000009</v>
      </c>
      <c r="H2841">
        <v>-3209.0744627799982</v>
      </c>
      <c r="I2841">
        <v>0</v>
      </c>
      <c r="J2841">
        <v>0</v>
      </c>
      <c r="K2841">
        <v>9.6606267500000023</v>
      </c>
      <c r="L2841">
        <v>2022.3</v>
      </c>
      <c r="M2841">
        <v>0</v>
      </c>
      <c r="N2841">
        <v>0</v>
      </c>
      <c r="O2841">
        <v>-45.57411536004188</v>
      </c>
      <c r="P2841">
        <v>370611.01474782987</v>
      </c>
    </row>
    <row r="2842" spans="1:16" x14ac:dyDescent="0.25">
      <c r="A2842" s="10">
        <v>41821</v>
      </c>
      <c r="B2842">
        <v>12107.941894959889</v>
      </c>
      <c r="C2842">
        <v>728.03399999999999</v>
      </c>
      <c r="D2842">
        <v>0</v>
      </c>
      <c r="E2842">
        <v>0</v>
      </c>
      <c r="F2842">
        <v>0</v>
      </c>
      <c r="G2842">
        <v>-1618.7983134200001</v>
      </c>
      <c r="H2842">
        <v>13080.51247878</v>
      </c>
      <c r="I2842">
        <v>0</v>
      </c>
      <c r="J2842">
        <v>0</v>
      </c>
      <c r="K2842">
        <v>4.2154251999999994</v>
      </c>
      <c r="L2842">
        <v>0</v>
      </c>
      <c r="M2842">
        <v>0</v>
      </c>
      <c r="N2842">
        <v>0</v>
      </c>
      <c r="O2842">
        <v>-86.021695600108075</v>
      </c>
      <c r="P2842">
        <v>382718.95664278982</v>
      </c>
    </row>
    <row r="2843" spans="1:16" x14ac:dyDescent="0.25">
      <c r="A2843" s="10">
        <v>41822</v>
      </c>
      <c r="B2843">
        <v>2981.453081449959</v>
      </c>
      <c r="C2843">
        <v>81.334999999999994</v>
      </c>
      <c r="D2843">
        <v>0</v>
      </c>
      <c r="E2843">
        <v>0</v>
      </c>
      <c r="F2843">
        <v>0</v>
      </c>
      <c r="G2843">
        <v>416.0486911500002</v>
      </c>
      <c r="H2843">
        <v>1440.5342064500001</v>
      </c>
      <c r="I2843">
        <v>0</v>
      </c>
      <c r="J2843">
        <v>0</v>
      </c>
      <c r="K2843">
        <v>0.65204426000000004</v>
      </c>
      <c r="L2843">
        <v>1095.9000000000001</v>
      </c>
      <c r="M2843">
        <v>0</v>
      </c>
      <c r="N2843">
        <v>0</v>
      </c>
      <c r="O2843">
        <v>-53.01686041004141</v>
      </c>
      <c r="P2843">
        <v>385700.40972423978</v>
      </c>
    </row>
    <row r="2844" spans="1:16" x14ac:dyDescent="0.25">
      <c r="A2844" s="10">
        <v>41823</v>
      </c>
      <c r="B2844">
        <v>7532.0204754602164</v>
      </c>
      <c r="C2844">
        <v>1212.9159</v>
      </c>
      <c r="D2844">
        <v>0</v>
      </c>
      <c r="E2844">
        <v>7000</v>
      </c>
      <c r="F2844">
        <v>0</v>
      </c>
      <c r="G2844">
        <v>72.721537180000269</v>
      </c>
      <c r="H2844">
        <v>-641.50287217000096</v>
      </c>
      <c r="I2844">
        <v>0</v>
      </c>
      <c r="J2844">
        <v>0</v>
      </c>
      <c r="K2844">
        <v>0.41322410999999998</v>
      </c>
      <c r="L2844">
        <v>0</v>
      </c>
      <c r="M2844">
        <v>0</v>
      </c>
      <c r="N2844">
        <v>0</v>
      </c>
      <c r="O2844">
        <v>-112.5273136597832</v>
      </c>
      <c r="P2844">
        <v>393232.4301997</v>
      </c>
    </row>
    <row r="2845" spans="1:16" x14ac:dyDescent="0.25">
      <c r="A2845" s="10">
        <v>41824</v>
      </c>
      <c r="B2845">
        <v>159.73112908989441</v>
      </c>
      <c r="C2845">
        <v>0</v>
      </c>
      <c r="D2845">
        <v>0</v>
      </c>
      <c r="E2845">
        <v>0</v>
      </c>
      <c r="F2845">
        <v>0</v>
      </c>
      <c r="G2845">
        <v>-209.02143366000001</v>
      </c>
      <c r="H2845">
        <v>440.35461747000141</v>
      </c>
      <c r="I2845">
        <v>0</v>
      </c>
      <c r="J2845">
        <v>0</v>
      </c>
      <c r="K2845">
        <v>0.50788784999999992</v>
      </c>
      <c r="L2845">
        <v>0</v>
      </c>
      <c r="M2845">
        <v>0</v>
      </c>
      <c r="N2845">
        <v>0</v>
      </c>
      <c r="O2845">
        <v>-72.109942570107023</v>
      </c>
      <c r="P2845">
        <v>393392.16132878989</v>
      </c>
    </row>
    <row r="2846" spans="1:16" x14ac:dyDescent="0.25">
      <c r="A2846" s="10">
        <v>41827</v>
      </c>
      <c r="B2846">
        <v>1390.4929158500161</v>
      </c>
      <c r="C2846">
        <v>940.12100000000009</v>
      </c>
      <c r="D2846">
        <v>0</v>
      </c>
      <c r="E2846">
        <v>0</v>
      </c>
      <c r="F2846">
        <v>0</v>
      </c>
      <c r="G2846">
        <v>-439.40655399999991</v>
      </c>
      <c r="H2846">
        <v>923.22920739000074</v>
      </c>
      <c r="I2846">
        <v>0</v>
      </c>
      <c r="J2846">
        <v>11.80000000000018</v>
      </c>
      <c r="K2846">
        <v>0.95843617000000003</v>
      </c>
      <c r="L2846">
        <v>0</v>
      </c>
      <c r="M2846">
        <v>0</v>
      </c>
      <c r="N2846">
        <v>0</v>
      </c>
      <c r="O2846">
        <v>-46.209173709984732</v>
      </c>
      <c r="P2846">
        <v>394782.65424463991</v>
      </c>
    </row>
    <row r="2847" spans="1:16" x14ac:dyDescent="0.25">
      <c r="A2847" s="10">
        <v>41828</v>
      </c>
      <c r="B2847">
        <v>941.5750974700203</v>
      </c>
      <c r="C2847">
        <v>610.60599999999999</v>
      </c>
      <c r="D2847">
        <v>0</v>
      </c>
      <c r="E2847">
        <v>0</v>
      </c>
      <c r="F2847">
        <v>0</v>
      </c>
      <c r="G2847">
        <v>1903.40760138</v>
      </c>
      <c r="H2847">
        <v>-1380.867768900001</v>
      </c>
      <c r="I2847">
        <v>0</v>
      </c>
      <c r="J2847">
        <v>-113.90000000000011</v>
      </c>
      <c r="K2847">
        <v>-34.914206299999627</v>
      </c>
      <c r="L2847">
        <v>0</v>
      </c>
      <c r="M2847">
        <v>0</v>
      </c>
      <c r="N2847">
        <v>0</v>
      </c>
      <c r="O2847">
        <v>-42.75652870997876</v>
      </c>
      <c r="P2847">
        <v>395724.22934210987</v>
      </c>
    </row>
    <row r="2848" spans="1:16" x14ac:dyDescent="0.25">
      <c r="A2848" s="10">
        <v>41830</v>
      </c>
      <c r="B2848">
        <v>-3744.3637778901621</v>
      </c>
      <c r="C2848">
        <v>553.00739999999996</v>
      </c>
      <c r="D2848">
        <v>0</v>
      </c>
      <c r="E2848">
        <v>0</v>
      </c>
      <c r="F2848">
        <v>0</v>
      </c>
      <c r="G2848">
        <v>371.84930336999997</v>
      </c>
      <c r="H2848">
        <v>677.76190451999992</v>
      </c>
      <c r="I2848">
        <v>0</v>
      </c>
      <c r="J2848">
        <v>0</v>
      </c>
      <c r="K2848">
        <v>0.91652354999999985</v>
      </c>
      <c r="L2848">
        <v>-5303.8</v>
      </c>
      <c r="M2848">
        <v>0</v>
      </c>
      <c r="N2848">
        <v>0</v>
      </c>
      <c r="O2848">
        <v>-44.098909330161312</v>
      </c>
      <c r="P2848">
        <v>391979.86556421971</v>
      </c>
    </row>
    <row r="2849" spans="1:16" x14ac:dyDescent="0.25">
      <c r="A2849" s="10">
        <v>41831</v>
      </c>
      <c r="B2849">
        <v>-1653.9978223601349</v>
      </c>
      <c r="C2849">
        <v>36.646999999999991</v>
      </c>
      <c r="D2849">
        <v>0</v>
      </c>
      <c r="E2849">
        <v>0</v>
      </c>
      <c r="F2849">
        <v>0</v>
      </c>
      <c r="G2849">
        <v>-2.0344850999999839</v>
      </c>
      <c r="H2849">
        <v>-1579.91356043</v>
      </c>
      <c r="I2849">
        <v>0</v>
      </c>
      <c r="J2849">
        <v>0</v>
      </c>
      <c r="K2849">
        <v>0.46386688999999998</v>
      </c>
      <c r="L2849">
        <v>0</v>
      </c>
      <c r="M2849">
        <v>0</v>
      </c>
      <c r="N2849">
        <v>0</v>
      </c>
      <c r="O2849">
        <v>-109.1606437201353</v>
      </c>
      <c r="P2849">
        <v>390325.86774185969</v>
      </c>
    </row>
    <row r="2850" spans="1:16" x14ac:dyDescent="0.25">
      <c r="A2850" s="10">
        <v>41834</v>
      </c>
      <c r="B2850">
        <v>1633.9440780701691</v>
      </c>
      <c r="C2850">
        <v>383.03</v>
      </c>
      <c r="D2850">
        <v>0</v>
      </c>
      <c r="E2850">
        <v>0</v>
      </c>
      <c r="F2850">
        <v>0</v>
      </c>
      <c r="G2850">
        <v>56.231041889999972</v>
      </c>
      <c r="H2850">
        <v>1247.6961117799999</v>
      </c>
      <c r="I2850">
        <v>0</v>
      </c>
      <c r="J2850">
        <v>4.5</v>
      </c>
      <c r="K2850">
        <v>1.4409875599999999</v>
      </c>
      <c r="L2850">
        <v>0</v>
      </c>
      <c r="M2850">
        <v>0</v>
      </c>
      <c r="N2850">
        <v>0</v>
      </c>
      <c r="O2850">
        <v>-58.954063159830604</v>
      </c>
      <c r="P2850">
        <v>391959.8118199298</v>
      </c>
    </row>
    <row r="2851" spans="1:16" x14ac:dyDescent="0.25">
      <c r="A2851" s="10">
        <v>41835</v>
      </c>
      <c r="B2851">
        <v>-315.50615202001092</v>
      </c>
      <c r="C2851">
        <v>-89.76600000000002</v>
      </c>
      <c r="D2851">
        <v>0</v>
      </c>
      <c r="E2851">
        <v>0</v>
      </c>
      <c r="F2851">
        <v>0</v>
      </c>
      <c r="G2851">
        <v>-584.36482135000006</v>
      </c>
      <c r="H2851">
        <v>443.07248529000032</v>
      </c>
      <c r="I2851">
        <v>0</v>
      </c>
      <c r="J2851">
        <v>0</v>
      </c>
      <c r="K2851">
        <v>0.39403114000000011</v>
      </c>
      <c r="L2851">
        <v>0</v>
      </c>
      <c r="M2851">
        <v>0</v>
      </c>
      <c r="N2851">
        <v>0</v>
      </c>
      <c r="O2851">
        <v>-84.841847100011023</v>
      </c>
      <c r="P2851">
        <v>391644.30566790979</v>
      </c>
    </row>
    <row r="2852" spans="1:16" x14ac:dyDescent="0.25">
      <c r="A2852" s="10">
        <v>41836</v>
      </c>
      <c r="B2852">
        <v>-2716.6642246700349</v>
      </c>
      <c r="C2852">
        <v>350.56599999999997</v>
      </c>
      <c r="D2852">
        <v>0</v>
      </c>
      <c r="E2852">
        <v>5000</v>
      </c>
      <c r="F2852">
        <v>0</v>
      </c>
      <c r="G2852">
        <v>-86.125359839999987</v>
      </c>
      <c r="H2852">
        <v>-4007.8315199199992</v>
      </c>
      <c r="I2852">
        <v>0</v>
      </c>
      <c r="J2852">
        <v>0</v>
      </c>
      <c r="K2852">
        <v>0.50642440999999994</v>
      </c>
      <c r="L2852">
        <v>-3907.4</v>
      </c>
      <c r="M2852">
        <v>0</v>
      </c>
      <c r="N2852">
        <v>0</v>
      </c>
      <c r="O2852">
        <v>-66.379769320036843</v>
      </c>
      <c r="P2852">
        <v>388927.64144323982</v>
      </c>
    </row>
    <row r="2853" spans="1:16" x14ac:dyDescent="0.25">
      <c r="A2853" s="10">
        <v>41837</v>
      </c>
      <c r="B2853">
        <v>-7624.241217120084</v>
      </c>
      <c r="C2853">
        <v>293.51350000000002</v>
      </c>
      <c r="D2853">
        <v>0</v>
      </c>
      <c r="E2853">
        <v>-5000</v>
      </c>
      <c r="F2853">
        <v>0</v>
      </c>
      <c r="G2853">
        <v>-217.1786739499999</v>
      </c>
      <c r="H2853">
        <v>-2588.1787113500009</v>
      </c>
      <c r="I2853">
        <v>0</v>
      </c>
      <c r="J2853">
        <v>0</v>
      </c>
      <c r="K2853">
        <v>1.4796137</v>
      </c>
      <c r="L2853">
        <v>0</v>
      </c>
      <c r="M2853">
        <v>0</v>
      </c>
      <c r="N2853">
        <v>0</v>
      </c>
      <c r="O2853">
        <v>-113.8769455200827</v>
      </c>
      <c r="P2853">
        <v>381303.40022611967</v>
      </c>
    </row>
    <row r="2854" spans="1:16" x14ac:dyDescent="0.25">
      <c r="A2854" s="10">
        <v>41838</v>
      </c>
      <c r="B2854">
        <v>-399.85546645958652</v>
      </c>
      <c r="C2854">
        <v>-40.811000000000007</v>
      </c>
      <c r="D2854">
        <v>0</v>
      </c>
      <c r="E2854">
        <v>0</v>
      </c>
      <c r="F2854">
        <v>0</v>
      </c>
      <c r="G2854">
        <v>492.02788552999999</v>
      </c>
      <c r="H2854">
        <v>-863.38068251999903</v>
      </c>
      <c r="I2854">
        <v>0</v>
      </c>
      <c r="J2854">
        <v>16.900000000000091</v>
      </c>
      <c r="K2854">
        <v>1.67953603</v>
      </c>
      <c r="L2854">
        <v>0</v>
      </c>
      <c r="M2854">
        <v>0</v>
      </c>
      <c r="N2854">
        <v>0</v>
      </c>
      <c r="O2854">
        <v>-6.2712054995875732</v>
      </c>
      <c r="P2854">
        <v>380903.54475966009</v>
      </c>
    </row>
    <row r="2855" spans="1:16" x14ac:dyDescent="0.25">
      <c r="A2855" s="10">
        <v>41841</v>
      </c>
      <c r="B2855">
        <v>205.67458500008831</v>
      </c>
      <c r="C2855">
        <v>175.26499999999999</v>
      </c>
      <c r="D2855">
        <v>0</v>
      </c>
      <c r="E2855">
        <v>0</v>
      </c>
      <c r="F2855">
        <v>0</v>
      </c>
      <c r="G2855">
        <v>325.78978724000041</v>
      </c>
      <c r="H2855">
        <v>-280.53258180000012</v>
      </c>
      <c r="I2855">
        <v>0</v>
      </c>
      <c r="J2855">
        <v>0</v>
      </c>
      <c r="K2855">
        <v>5.4096811200000001</v>
      </c>
      <c r="L2855">
        <v>0</v>
      </c>
      <c r="M2855">
        <v>0</v>
      </c>
      <c r="N2855">
        <v>0</v>
      </c>
      <c r="O2855">
        <v>-20.25730155991187</v>
      </c>
      <c r="P2855">
        <v>381109.21934466017</v>
      </c>
    </row>
    <row r="2856" spans="1:16" x14ac:dyDescent="0.25">
      <c r="A2856" s="10">
        <v>41842</v>
      </c>
      <c r="B2856">
        <v>-3241.531639270484</v>
      </c>
      <c r="C2856">
        <v>106.087</v>
      </c>
      <c r="D2856">
        <v>0</v>
      </c>
      <c r="E2856">
        <v>0</v>
      </c>
      <c r="F2856">
        <v>0</v>
      </c>
      <c r="G2856">
        <v>-1615.1767121400001</v>
      </c>
      <c r="H2856">
        <v>-1743.7238383199999</v>
      </c>
      <c r="I2856">
        <v>0</v>
      </c>
      <c r="J2856">
        <v>0</v>
      </c>
      <c r="K2856">
        <v>1.9899318800000001</v>
      </c>
      <c r="L2856">
        <v>0</v>
      </c>
      <c r="M2856">
        <v>0</v>
      </c>
      <c r="N2856">
        <v>0</v>
      </c>
      <c r="O2856">
        <v>9.291979309515682</v>
      </c>
      <c r="P2856">
        <v>377867.68770538969</v>
      </c>
    </row>
    <row r="2857" spans="1:16" x14ac:dyDescent="0.25">
      <c r="A2857" s="10">
        <v>41843</v>
      </c>
      <c r="B2857">
        <v>2826.771512410372</v>
      </c>
      <c r="C2857">
        <v>122.506</v>
      </c>
      <c r="D2857">
        <v>0</v>
      </c>
      <c r="E2857">
        <v>0</v>
      </c>
      <c r="F2857">
        <v>0</v>
      </c>
      <c r="G2857">
        <v>1371.21987689</v>
      </c>
      <c r="H2857">
        <v>5180.3852083899983</v>
      </c>
      <c r="I2857">
        <v>0</v>
      </c>
      <c r="J2857">
        <v>0</v>
      </c>
      <c r="K2857">
        <v>2.7634671199999992</v>
      </c>
      <c r="L2857">
        <v>-3787</v>
      </c>
      <c r="M2857">
        <v>0</v>
      </c>
      <c r="N2857">
        <v>0</v>
      </c>
      <c r="O2857">
        <v>-63.103039989625707</v>
      </c>
      <c r="P2857">
        <v>380694.45921780012</v>
      </c>
    </row>
    <row r="2858" spans="1:16" x14ac:dyDescent="0.25">
      <c r="A2858" s="10">
        <v>41844</v>
      </c>
      <c r="B2858">
        <v>-4346.1300588002787</v>
      </c>
      <c r="C2858">
        <v>433.30099999999999</v>
      </c>
      <c r="D2858">
        <v>0</v>
      </c>
      <c r="E2858">
        <v>4600</v>
      </c>
      <c r="F2858">
        <v>8000</v>
      </c>
      <c r="G2858">
        <v>-8657.7184885300012</v>
      </c>
      <c r="H2858">
        <v>-8699.2962102299971</v>
      </c>
      <c r="I2858">
        <v>0</v>
      </c>
      <c r="J2858">
        <v>4.5781360000000859</v>
      </c>
      <c r="K2858">
        <v>1.8789536099999991</v>
      </c>
      <c r="L2858">
        <v>0</v>
      </c>
      <c r="M2858">
        <v>0</v>
      </c>
      <c r="N2858">
        <v>0</v>
      </c>
      <c r="O2858">
        <v>-28.873449650280051</v>
      </c>
      <c r="P2858">
        <v>376348.32915899978</v>
      </c>
    </row>
    <row r="2859" spans="1:16" x14ac:dyDescent="0.25">
      <c r="A2859" s="10">
        <v>41845</v>
      </c>
      <c r="B2859">
        <v>-3911.5245602700752</v>
      </c>
      <c r="C2859">
        <v>155.65028000000001</v>
      </c>
      <c r="D2859">
        <v>-2422</v>
      </c>
      <c r="E2859">
        <v>0</v>
      </c>
      <c r="F2859">
        <v>0</v>
      </c>
      <c r="G2859">
        <v>2796.0813550399998</v>
      </c>
      <c r="H2859">
        <v>-4350.2521815200016</v>
      </c>
      <c r="I2859">
        <v>0</v>
      </c>
      <c r="J2859">
        <v>0.4602180000001681</v>
      </c>
      <c r="K2859">
        <v>3.357957869999999</v>
      </c>
      <c r="L2859">
        <v>0</v>
      </c>
      <c r="M2859">
        <v>0</v>
      </c>
      <c r="N2859">
        <v>0</v>
      </c>
      <c r="O2859">
        <v>-94.822189660073946</v>
      </c>
      <c r="P2859">
        <v>372436.80459872971</v>
      </c>
    </row>
    <row r="2860" spans="1:16" x14ac:dyDescent="0.25">
      <c r="A2860" s="10">
        <v>41848</v>
      </c>
      <c r="B2860">
        <v>-3309.3093671397069</v>
      </c>
      <c r="C2860">
        <v>-580.16099999999994</v>
      </c>
      <c r="D2860">
        <v>0</v>
      </c>
      <c r="E2860">
        <v>0</v>
      </c>
      <c r="F2860">
        <v>0</v>
      </c>
      <c r="G2860">
        <v>348.85726301999972</v>
      </c>
      <c r="H2860">
        <v>-3107.1432286999989</v>
      </c>
      <c r="I2860">
        <v>0</v>
      </c>
      <c r="J2860">
        <v>2.1726210000001629</v>
      </c>
      <c r="K2860">
        <v>11.85143622</v>
      </c>
      <c r="L2860">
        <v>8.3000000000000114</v>
      </c>
      <c r="M2860">
        <v>0</v>
      </c>
      <c r="N2860">
        <v>0</v>
      </c>
      <c r="O2860">
        <v>6.8135413202918258</v>
      </c>
      <c r="P2860">
        <v>369127.49523159</v>
      </c>
    </row>
    <row r="2861" spans="1:16" x14ac:dyDescent="0.25">
      <c r="A2861" s="10">
        <v>41849</v>
      </c>
      <c r="B2861">
        <v>1368.5754190799789</v>
      </c>
      <c r="C2861">
        <v>388.99</v>
      </c>
      <c r="D2861">
        <v>0</v>
      </c>
      <c r="E2861">
        <v>0</v>
      </c>
      <c r="F2861">
        <v>0</v>
      </c>
      <c r="G2861">
        <v>5.9228882399999634</v>
      </c>
      <c r="H2861">
        <v>983.16965397999957</v>
      </c>
      <c r="I2861">
        <v>0</v>
      </c>
      <c r="J2861">
        <v>0</v>
      </c>
      <c r="K2861">
        <v>4.7199595499999996</v>
      </c>
      <c r="L2861">
        <v>0</v>
      </c>
      <c r="M2861">
        <v>0</v>
      </c>
      <c r="N2861">
        <v>0</v>
      </c>
      <c r="O2861">
        <v>-14.227082690020231</v>
      </c>
      <c r="P2861">
        <v>370496.07065066998</v>
      </c>
    </row>
    <row r="2862" spans="1:16" x14ac:dyDescent="0.25">
      <c r="A2862" s="10">
        <v>41850</v>
      </c>
      <c r="B2862">
        <v>-428.79925868025822</v>
      </c>
      <c r="C2862">
        <v>332.08300000000003</v>
      </c>
      <c r="D2862">
        <v>0</v>
      </c>
      <c r="E2862">
        <v>0</v>
      </c>
      <c r="F2862">
        <v>0</v>
      </c>
      <c r="G2862">
        <v>-160.50868120999999</v>
      </c>
      <c r="H2862">
        <v>1971.616053649999</v>
      </c>
      <c r="I2862">
        <v>0</v>
      </c>
      <c r="J2862">
        <v>0</v>
      </c>
      <c r="K2862">
        <v>5.1380820399999987</v>
      </c>
      <c r="L2862">
        <v>-2521.6999999999998</v>
      </c>
      <c r="M2862">
        <v>0</v>
      </c>
      <c r="N2862">
        <v>0</v>
      </c>
      <c r="O2862">
        <v>-55.427713160256907</v>
      </c>
      <c r="P2862">
        <v>370067.27139198972</v>
      </c>
    </row>
    <row r="2863" spans="1:16" x14ac:dyDescent="0.25">
      <c r="A2863" s="10">
        <v>41851</v>
      </c>
      <c r="B2863">
        <v>1621.418063130171</v>
      </c>
      <c r="C2863">
        <v>26.252199999999991</v>
      </c>
      <c r="D2863">
        <v>0</v>
      </c>
      <c r="E2863">
        <v>2000</v>
      </c>
      <c r="F2863">
        <v>0</v>
      </c>
      <c r="G2863">
        <v>-1999.9824735699999</v>
      </c>
      <c r="H2863">
        <v>1578.7682399100011</v>
      </c>
      <c r="I2863">
        <v>0</v>
      </c>
      <c r="J2863">
        <v>0</v>
      </c>
      <c r="K2863">
        <v>5.3292898999999991</v>
      </c>
      <c r="L2863">
        <v>0</v>
      </c>
      <c r="M2863">
        <v>0</v>
      </c>
      <c r="N2863">
        <v>0</v>
      </c>
      <c r="O2863">
        <v>11.0508068901695</v>
      </c>
      <c r="P2863">
        <v>371688.68945511989</v>
      </c>
    </row>
    <row r="2864" spans="1:16" x14ac:dyDescent="0.25">
      <c r="A2864" s="10">
        <v>41852</v>
      </c>
      <c r="B2864">
        <v>18208.625036040092</v>
      </c>
      <c r="C2864">
        <v>0.76999999999998181</v>
      </c>
      <c r="D2864">
        <v>-1217</v>
      </c>
      <c r="E2864">
        <v>0</v>
      </c>
      <c r="F2864">
        <v>0</v>
      </c>
      <c r="G2864">
        <v>7996.4882393200014</v>
      </c>
      <c r="H2864">
        <v>11326.844423619999</v>
      </c>
      <c r="I2864">
        <v>0</v>
      </c>
      <c r="J2864">
        <v>0</v>
      </c>
      <c r="K2864">
        <v>5.0496327599999997</v>
      </c>
      <c r="L2864">
        <v>0</v>
      </c>
      <c r="M2864">
        <v>0</v>
      </c>
      <c r="N2864">
        <v>0</v>
      </c>
      <c r="O2864">
        <v>96.472740340090965</v>
      </c>
      <c r="P2864">
        <v>389897.31449115998</v>
      </c>
    </row>
    <row r="2865" spans="1:16" x14ac:dyDescent="0.25">
      <c r="A2865" s="10">
        <v>41855</v>
      </c>
      <c r="B2865">
        <v>-456.38666468008881</v>
      </c>
      <c r="C2865">
        <v>-548.45000000000005</v>
      </c>
      <c r="D2865">
        <v>0</v>
      </c>
      <c r="E2865">
        <v>0</v>
      </c>
      <c r="F2865">
        <v>0</v>
      </c>
      <c r="G2865">
        <v>-163.10799501</v>
      </c>
      <c r="H2865">
        <v>267.37693844000017</v>
      </c>
      <c r="I2865">
        <v>0</v>
      </c>
      <c r="J2865">
        <v>0</v>
      </c>
      <c r="K2865">
        <v>3.6392798700000011</v>
      </c>
      <c r="L2865">
        <v>0</v>
      </c>
      <c r="M2865">
        <v>0</v>
      </c>
      <c r="N2865">
        <v>0</v>
      </c>
      <c r="O2865">
        <v>-15.844887980088981</v>
      </c>
      <c r="P2865">
        <v>389440.92782647989</v>
      </c>
    </row>
    <row r="2866" spans="1:16" x14ac:dyDescent="0.25">
      <c r="A2866" s="10">
        <v>41856</v>
      </c>
      <c r="B2866">
        <v>-115.6825467498271</v>
      </c>
      <c r="C2866">
        <v>169.5615</v>
      </c>
      <c r="D2866">
        <v>0</v>
      </c>
      <c r="E2866">
        <v>0</v>
      </c>
      <c r="F2866">
        <v>0</v>
      </c>
      <c r="G2866">
        <v>-718.99164740000003</v>
      </c>
      <c r="H2866">
        <v>124.6364606099996</v>
      </c>
      <c r="I2866">
        <v>0</v>
      </c>
      <c r="J2866">
        <v>0</v>
      </c>
      <c r="K2866">
        <v>1.0940487999999999</v>
      </c>
      <c r="L2866">
        <v>54.600000000000009</v>
      </c>
      <c r="M2866">
        <v>0</v>
      </c>
      <c r="N2866">
        <v>0</v>
      </c>
      <c r="O2866">
        <v>253.41709124017319</v>
      </c>
      <c r="P2866">
        <v>389325.24527973012</v>
      </c>
    </row>
    <row r="2867" spans="1:16" x14ac:dyDescent="0.25">
      <c r="A2867" s="10">
        <v>41857</v>
      </c>
      <c r="B2867">
        <v>-2197.4636464000801</v>
      </c>
      <c r="C2867">
        <v>92.687999999999988</v>
      </c>
      <c r="D2867">
        <v>0</v>
      </c>
      <c r="E2867">
        <v>0</v>
      </c>
      <c r="F2867">
        <v>0</v>
      </c>
      <c r="G2867">
        <v>-650.77120907999984</v>
      </c>
      <c r="H2867">
        <v>-1147.3785463299989</v>
      </c>
      <c r="I2867">
        <v>0</v>
      </c>
      <c r="J2867">
        <v>0</v>
      </c>
      <c r="K2867">
        <v>1.241994</v>
      </c>
      <c r="L2867">
        <v>-465.8</v>
      </c>
      <c r="M2867">
        <v>0</v>
      </c>
      <c r="N2867">
        <v>0</v>
      </c>
      <c r="O2867">
        <v>-27.443884990080189</v>
      </c>
      <c r="P2867">
        <v>387127.78163332999</v>
      </c>
    </row>
    <row r="2868" spans="1:16" x14ac:dyDescent="0.25">
      <c r="A2868" s="10">
        <v>41858</v>
      </c>
      <c r="B2868">
        <v>773.64484193973408</v>
      </c>
      <c r="C2868">
        <v>587.06899999999996</v>
      </c>
      <c r="D2868">
        <v>0</v>
      </c>
      <c r="E2868">
        <v>0</v>
      </c>
      <c r="F2868">
        <v>0</v>
      </c>
      <c r="G2868">
        <v>1213.97866602</v>
      </c>
      <c r="H2868">
        <v>-929.18968266000047</v>
      </c>
      <c r="I2868">
        <v>0</v>
      </c>
      <c r="J2868">
        <v>0</v>
      </c>
      <c r="K2868">
        <v>1.4511356500000001</v>
      </c>
      <c r="L2868">
        <v>0</v>
      </c>
      <c r="M2868">
        <v>0</v>
      </c>
      <c r="N2868">
        <v>0</v>
      </c>
      <c r="O2868">
        <v>-99.664277070265172</v>
      </c>
      <c r="P2868">
        <v>387901.42647526972</v>
      </c>
    </row>
    <row r="2869" spans="1:16" x14ac:dyDescent="0.25">
      <c r="A2869" s="10">
        <v>41859</v>
      </c>
      <c r="B2869">
        <v>1765.9595916002279</v>
      </c>
      <c r="C2869">
        <v>310.125</v>
      </c>
      <c r="D2869">
        <v>0</v>
      </c>
      <c r="E2869">
        <v>0</v>
      </c>
      <c r="F2869">
        <v>0</v>
      </c>
      <c r="G2869">
        <v>1.586036239999999</v>
      </c>
      <c r="H2869">
        <v>1677.8439471800009</v>
      </c>
      <c r="I2869">
        <v>0</v>
      </c>
      <c r="J2869">
        <v>-111.90000000000011</v>
      </c>
      <c r="K2869">
        <v>-34.804695780000003</v>
      </c>
      <c r="L2869">
        <v>0</v>
      </c>
      <c r="M2869">
        <v>0</v>
      </c>
      <c r="N2869">
        <v>0</v>
      </c>
      <c r="O2869">
        <v>-76.890696039772635</v>
      </c>
      <c r="P2869">
        <v>389667.38606686989</v>
      </c>
    </row>
    <row r="2870" spans="1:16" x14ac:dyDescent="0.25">
      <c r="A2870" s="10">
        <v>41862</v>
      </c>
      <c r="B2870">
        <v>-1845.137352909951</v>
      </c>
      <c r="C2870">
        <v>272.76</v>
      </c>
      <c r="D2870">
        <v>0</v>
      </c>
      <c r="E2870">
        <v>0</v>
      </c>
      <c r="F2870">
        <v>0</v>
      </c>
      <c r="G2870">
        <v>-777.33987650000006</v>
      </c>
      <c r="H2870">
        <v>-1144.4912375399999</v>
      </c>
      <c r="I2870">
        <v>0</v>
      </c>
      <c r="J2870">
        <v>0</v>
      </c>
      <c r="K2870">
        <v>2.155135420000001</v>
      </c>
      <c r="L2870">
        <v>0</v>
      </c>
      <c r="M2870">
        <v>0</v>
      </c>
      <c r="N2870">
        <v>0</v>
      </c>
      <c r="O2870">
        <v>-198.22137428995109</v>
      </c>
      <c r="P2870">
        <v>387822.24871396</v>
      </c>
    </row>
    <row r="2871" spans="1:16" x14ac:dyDescent="0.25">
      <c r="A2871" s="10">
        <v>41863</v>
      </c>
      <c r="B2871">
        <v>4910.0986691301223</v>
      </c>
      <c r="C2871">
        <v>181.98869999999999</v>
      </c>
      <c r="D2871">
        <v>0</v>
      </c>
      <c r="E2871">
        <v>0</v>
      </c>
      <c r="F2871">
        <v>0</v>
      </c>
      <c r="G2871">
        <v>758.84200915999998</v>
      </c>
      <c r="H2871">
        <v>4057.3003335299991</v>
      </c>
      <c r="I2871">
        <v>0</v>
      </c>
      <c r="J2871">
        <v>0</v>
      </c>
      <c r="K2871">
        <v>1.03443569</v>
      </c>
      <c r="L2871">
        <v>0</v>
      </c>
      <c r="M2871">
        <v>0</v>
      </c>
      <c r="N2871">
        <v>0</v>
      </c>
      <c r="O2871">
        <v>-89.066809249876314</v>
      </c>
      <c r="P2871">
        <v>392732.34738309012</v>
      </c>
    </row>
    <row r="2872" spans="1:16" x14ac:dyDescent="0.25">
      <c r="A2872" s="10">
        <v>41864</v>
      </c>
      <c r="B2872">
        <v>652.79374097008167</v>
      </c>
      <c r="C2872">
        <v>167.9786</v>
      </c>
      <c r="D2872">
        <v>0</v>
      </c>
      <c r="E2872">
        <v>0</v>
      </c>
      <c r="F2872">
        <v>7000</v>
      </c>
      <c r="G2872">
        <v>-29.845621380000011</v>
      </c>
      <c r="H2872">
        <v>-6058.8539920400026</v>
      </c>
      <c r="I2872">
        <v>0</v>
      </c>
      <c r="J2872">
        <v>0</v>
      </c>
      <c r="K2872">
        <v>0.45692874</v>
      </c>
      <c r="L2872">
        <v>-338.9</v>
      </c>
      <c r="M2872">
        <v>0</v>
      </c>
      <c r="N2872">
        <v>0</v>
      </c>
      <c r="O2872">
        <v>-88.042174349916039</v>
      </c>
      <c r="P2872">
        <v>393385.1411240602</v>
      </c>
    </row>
    <row r="2873" spans="1:16" x14ac:dyDescent="0.25">
      <c r="A2873" s="10">
        <v>41865</v>
      </c>
      <c r="B2873">
        <v>-1479.6923175901759</v>
      </c>
      <c r="C2873">
        <v>-156.35040000000001</v>
      </c>
      <c r="D2873">
        <v>-409</v>
      </c>
      <c r="E2873">
        <v>0</v>
      </c>
      <c r="F2873">
        <v>0</v>
      </c>
      <c r="G2873">
        <v>-199.36903061999999</v>
      </c>
      <c r="H2873">
        <v>-658.74287350999839</v>
      </c>
      <c r="I2873">
        <v>0</v>
      </c>
      <c r="J2873">
        <v>2.9662161699998251</v>
      </c>
      <c r="K2873">
        <v>1.8253062200000001</v>
      </c>
      <c r="L2873">
        <v>0</v>
      </c>
      <c r="M2873">
        <v>0</v>
      </c>
      <c r="N2873">
        <v>0</v>
      </c>
      <c r="O2873">
        <v>-61.021535850177358</v>
      </c>
      <c r="P2873">
        <v>391905.44880647003</v>
      </c>
    </row>
    <row r="2874" spans="1:16" x14ac:dyDescent="0.25">
      <c r="A2874" s="10">
        <v>41866</v>
      </c>
      <c r="B2874">
        <v>-835.29946195019807</v>
      </c>
      <c r="C2874">
        <v>96.52</v>
      </c>
      <c r="D2874">
        <v>0</v>
      </c>
      <c r="E2874">
        <v>8000</v>
      </c>
      <c r="F2874">
        <v>0</v>
      </c>
      <c r="G2874">
        <v>-7993.9712232299999</v>
      </c>
      <c r="H2874">
        <v>-866.92196740000145</v>
      </c>
      <c r="I2874">
        <v>0</v>
      </c>
      <c r="J2874">
        <v>0</v>
      </c>
      <c r="K2874">
        <v>1.9630829499999991</v>
      </c>
      <c r="L2874">
        <v>0</v>
      </c>
      <c r="M2874">
        <v>0</v>
      </c>
      <c r="N2874">
        <v>0</v>
      </c>
      <c r="O2874">
        <v>-72.889354270197103</v>
      </c>
      <c r="P2874">
        <v>391070.14934451983</v>
      </c>
    </row>
    <row r="2875" spans="1:16" x14ac:dyDescent="0.25">
      <c r="A2875" s="10">
        <v>41870</v>
      </c>
      <c r="B2875">
        <v>3277.1048193501201</v>
      </c>
      <c r="C2875">
        <v>239.685</v>
      </c>
      <c r="D2875">
        <v>-409</v>
      </c>
      <c r="E2875">
        <v>0</v>
      </c>
      <c r="F2875">
        <v>0</v>
      </c>
      <c r="G2875">
        <v>-498.46818136000007</v>
      </c>
      <c r="H2875">
        <v>3954.7114717699992</v>
      </c>
      <c r="I2875">
        <v>0</v>
      </c>
      <c r="J2875">
        <v>0</v>
      </c>
      <c r="K2875">
        <v>9.26139285</v>
      </c>
      <c r="L2875">
        <v>0</v>
      </c>
      <c r="M2875">
        <v>0</v>
      </c>
      <c r="N2875">
        <v>0</v>
      </c>
      <c r="O2875">
        <v>-19.084863909879001</v>
      </c>
      <c r="P2875">
        <v>394347.25416386989</v>
      </c>
    </row>
    <row r="2876" spans="1:16" x14ac:dyDescent="0.25">
      <c r="A2876" s="10">
        <v>41871</v>
      </c>
      <c r="B2876">
        <v>-4376.9547721399576</v>
      </c>
      <c r="C2876">
        <v>-232.75699999999989</v>
      </c>
      <c r="D2876">
        <v>0</v>
      </c>
      <c r="E2876">
        <v>0</v>
      </c>
      <c r="F2876">
        <v>0</v>
      </c>
      <c r="G2876">
        <v>728.9349961800001</v>
      </c>
      <c r="H2876">
        <v>-7522.141535169998</v>
      </c>
      <c r="I2876">
        <v>0</v>
      </c>
      <c r="J2876">
        <v>0</v>
      </c>
      <c r="K2876">
        <v>0.99174266000000011</v>
      </c>
      <c r="L2876">
        <v>2499.9</v>
      </c>
      <c r="M2876">
        <v>0</v>
      </c>
      <c r="N2876">
        <v>0</v>
      </c>
      <c r="O2876">
        <v>148.1170241900403</v>
      </c>
      <c r="P2876">
        <v>389970.29939172999</v>
      </c>
    </row>
    <row r="2877" spans="1:16" x14ac:dyDescent="0.25">
      <c r="A2877" s="10">
        <v>41872</v>
      </c>
      <c r="B2877">
        <v>6783.0546971099693</v>
      </c>
      <c r="C2877">
        <v>-115.459</v>
      </c>
      <c r="D2877">
        <v>-411</v>
      </c>
      <c r="E2877">
        <v>-1750</v>
      </c>
      <c r="F2877">
        <v>0</v>
      </c>
      <c r="G2877">
        <v>7069.9976460999997</v>
      </c>
      <c r="H2877">
        <v>1919.827093149999</v>
      </c>
      <c r="I2877">
        <v>0</v>
      </c>
      <c r="J2877">
        <v>0</v>
      </c>
      <c r="K2877">
        <v>2.33931231</v>
      </c>
      <c r="L2877">
        <v>0</v>
      </c>
      <c r="M2877">
        <v>0</v>
      </c>
      <c r="N2877">
        <v>0</v>
      </c>
      <c r="O2877">
        <v>67.349645549969679</v>
      </c>
      <c r="P2877">
        <v>396753.3540888399</v>
      </c>
    </row>
    <row r="2878" spans="1:16" x14ac:dyDescent="0.25">
      <c r="A2878" s="10">
        <v>41873</v>
      </c>
      <c r="B2878">
        <v>-145.1834385602256</v>
      </c>
      <c r="C2878">
        <v>-785.38200000000006</v>
      </c>
      <c r="D2878">
        <v>0</v>
      </c>
      <c r="E2878">
        <v>0</v>
      </c>
      <c r="F2878">
        <v>0</v>
      </c>
      <c r="G2878">
        <v>952.62603807000005</v>
      </c>
      <c r="H2878">
        <v>-420.14544695000041</v>
      </c>
      <c r="I2878">
        <v>0</v>
      </c>
      <c r="J2878">
        <v>0</v>
      </c>
      <c r="K2878">
        <v>2.1743630500000002</v>
      </c>
      <c r="L2878">
        <v>0</v>
      </c>
      <c r="M2878">
        <v>0</v>
      </c>
      <c r="N2878">
        <v>0</v>
      </c>
      <c r="O2878">
        <v>105.5436072697748</v>
      </c>
      <c r="P2878">
        <v>396608.17065027967</v>
      </c>
    </row>
    <row r="2879" spans="1:16" x14ac:dyDescent="0.25">
      <c r="A2879" s="10">
        <v>41876</v>
      </c>
      <c r="B2879">
        <v>-3595.604383499593</v>
      </c>
      <c r="C2879">
        <v>-832.21500000000003</v>
      </c>
      <c r="D2879">
        <v>0</v>
      </c>
      <c r="E2879">
        <v>0</v>
      </c>
      <c r="F2879">
        <v>0</v>
      </c>
      <c r="G2879">
        <v>-408.08184748999997</v>
      </c>
      <c r="H2879">
        <v>-2346.1056371300001</v>
      </c>
      <c r="I2879">
        <v>0</v>
      </c>
      <c r="J2879">
        <v>2.7294689099999232</v>
      </c>
      <c r="K2879">
        <v>6.2240556300000014</v>
      </c>
      <c r="L2879">
        <v>0</v>
      </c>
      <c r="M2879">
        <v>0</v>
      </c>
      <c r="N2879">
        <v>0</v>
      </c>
      <c r="O2879">
        <v>-18.155423419592541</v>
      </c>
      <c r="P2879">
        <v>393012.56626678008</v>
      </c>
    </row>
    <row r="2880" spans="1:16" x14ac:dyDescent="0.25">
      <c r="A2880" s="10">
        <v>41877</v>
      </c>
      <c r="B2880">
        <v>345.38222170999438</v>
      </c>
      <c r="C2880">
        <v>-686.12800000000004</v>
      </c>
      <c r="D2880">
        <v>0</v>
      </c>
      <c r="E2880">
        <v>0</v>
      </c>
      <c r="F2880">
        <v>0</v>
      </c>
      <c r="G2880">
        <v>-190.72804038999999</v>
      </c>
      <c r="H2880">
        <v>1332.592506270001</v>
      </c>
      <c r="I2880">
        <v>0</v>
      </c>
      <c r="J2880">
        <v>0</v>
      </c>
      <c r="K2880">
        <v>3.41187123</v>
      </c>
      <c r="L2880">
        <v>0</v>
      </c>
      <c r="M2880">
        <v>0</v>
      </c>
      <c r="N2880">
        <v>0</v>
      </c>
      <c r="O2880">
        <v>-113.7661154000063</v>
      </c>
      <c r="P2880">
        <v>393357.94848849007</v>
      </c>
    </row>
    <row r="2881" spans="1:16" x14ac:dyDescent="0.25">
      <c r="A2881" s="10">
        <v>41878</v>
      </c>
      <c r="B2881">
        <v>-5386.2568262800924</v>
      </c>
      <c r="C2881">
        <v>134.19</v>
      </c>
      <c r="D2881">
        <v>0</v>
      </c>
      <c r="E2881">
        <v>0</v>
      </c>
      <c r="F2881">
        <v>0</v>
      </c>
      <c r="G2881">
        <v>526.77323246000003</v>
      </c>
      <c r="H2881">
        <v>-3152.5333565400001</v>
      </c>
      <c r="I2881">
        <v>0</v>
      </c>
      <c r="J2881">
        <v>0</v>
      </c>
      <c r="K2881">
        <v>2.7152491200000002</v>
      </c>
      <c r="L2881">
        <v>-2803.4</v>
      </c>
      <c r="M2881">
        <v>0</v>
      </c>
      <c r="N2881">
        <v>0</v>
      </c>
      <c r="O2881">
        <v>-94.001951320092118</v>
      </c>
      <c r="P2881">
        <v>387971.69166220998</v>
      </c>
    </row>
    <row r="2882" spans="1:16" x14ac:dyDescent="0.25">
      <c r="A2882" s="10">
        <v>41879</v>
      </c>
      <c r="B2882">
        <v>-2493.5851248999211</v>
      </c>
      <c r="C2882">
        <v>-268.96100000000001</v>
      </c>
      <c r="D2882">
        <v>0</v>
      </c>
      <c r="E2882">
        <v>1700</v>
      </c>
      <c r="F2882">
        <v>9500</v>
      </c>
      <c r="G2882">
        <v>39.824273729999327</v>
      </c>
      <c r="H2882">
        <v>-13407.5382515</v>
      </c>
      <c r="I2882">
        <v>0</v>
      </c>
      <c r="J2882">
        <v>0</v>
      </c>
      <c r="K2882">
        <v>1.3999100900000001</v>
      </c>
      <c r="L2882">
        <v>0</v>
      </c>
      <c r="M2882">
        <v>0</v>
      </c>
      <c r="N2882">
        <v>0</v>
      </c>
      <c r="O2882">
        <v>-58.310057219918328</v>
      </c>
      <c r="P2882">
        <v>385478.10653731012</v>
      </c>
    </row>
    <row r="2883" spans="1:16" x14ac:dyDescent="0.25">
      <c r="A2883" s="10">
        <v>41880</v>
      </c>
      <c r="B2883">
        <v>3715.0462647798108</v>
      </c>
      <c r="C2883">
        <v>432.59300000000002</v>
      </c>
      <c r="D2883">
        <v>0</v>
      </c>
      <c r="E2883">
        <v>0</v>
      </c>
      <c r="F2883">
        <v>0</v>
      </c>
      <c r="G2883">
        <v>-435.25510250999997</v>
      </c>
      <c r="H2883">
        <v>3764.3375520100021</v>
      </c>
      <c r="I2883">
        <v>0</v>
      </c>
      <c r="J2883">
        <v>0</v>
      </c>
      <c r="K2883">
        <v>8.6996956599999997</v>
      </c>
      <c r="L2883">
        <v>0</v>
      </c>
      <c r="M2883">
        <v>0</v>
      </c>
      <c r="N2883">
        <v>0</v>
      </c>
      <c r="O2883">
        <v>-55.328880380191279</v>
      </c>
      <c r="P2883">
        <v>389193.15280208993</v>
      </c>
    </row>
    <row r="2884" spans="1:16" x14ac:dyDescent="0.25">
      <c r="A2884" s="10">
        <v>41883</v>
      </c>
      <c r="B2884">
        <v>16772.504130700021</v>
      </c>
      <c r="C2884">
        <v>0</v>
      </c>
      <c r="D2884">
        <v>0</v>
      </c>
      <c r="E2884">
        <v>0</v>
      </c>
      <c r="F2884">
        <v>2500</v>
      </c>
      <c r="G2884">
        <v>205.5712378700002</v>
      </c>
      <c r="H2884">
        <v>14056.16642433</v>
      </c>
      <c r="I2884">
        <v>0</v>
      </c>
      <c r="J2884">
        <v>0</v>
      </c>
      <c r="K2884">
        <v>16.47648448</v>
      </c>
      <c r="L2884">
        <v>0</v>
      </c>
      <c r="M2884">
        <v>0</v>
      </c>
      <c r="N2884">
        <v>0</v>
      </c>
      <c r="O2884">
        <v>-5.7100159799854744</v>
      </c>
      <c r="P2884">
        <v>405965.65693278989</v>
      </c>
    </row>
    <row r="2885" spans="1:16" x14ac:dyDescent="0.25">
      <c r="A2885" s="10">
        <v>41884</v>
      </c>
      <c r="B2885">
        <v>733.6724344499537</v>
      </c>
      <c r="C2885">
        <v>-231.43299999999999</v>
      </c>
      <c r="D2885">
        <v>0</v>
      </c>
      <c r="E2885">
        <v>0</v>
      </c>
      <c r="F2885">
        <v>0</v>
      </c>
      <c r="G2885">
        <v>153.17052429</v>
      </c>
      <c r="H2885">
        <v>928.43561680999846</v>
      </c>
      <c r="I2885">
        <v>0</v>
      </c>
      <c r="J2885">
        <v>4.8920242600001984</v>
      </c>
      <c r="K2885">
        <v>1.9429522699999999</v>
      </c>
      <c r="L2885">
        <v>0</v>
      </c>
      <c r="M2885">
        <v>0</v>
      </c>
      <c r="N2885">
        <v>0</v>
      </c>
      <c r="O2885">
        <v>-123.3356831800449</v>
      </c>
      <c r="P2885">
        <v>406699.3293672399</v>
      </c>
    </row>
    <row r="2886" spans="1:16" x14ac:dyDescent="0.25">
      <c r="A2886" s="10">
        <v>41885</v>
      </c>
      <c r="B2886">
        <v>-1741.1624879000019</v>
      </c>
      <c r="C2886">
        <v>-546.77499999999998</v>
      </c>
      <c r="D2886">
        <v>0</v>
      </c>
      <c r="E2886">
        <v>0</v>
      </c>
      <c r="F2886">
        <v>0</v>
      </c>
      <c r="G2886">
        <v>-355.2313501700001</v>
      </c>
      <c r="H2886">
        <v>1085.853313849999</v>
      </c>
      <c r="I2886">
        <v>0</v>
      </c>
      <c r="J2886">
        <v>0</v>
      </c>
      <c r="K2886">
        <v>2.2160020399999998</v>
      </c>
      <c r="L2886">
        <v>-1770.9</v>
      </c>
      <c r="M2886">
        <v>0</v>
      </c>
      <c r="N2886">
        <v>0</v>
      </c>
      <c r="O2886">
        <v>-156.3254536200003</v>
      </c>
      <c r="P2886">
        <v>404958.1668793399</v>
      </c>
    </row>
    <row r="2887" spans="1:16" x14ac:dyDescent="0.25">
      <c r="A2887" s="10">
        <v>41886</v>
      </c>
      <c r="B2887">
        <v>2073.7394965899871</v>
      </c>
      <c r="C2887">
        <v>2243.0500000000002</v>
      </c>
      <c r="D2887">
        <v>-415.5</v>
      </c>
      <c r="E2887">
        <v>0</v>
      </c>
      <c r="F2887">
        <v>0</v>
      </c>
      <c r="G2887">
        <v>-40.978575559999911</v>
      </c>
      <c r="H2887">
        <v>392.27365094000203</v>
      </c>
      <c r="I2887">
        <v>0</v>
      </c>
      <c r="J2887">
        <v>0</v>
      </c>
      <c r="K2887">
        <v>1.9694691</v>
      </c>
      <c r="L2887">
        <v>0</v>
      </c>
      <c r="M2887">
        <v>0</v>
      </c>
      <c r="N2887">
        <v>0</v>
      </c>
      <c r="O2887">
        <v>-107.0750478900153</v>
      </c>
      <c r="P2887">
        <v>407031.90637592989</v>
      </c>
    </row>
    <row r="2888" spans="1:16" x14ac:dyDescent="0.25">
      <c r="A2888" s="10">
        <v>41887</v>
      </c>
      <c r="B2888">
        <v>-740.01431450969494</v>
      </c>
      <c r="C2888">
        <v>-470.85199999999998</v>
      </c>
      <c r="D2888">
        <v>0</v>
      </c>
      <c r="E2888">
        <v>0</v>
      </c>
      <c r="F2888">
        <v>0</v>
      </c>
      <c r="G2888">
        <v>310.65741017999989</v>
      </c>
      <c r="H2888">
        <v>-771.9898116100012</v>
      </c>
      <c r="I2888">
        <v>0</v>
      </c>
      <c r="J2888">
        <v>0</v>
      </c>
      <c r="K2888">
        <v>2.16412059</v>
      </c>
      <c r="L2888">
        <v>0</v>
      </c>
      <c r="M2888">
        <v>0</v>
      </c>
      <c r="N2888">
        <v>0</v>
      </c>
      <c r="O2888">
        <v>190.00596633030631</v>
      </c>
      <c r="P2888">
        <v>406291.89206142019</v>
      </c>
    </row>
    <row r="2889" spans="1:16" x14ac:dyDescent="0.25">
      <c r="A2889" s="10">
        <v>41890</v>
      </c>
      <c r="B2889">
        <v>-587.78506375046072</v>
      </c>
      <c r="C2889">
        <v>196.8</v>
      </c>
      <c r="D2889">
        <v>0</v>
      </c>
      <c r="E2889">
        <v>0</v>
      </c>
      <c r="F2889">
        <v>0</v>
      </c>
      <c r="G2889">
        <v>14.80784594999999</v>
      </c>
      <c r="H2889">
        <v>-390.22161781999779</v>
      </c>
      <c r="I2889">
        <v>0</v>
      </c>
      <c r="J2889">
        <v>-114.90000000000011</v>
      </c>
      <c r="K2889">
        <v>-29.047417579999639</v>
      </c>
      <c r="L2889">
        <v>0</v>
      </c>
      <c r="M2889">
        <v>0</v>
      </c>
      <c r="N2889">
        <v>0</v>
      </c>
      <c r="O2889">
        <v>-265.22387430046319</v>
      </c>
      <c r="P2889">
        <v>405704.10699766967</v>
      </c>
    </row>
    <row r="2890" spans="1:16" x14ac:dyDescent="0.25">
      <c r="A2890" s="10">
        <v>41891</v>
      </c>
      <c r="B2890">
        <v>-5162.3050717497827</v>
      </c>
      <c r="C2890">
        <v>194.04</v>
      </c>
      <c r="D2890">
        <v>0</v>
      </c>
      <c r="E2890">
        <v>0</v>
      </c>
      <c r="F2890">
        <v>0</v>
      </c>
      <c r="G2890">
        <v>-1002.139171</v>
      </c>
      <c r="H2890">
        <v>-4175.3050183900004</v>
      </c>
      <c r="I2890">
        <v>0</v>
      </c>
      <c r="J2890">
        <v>0</v>
      </c>
      <c r="K2890">
        <v>1.8353699000000001</v>
      </c>
      <c r="L2890">
        <v>0</v>
      </c>
      <c r="M2890">
        <v>0</v>
      </c>
      <c r="N2890">
        <v>0</v>
      </c>
      <c r="O2890">
        <v>-180.73625225978299</v>
      </c>
      <c r="P2890">
        <v>400541.80192592001</v>
      </c>
    </row>
    <row r="2891" spans="1:16" x14ac:dyDescent="0.25">
      <c r="A2891" s="10">
        <v>41892</v>
      </c>
      <c r="B2891">
        <v>-4706.9809626197684</v>
      </c>
      <c r="C2891">
        <v>8.3999999999999773</v>
      </c>
      <c r="D2891">
        <v>0</v>
      </c>
      <c r="E2891">
        <v>0</v>
      </c>
      <c r="F2891">
        <v>0</v>
      </c>
      <c r="G2891">
        <v>160.82163264999991</v>
      </c>
      <c r="H2891">
        <v>1858.3979915899979</v>
      </c>
      <c r="I2891">
        <v>0</v>
      </c>
      <c r="J2891">
        <v>10.408771500000061</v>
      </c>
      <c r="K2891">
        <v>2.8742569599999999</v>
      </c>
      <c r="L2891">
        <v>-6614.9000000000005</v>
      </c>
      <c r="M2891">
        <v>0</v>
      </c>
      <c r="N2891">
        <v>0</v>
      </c>
      <c r="O2891">
        <v>-132.98361531976479</v>
      </c>
      <c r="P2891">
        <v>395834.82096330018</v>
      </c>
    </row>
    <row r="2892" spans="1:16" x14ac:dyDescent="0.25">
      <c r="A2892" s="10">
        <v>41893</v>
      </c>
      <c r="B2892">
        <v>6122.7841151800258</v>
      </c>
      <c r="C2892">
        <v>336</v>
      </c>
      <c r="D2892">
        <v>-1300</v>
      </c>
      <c r="E2892">
        <v>0</v>
      </c>
      <c r="F2892">
        <v>8000</v>
      </c>
      <c r="G2892">
        <v>404.74334589000023</v>
      </c>
      <c r="H2892">
        <v>-1244.098126239998</v>
      </c>
      <c r="I2892">
        <v>0</v>
      </c>
      <c r="J2892">
        <v>0</v>
      </c>
      <c r="K2892">
        <v>2.2747076100000001</v>
      </c>
      <c r="L2892">
        <v>0</v>
      </c>
      <c r="M2892">
        <v>0</v>
      </c>
      <c r="N2892">
        <v>0</v>
      </c>
      <c r="O2892">
        <v>-76.135812079976489</v>
      </c>
      <c r="P2892">
        <v>401957.60507848021</v>
      </c>
    </row>
    <row r="2893" spans="1:16" x14ac:dyDescent="0.25">
      <c r="A2893" s="10">
        <v>41894</v>
      </c>
      <c r="B2893">
        <v>147.45981371979121</v>
      </c>
      <c r="C2893">
        <v>37.81450000000001</v>
      </c>
      <c r="D2893">
        <v>0</v>
      </c>
      <c r="E2893">
        <v>0</v>
      </c>
      <c r="F2893">
        <v>0</v>
      </c>
      <c r="G2893">
        <v>-14.75437925</v>
      </c>
      <c r="H2893">
        <v>236.50909561999649</v>
      </c>
      <c r="I2893">
        <v>0</v>
      </c>
      <c r="J2893">
        <v>0</v>
      </c>
      <c r="K2893">
        <v>2.5714291700000009</v>
      </c>
      <c r="L2893">
        <v>0</v>
      </c>
      <c r="M2893">
        <v>0</v>
      </c>
      <c r="N2893">
        <v>0</v>
      </c>
      <c r="O2893">
        <v>-114.6808318202053</v>
      </c>
      <c r="P2893">
        <v>402105.0648922</v>
      </c>
    </row>
    <row r="2894" spans="1:16" x14ac:dyDescent="0.25">
      <c r="A2894" s="10">
        <v>41897</v>
      </c>
      <c r="B2894">
        <v>-1442.996840280249</v>
      </c>
      <c r="C2894">
        <v>226.1</v>
      </c>
      <c r="D2894">
        <v>-340</v>
      </c>
      <c r="E2894">
        <v>0</v>
      </c>
      <c r="F2894">
        <v>0</v>
      </c>
      <c r="G2894">
        <v>-136.59409715999999</v>
      </c>
      <c r="H2894">
        <v>-1118.522190119998</v>
      </c>
      <c r="I2894">
        <v>0</v>
      </c>
      <c r="J2894">
        <v>0</v>
      </c>
      <c r="K2894">
        <v>8.3738571700000008</v>
      </c>
      <c r="L2894">
        <v>0</v>
      </c>
      <c r="M2894">
        <v>0</v>
      </c>
      <c r="N2894">
        <v>0</v>
      </c>
      <c r="O2894">
        <v>-82.354410170250958</v>
      </c>
      <c r="P2894">
        <v>400662.06805191969</v>
      </c>
    </row>
    <row r="2895" spans="1:16" x14ac:dyDescent="0.25">
      <c r="A2895" s="10">
        <v>41898</v>
      </c>
      <c r="B2895">
        <v>-1373.251258659815</v>
      </c>
      <c r="C2895">
        <v>430.22219999999999</v>
      </c>
      <c r="D2895">
        <v>0</v>
      </c>
      <c r="E2895">
        <v>0</v>
      </c>
      <c r="F2895">
        <v>0</v>
      </c>
      <c r="G2895">
        <v>64.156267700000001</v>
      </c>
      <c r="H2895">
        <v>-1903.483190409999</v>
      </c>
      <c r="I2895">
        <v>0</v>
      </c>
      <c r="J2895">
        <v>5.9839384500000961</v>
      </c>
      <c r="K2895">
        <v>3.3256331100000001</v>
      </c>
      <c r="L2895">
        <v>0</v>
      </c>
      <c r="M2895">
        <v>0</v>
      </c>
      <c r="N2895">
        <v>0</v>
      </c>
      <c r="O2895">
        <v>26.543892490184131</v>
      </c>
      <c r="P2895">
        <v>399288.81679325987</v>
      </c>
    </row>
    <row r="2896" spans="1:16" x14ac:dyDescent="0.25">
      <c r="A2896" s="10">
        <v>41899</v>
      </c>
      <c r="B2896">
        <v>-8740.0274509699648</v>
      </c>
      <c r="C2896">
        <v>-231.048</v>
      </c>
      <c r="D2896">
        <v>0</v>
      </c>
      <c r="E2896">
        <v>0</v>
      </c>
      <c r="F2896">
        <v>0</v>
      </c>
      <c r="G2896">
        <v>1.3104541900000011</v>
      </c>
      <c r="H2896">
        <v>737.14266465999754</v>
      </c>
      <c r="I2896">
        <v>0</v>
      </c>
      <c r="J2896">
        <v>0</v>
      </c>
      <c r="K2896">
        <v>3.50717436</v>
      </c>
      <c r="L2896">
        <v>-9342.6999999999989</v>
      </c>
      <c r="M2896">
        <v>0</v>
      </c>
      <c r="N2896">
        <v>0</v>
      </c>
      <c r="O2896">
        <v>91.760255820036036</v>
      </c>
      <c r="P2896">
        <v>390548.78934229002</v>
      </c>
    </row>
    <row r="2897" spans="1:16" x14ac:dyDescent="0.25">
      <c r="A2897" s="10">
        <v>41900</v>
      </c>
      <c r="B2897">
        <v>-4454.7123985899379</v>
      </c>
      <c r="C2897">
        <v>-547.61450000000002</v>
      </c>
      <c r="D2897">
        <v>0</v>
      </c>
      <c r="E2897">
        <v>6050</v>
      </c>
      <c r="F2897">
        <v>0</v>
      </c>
      <c r="G2897">
        <v>-6094.6767188399999</v>
      </c>
      <c r="H2897">
        <v>-3813.639089779997</v>
      </c>
      <c r="I2897">
        <v>0</v>
      </c>
      <c r="J2897">
        <v>0</v>
      </c>
      <c r="K2897">
        <v>3.2110539200000008</v>
      </c>
      <c r="L2897">
        <v>0</v>
      </c>
      <c r="M2897">
        <v>0</v>
      </c>
      <c r="N2897">
        <v>0</v>
      </c>
      <c r="O2897">
        <v>-51.993143889940796</v>
      </c>
      <c r="P2897">
        <v>386094.07694370003</v>
      </c>
    </row>
    <row r="2898" spans="1:16" x14ac:dyDescent="0.25">
      <c r="A2898" s="10">
        <v>41901</v>
      </c>
      <c r="B2898">
        <v>-1627.2012741200731</v>
      </c>
      <c r="C2898">
        <v>-547.14699999999993</v>
      </c>
      <c r="D2898">
        <v>-170</v>
      </c>
      <c r="E2898">
        <v>0</v>
      </c>
      <c r="F2898">
        <v>0</v>
      </c>
      <c r="G2898">
        <v>-19.669116679999998</v>
      </c>
      <c r="H2898">
        <v>-766.31455657000333</v>
      </c>
      <c r="I2898">
        <v>0</v>
      </c>
      <c r="J2898">
        <v>0</v>
      </c>
      <c r="K2898">
        <v>3.9764152900000012</v>
      </c>
      <c r="L2898">
        <v>0</v>
      </c>
      <c r="M2898">
        <v>0</v>
      </c>
      <c r="N2898">
        <v>0</v>
      </c>
      <c r="O2898">
        <v>-128.0470161600696</v>
      </c>
      <c r="P2898">
        <v>384466.87566958001</v>
      </c>
    </row>
    <row r="2899" spans="1:16" x14ac:dyDescent="0.25">
      <c r="A2899" s="10">
        <v>41904</v>
      </c>
      <c r="B2899">
        <v>876.30826198006832</v>
      </c>
      <c r="C2899">
        <v>-484.7097</v>
      </c>
      <c r="D2899">
        <v>-1000</v>
      </c>
      <c r="E2899">
        <v>0</v>
      </c>
      <c r="F2899">
        <v>0</v>
      </c>
      <c r="G2899">
        <v>1032.4024608100001</v>
      </c>
      <c r="H2899">
        <v>1411.5786306900011</v>
      </c>
      <c r="I2899">
        <v>0</v>
      </c>
      <c r="J2899">
        <v>0</v>
      </c>
      <c r="K2899">
        <v>12.604074799999999</v>
      </c>
      <c r="L2899">
        <v>0</v>
      </c>
      <c r="M2899">
        <v>0</v>
      </c>
      <c r="N2899">
        <v>0</v>
      </c>
      <c r="O2899">
        <v>-95.567204319932515</v>
      </c>
      <c r="P2899">
        <v>385343.18393156008</v>
      </c>
    </row>
    <row r="2900" spans="1:16" x14ac:dyDescent="0.25">
      <c r="A2900" s="10">
        <v>41905</v>
      </c>
      <c r="B2900">
        <v>537.68795559008072</v>
      </c>
      <c r="C2900">
        <v>-438.08150000000001</v>
      </c>
      <c r="D2900">
        <v>0</v>
      </c>
      <c r="E2900">
        <v>0</v>
      </c>
      <c r="F2900">
        <v>0</v>
      </c>
      <c r="G2900">
        <v>130.92383684999999</v>
      </c>
      <c r="H2900">
        <v>1039.791406730001</v>
      </c>
      <c r="I2900">
        <v>0</v>
      </c>
      <c r="J2900">
        <v>0</v>
      </c>
      <c r="K2900">
        <v>4.5915602700000004</v>
      </c>
      <c r="L2900">
        <v>0</v>
      </c>
      <c r="M2900">
        <v>0</v>
      </c>
      <c r="N2900">
        <v>0</v>
      </c>
      <c r="O2900">
        <v>-199.53734825992009</v>
      </c>
      <c r="P2900">
        <v>385880.8718871501</v>
      </c>
    </row>
    <row r="2901" spans="1:16" x14ac:dyDescent="0.25">
      <c r="A2901" s="10">
        <v>41906</v>
      </c>
      <c r="B2901">
        <v>832.38295526988895</v>
      </c>
      <c r="C2901">
        <v>-366.48</v>
      </c>
      <c r="D2901">
        <v>0</v>
      </c>
      <c r="E2901">
        <v>0</v>
      </c>
      <c r="F2901">
        <v>0</v>
      </c>
      <c r="G2901">
        <v>-442.76048787000002</v>
      </c>
      <c r="H2901">
        <v>1853.2309537399999</v>
      </c>
      <c r="I2901">
        <v>0</v>
      </c>
      <c r="J2901">
        <v>0</v>
      </c>
      <c r="K2901">
        <v>3.9303785199999992</v>
      </c>
      <c r="L2901">
        <v>-171.5</v>
      </c>
      <c r="M2901">
        <v>0</v>
      </c>
      <c r="N2901">
        <v>0</v>
      </c>
      <c r="O2901">
        <v>-44.037889120110783</v>
      </c>
      <c r="P2901">
        <v>386713.25484241999</v>
      </c>
    </row>
    <row r="2902" spans="1:16" x14ac:dyDescent="0.25">
      <c r="A2902" s="10">
        <v>41907</v>
      </c>
      <c r="B2902">
        <v>3613.0567841999582</v>
      </c>
      <c r="C2902">
        <v>-122.21899999999999</v>
      </c>
      <c r="D2902">
        <v>-2550.5</v>
      </c>
      <c r="E2902">
        <v>0</v>
      </c>
      <c r="F2902">
        <v>0</v>
      </c>
      <c r="G2902">
        <v>5521.9791772200006</v>
      </c>
      <c r="H2902">
        <v>826.12389744999746</v>
      </c>
      <c r="I2902">
        <v>0</v>
      </c>
      <c r="J2902">
        <v>0</v>
      </c>
      <c r="K2902">
        <v>3.4378645100000012</v>
      </c>
      <c r="L2902">
        <v>0</v>
      </c>
      <c r="M2902">
        <v>0</v>
      </c>
      <c r="N2902">
        <v>0</v>
      </c>
      <c r="O2902">
        <v>-65.765154980040009</v>
      </c>
      <c r="P2902">
        <v>390326.31162662001</v>
      </c>
    </row>
    <row r="2903" spans="1:16" x14ac:dyDescent="0.25">
      <c r="A2903" s="10">
        <v>41908</v>
      </c>
      <c r="B2903">
        <v>-2123.4080591901438</v>
      </c>
      <c r="C2903">
        <v>-860.34394999999995</v>
      </c>
      <c r="D2903">
        <v>0</v>
      </c>
      <c r="E2903">
        <v>0</v>
      </c>
      <c r="F2903">
        <v>0</v>
      </c>
      <c r="G2903">
        <v>113.65457308000001</v>
      </c>
      <c r="H2903">
        <v>-1544.4773610199991</v>
      </c>
      <c r="I2903">
        <v>0</v>
      </c>
      <c r="J2903">
        <v>0.8000000000001819</v>
      </c>
      <c r="K2903">
        <v>2.9156865400000012</v>
      </c>
      <c r="L2903">
        <v>0</v>
      </c>
      <c r="M2903">
        <v>0</v>
      </c>
      <c r="N2903">
        <v>0</v>
      </c>
      <c r="O2903">
        <v>164.0429922098553</v>
      </c>
      <c r="P2903">
        <v>388202.90356742981</v>
      </c>
    </row>
    <row r="2904" spans="1:16" x14ac:dyDescent="0.25">
      <c r="A2904" s="10">
        <v>41911</v>
      </c>
      <c r="B2904">
        <v>-66.345336239842524</v>
      </c>
      <c r="C2904">
        <v>-446.56650000000002</v>
      </c>
      <c r="D2904">
        <v>0</v>
      </c>
      <c r="E2904">
        <v>0</v>
      </c>
      <c r="F2904">
        <v>0</v>
      </c>
      <c r="G2904">
        <v>-219.82641906000001</v>
      </c>
      <c r="H2904">
        <v>-1621.0938680899999</v>
      </c>
      <c r="I2904">
        <v>0</v>
      </c>
      <c r="J2904">
        <v>0</v>
      </c>
      <c r="K2904">
        <v>9.924539450000001</v>
      </c>
      <c r="L2904">
        <v>2237</v>
      </c>
      <c r="M2904">
        <v>0</v>
      </c>
      <c r="N2904">
        <v>0</v>
      </c>
      <c r="O2904">
        <v>-25.78308853984235</v>
      </c>
      <c r="P2904">
        <v>388136.55823119002</v>
      </c>
    </row>
    <row r="2905" spans="1:16" x14ac:dyDescent="0.25">
      <c r="A2905" s="10">
        <v>41912</v>
      </c>
      <c r="B2905">
        <v>-5821.3716776699293</v>
      </c>
      <c r="C2905">
        <v>-228.1885</v>
      </c>
      <c r="D2905">
        <v>0</v>
      </c>
      <c r="E2905">
        <v>0</v>
      </c>
      <c r="F2905">
        <v>0</v>
      </c>
      <c r="G2905">
        <v>145.86818808000001</v>
      </c>
      <c r="H2905">
        <v>-5799.5152381199987</v>
      </c>
      <c r="I2905">
        <v>0</v>
      </c>
      <c r="J2905">
        <v>0</v>
      </c>
      <c r="K2905">
        <v>4.0093111199999996</v>
      </c>
      <c r="L2905">
        <v>0</v>
      </c>
      <c r="M2905">
        <v>0</v>
      </c>
      <c r="N2905">
        <v>0</v>
      </c>
      <c r="O2905">
        <v>56.454561250068949</v>
      </c>
      <c r="P2905">
        <v>382315.18655351998</v>
      </c>
    </row>
    <row r="2906" spans="1:16" x14ac:dyDescent="0.25">
      <c r="A2906" s="10">
        <v>41913</v>
      </c>
      <c r="B2906">
        <v>29754.624090669909</v>
      </c>
      <c r="C2906">
        <v>-455.64</v>
      </c>
      <c r="D2906">
        <v>29278.3596</v>
      </c>
      <c r="E2906">
        <v>0</v>
      </c>
      <c r="F2906">
        <v>0</v>
      </c>
      <c r="G2906">
        <v>-17124.001633010001</v>
      </c>
      <c r="H2906">
        <v>18687.043657210001</v>
      </c>
      <c r="I2906">
        <v>0</v>
      </c>
      <c r="J2906">
        <v>0</v>
      </c>
      <c r="K2906">
        <v>5.3999256299999976</v>
      </c>
      <c r="L2906">
        <v>-593.9</v>
      </c>
      <c r="M2906">
        <v>0</v>
      </c>
      <c r="N2906">
        <v>0</v>
      </c>
      <c r="O2906">
        <v>-42.637459160087737</v>
      </c>
      <c r="P2906">
        <v>412069.81064418989</v>
      </c>
    </row>
    <row r="2907" spans="1:16" x14ac:dyDescent="0.25">
      <c r="A2907" s="10">
        <v>41914</v>
      </c>
      <c r="B2907">
        <v>-5527.6756280597756</v>
      </c>
      <c r="C2907">
        <v>326.78500000000003</v>
      </c>
      <c r="D2907">
        <v>0</v>
      </c>
      <c r="E2907">
        <v>0</v>
      </c>
      <c r="F2907">
        <v>0</v>
      </c>
      <c r="G2907">
        <v>-231.49040812999999</v>
      </c>
      <c r="H2907">
        <v>-5466.466763360002</v>
      </c>
      <c r="I2907">
        <v>0</v>
      </c>
      <c r="J2907">
        <v>0</v>
      </c>
      <c r="K2907">
        <v>0.56493928999999998</v>
      </c>
      <c r="L2907">
        <v>0</v>
      </c>
      <c r="M2907">
        <v>0</v>
      </c>
      <c r="N2907">
        <v>0</v>
      </c>
      <c r="O2907">
        <v>-157.06839585977389</v>
      </c>
      <c r="P2907">
        <v>406542.13501613023</v>
      </c>
    </row>
    <row r="2908" spans="1:16" x14ac:dyDescent="0.25">
      <c r="A2908" s="10">
        <v>41915</v>
      </c>
      <c r="B2908">
        <v>-529.10711562039876</v>
      </c>
      <c r="C2908">
        <v>-328.4325</v>
      </c>
      <c r="D2908">
        <v>-2200</v>
      </c>
      <c r="E2908">
        <v>0</v>
      </c>
      <c r="F2908">
        <v>0</v>
      </c>
      <c r="G2908">
        <v>1909.8067375400001</v>
      </c>
      <c r="H2908">
        <v>370.94863258000078</v>
      </c>
      <c r="I2908">
        <v>0</v>
      </c>
      <c r="J2908">
        <v>0</v>
      </c>
      <c r="K2908">
        <v>1.6125432900000001</v>
      </c>
      <c r="L2908">
        <v>-151.5</v>
      </c>
      <c r="M2908">
        <v>0</v>
      </c>
      <c r="N2908">
        <v>0</v>
      </c>
      <c r="O2908">
        <v>-131.54252903039969</v>
      </c>
      <c r="P2908">
        <v>406013.02790050983</v>
      </c>
    </row>
    <row r="2909" spans="1:16" x14ac:dyDescent="0.25">
      <c r="A2909" s="10">
        <v>41918</v>
      </c>
      <c r="B2909">
        <v>-1266.2190686695981</v>
      </c>
      <c r="C2909">
        <v>-219.78200000000001</v>
      </c>
      <c r="D2909">
        <v>0</v>
      </c>
      <c r="E2909">
        <v>0</v>
      </c>
      <c r="F2909">
        <v>0</v>
      </c>
      <c r="G2909">
        <v>-225.1459381599999</v>
      </c>
      <c r="H2909">
        <v>-664.98530032000053</v>
      </c>
      <c r="I2909">
        <v>0</v>
      </c>
      <c r="J2909">
        <v>0</v>
      </c>
      <c r="K2909">
        <v>7.3957724799999998</v>
      </c>
      <c r="L2909">
        <v>-80</v>
      </c>
      <c r="M2909">
        <v>0</v>
      </c>
      <c r="N2909">
        <v>0</v>
      </c>
      <c r="O2909">
        <v>-83.701602669597378</v>
      </c>
      <c r="P2909">
        <v>404746.80883184017</v>
      </c>
    </row>
    <row r="2910" spans="1:16" x14ac:dyDescent="0.25">
      <c r="A2910" s="10">
        <v>41919</v>
      </c>
      <c r="B2910">
        <v>2964.8179566697208</v>
      </c>
      <c r="C2910">
        <v>-92.301999999999992</v>
      </c>
      <c r="D2910">
        <v>0</v>
      </c>
      <c r="E2910">
        <v>0</v>
      </c>
      <c r="F2910">
        <v>0</v>
      </c>
      <c r="G2910">
        <v>5.6911195999999782</v>
      </c>
      <c r="H2910">
        <v>3036.0610295999982</v>
      </c>
      <c r="I2910">
        <v>0</v>
      </c>
      <c r="J2910">
        <v>0</v>
      </c>
      <c r="K2910">
        <v>2.9275634500000001</v>
      </c>
      <c r="L2910">
        <v>0</v>
      </c>
      <c r="M2910">
        <v>0</v>
      </c>
      <c r="N2910">
        <v>0</v>
      </c>
      <c r="O2910">
        <v>12.440244019723201</v>
      </c>
      <c r="P2910">
        <v>407711.62678850989</v>
      </c>
    </row>
    <row r="2911" spans="1:16" x14ac:dyDescent="0.25">
      <c r="A2911" s="10">
        <v>41920</v>
      </c>
      <c r="B2911">
        <v>-2041.938423299754</v>
      </c>
      <c r="C2911">
        <v>-512.35899999999992</v>
      </c>
      <c r="D2911">
        <v>0</v>
      </c>
      <c r="E2911">
        <v>0</v>
      </c>
      <c r="F2911">
        <v>0</v>
      </c>
      <c r="G2911">
        <v>485.06138155000002</v>
      </c>
      <c r="H2911">
        <v>-1227.5523838699989</v>
      </c>
      <c r="I2911">
        <v>0</v>
      </c>
      <c r="J2911">
        <v>-115.5</v>
      </c>
      <c r="K2911">
        <v>-31.909827669999999</v>
      </c>
      <c r="L2911">
        <v>-550.5</v>
      </c>
      <c r="M2911">
        <v>0</v>
      </c>
      <c r="N2911">
        <v>0</v>
      </c>
      <c r="O2911">
        <v>-89.178593309754888</v>
      </c>
      <c r="P2911">
        <v>405669.68836521008</v>
      </c>
    </row>
    <row r="2912" spans="1:16" x14ac:dyDescent="0.25">
      <c r="A2912" s="10">
        <v>41921</v>
      </c>
      <c r="B2912">
        <v>-314.52400928997622</v>
      </c>
      <c r="C2912">
        <v>-820.52</v>
      </c>
      <c r="D2912">
        <v>0</v>
      </c>
      <c r="E2912">
        <v>0</v>
      </c>
      <c r="F2912">
        <v>0</v>
      </c>
      <c r="G2912">
        <v>31.303674539999999</v>
      </c>
      <c r="H2912">
        <v>501.50210486999822</v>
      </c>
      <c r="I2912">
        <v>0</v>
      </c>
      <c r="J2912">
        <v>0</v>
      </c>
      <c r="K2912">
        <v>1.69131246</v>
      </c>
      <c r="L2912">
        <v>-79.200000000000017</v>
      </c>
      <c r="M2912">
        <v>0</v>
      </c>
      <c r="N2912">
        <v>0</v>
      </c>
      <c r="O2912">
        <v>50.698898840025571</v>
      </c>
      <c r="P2912">
        <v>405355.16435592022</v>
      </c>
    </row>
    <row r="2913" spans="1:16" x14ac:dyDescent="0.25">
      <c r="A2913" s="10">
        <v>41922</v>
      </c>
      <c r="B2913">
        <v>-546.68528482038505</v>
      </c>
      <c r="C2913">
        <v>169.83799999999999</v>
      </c>
      <c r="D2913">
        <v>-4000</v>
      </c>
      <c r="E2913">
        <v>0</v>
      </c>
      <c r="F2913">
        <v>0</v>
      </c>
      <c r="G2913">
        <v>3942.7404340100002</v>
      </c>
      <c r="H2913">
        <v>-481.3152438499983</v>
      </c>
      <c r="I2913">
        <v>0</v>
      </c>
      <c r="J2913">
        <v>5.8000000000001819</v>
      </c>
      <c r="K2913">
        <v>1.24275449</v>
      </c>
      <c r="L2913">
        <v>0</v>
      </c>
      <c r="M2913">
        <v>0</v>
      </c>
      <c r="N2913">
        <v>0</v>
      </c>
      <c r="O2913">
        <v>-184.99122947038731</v>
      </c>
      <c r="P2913">
        <v>404808.47907109978</v>
      </c>
    </row>
    <row r="2914" spans="1:16" x14ac:dyDescent="0.25">
      <c r="A2914" s="10">
        <v>41926</v>
      </c>
      <c r="B2914">
        <v>2313.46369548043</v>
      </c>
      <c r="C2914">
        <v>-267.2056</v>
      </c>
      <c r="D2914">
        <v>0</v>
      </c>
      <c r="E2914">
        <v>-1600</v>
      </c>
      <c r="F2914">
        <v>0</v>
      </c>
      <c r="G2914">
        <v>-141.79074414999991</v>
      </c>
      <c r="H2914">
        <v>4470.4874130799999</v>
      </c>
      <c r="I2914">
        <v>0</v>
      </c>
      <c r="J2914">
        <v>0</v>
      </c>
      <c r="K2914">
        <v>5.8799588199999997</v>
      </c>
      <c r="L2914">
        <v>0</v>
      </c>
      <c r="M2914">
        <v>0</v>
      </c>
      <c r="N2914">
        <v>0</v>
      </c>
      <c r="O2914">
        <v>-153.90733226956991</v>
      </c>
      <c r="P2914">
        <v>407121.94276658021</v>
      </c>
    </row>
    <row r="2915" spans="1:16" x14ac:dyDescent="0.25">
      <c r="A2915" s="10">
        <v>41927</v>
      </c>
      <c r="B2915">
        <v>-1345.3294357901329</v>
      </c>
      <c r="C2915">
        <v>-44.994</v>
      </c>
      <c r="D2915">
        <v>0</v>
      </c>
      <c r="E2915">
        <v>0</v>
      </c>
      <c r="F2915">
        <v>0</v>
      </c>
      <c r="G2915">
        <v>-233.70544069000019</v>
      </c>
      <c r="H2915">
        <v>-1400.952653930002</v>
      </c>
      <c r="I2915">
        <v>0</v>
      </c>
      <c r="J2915">
        <v>0</v>
      </c>
      <c r="K2915">
        <v>0.99324233999999989</v>
      </c>
      <c r="L2915">
        <v>438.00000000000011</v>
      </c>
      <c r="M2915">
        <v>0</v>
      </c>
      <c r="N2915">
        <v>0</v>
      </c>
      <c r="O2915">
        <v>-104.6705835101305</v>
      </c>
      <c r="P2915">
        <v>405776.61333079002</v>
      </c>
    </row>
    <row r="2916" spans="1:16" x14ac:dyDescent="0.25">
      <c r="A2916" s="10">
        <v>41928</v>
      </c>
      <c r="B2916">
        <v>2423.7192965499712</v>
      </c>
      <c r="C2916">
        <v>4.5664999999999978</v>
      </c>
      <c r="D2916">
        <v>0</v>
      </c>
      <c r="E2916">
        <v>2050</v>
      </c>
      <c r="F2916">
        <v>0</v>
      </c>
      <c r="G2916">
        <v>67.42245336000002</v>
      </c>
      <c r="H2916">
        <v>487.80876986000112</v>
      </c>
      <c r="I2916">
        <v>0</v>
      </c>
      <c r="J2916">
        <v>1.0999999999999091</v>
      </c>
      <c r="K2916">
        <v>1.2389837500000001</v>
      </c>
      <c r="L2916">
        <v>0</v>
      </c>
      <c r="M2916">
        <v>0</v>
      </c>
      <c r="N2916">
        <v>0</v>
      </c>
      <c r="O2916">
        <v>-188.41741042003011</v>
      </c>
      <c r="P2916">
        <v>408200.33262733999</v>
      </c>
    </row>
    <row r="2917" spans="1:16" x14ac:dyDescent="0.25">
      <c r="A2917" s="10">
        <v>41929</v>
      </c>
      <c r="B2917">
        <v>-665.06611790001716</v>
      </c>
      <c r="C2917">
        <v>29.984999999999999</v>
      </c>
      <c r="D2917">
        <v>-300</v>
      </c>
      <c r="E2917">
        <v>0</v>
      </c>
      <c r="F2917">
        <v>0</v>
      </c>
      <c r="G2917">
        <v>541.72298983000019</v>
      </c>
      <c r="H2917">
        <v>-796.53957425999943</v>
      </c>
      <c r="I2917">
        <v>0</v>
      </c>
      <c r="J2917">
        <v>0</v>
      </c>
      <c r="K2917">
        <v>0.78997351999999998</v>
      </c>
      <c r="L2917">
        <v>0</v>
      </c>
      <c r="M2917">
        <v>0</v>
      </c>
      <c r="N2917">
        <v>0</v>
      </c>
      <c r="O2917">
        <v>-141.02450699001801</v>
      </c>
      <c r="P2917">
        <v>407535.26650944003</v>
      </c>
    </row>
    <row r="2918" spans="1:16" x14ac:dyDescent="0.25">
      <c r="A2918" s="10">
        <v>41932</v>
      </c>
      <c r="B2918">
        <v>-875.76010571030156</v>
      </c>
      <c r="C2918">
        <v>-126.45</v>
      </c>
      <c r="D2918">
        <v>0</v>
      </c>
      <c r="E2918">
        <v>0</v>
      </c>
      <c r="F2918">
        <v>0</v>
      </c>
      <c r="G2918">
        <v>163.32489143000001</v>
      </c>
      <c r="H2918">
        <v>-797.06053977999909</v>
      </c>
      <c r="I2918">
        <v>0</v>
      </c>
      <c r="J2918">
        <v>0</v>
      </c>
      <c r="K2918">
        <v>2.8280154799999999</v>
      </c>
      <c r="L2918">
        <v>0</v>
      </c>
      <c r="M2918">
        <v>0</v>
      </c>
      <c r="N2918">
        <v>0</v>
      </c>
      <c r="O2918">
        <v>-118.40247284030239</v>
      </c>
      <c r="P2918">
        <v>406659.50640372973</v>
      </c>
    </row>
    <row r="2919" spans="1:16" x14ac:dyDescent="0.25">
      <c r="A2919" s="10">
        <v>41933</v>
      </c>
      <c r="B2919">
        <v>-8378.4469204597408</v>
      </c>
      <c r="C2919">
        <v>-364.65199999999999</v>
      </c>
      <c r="D2919">
        <v>0</v>
      </c>
      <c r="E2919">
        <v>0</v>
      </c>
      <c r="F2919">
        <v>0</v>
      </c>
      <c r="G2919">
        <v>-194.13854875999999</v>
      </c>
      <c r="H2919">
        <v>-7828.9255392699997</v>
      </c>
      <c r="I2919">
        <v>0</v>
      </c>
      <c r="J2919">
        <v>0</v>
      </c>
      <c r="K2919">
        <v>1.94400938</v>
      </c>
      <c r="L2919">
        <v>0</v>
      </c>
      <c r="M2919">
        <v>0</v>
      </c>
      <c r="N2919">
        <v>0</v>
      </c>
      <c r="O2919">
        <v>7.3251581902593914</v>
      </c>
      <c r="P2919">
        <v>398281.05948326999</v>
      </c>
    </row>
    <row r="2920" spans="1:16" x14ac:dyDescent="0.25">
      <c r="A2920" s="10">
        <v>41934</v>
      </c>
      <c r="B2920">
        <v>-1618.108362140191</v>
      </c>
      <c r="C2920">
        <v>222.75299999999999</v>
      </c>
      <c r="D2920">
        <v>0</v>
      </c>
      <c r="E2920">
        <v>0</v>
      </c>
      <c r="F2920">
        <v>0</v>
      </c>
      <c r="G2920">
        <v>20.270721699999999</v>
      </c>
      <c r="H2920">
        <v>-1460.200937520003</v>
      </c>
      <c r="I2920">
        <v>0</v>
      </c>
      <c r="J2920">
        <v>0</v>
      </c>
      <c r="K2920">
        <v>1.16757187</v>
      </c>
      <c r="L2920">
        <v>-161.19999999999999</v>
      </c>
      <c r="M2920">
        <v>0</v>
      </c>
      <c r="N2920">
        <v>0</v>
      </c>
      <c r="O2920">
        <v>-240.89871819018791</v>
      </c>
      <c r="P2920">
        <v>396662.95112112979</v>
      </c>
    </row>
    <row r="2921" spans="1:16" x14ac:dyDescent="0.25">
      <c r="A2921" s="10">
        <v>41935</v>
      </c>
      <c r="B2921">
        <v>-549.67006637976795</v>
      </c>
      <c r="C2921">
        <v>-231.607</v>
      </c>
      <c r="D2921">
        <v>-500</v>
      </c>
      <c r="E2921">
        <v>0</v>
      </c>
      <c r="F2921">
        <v>0</v>
      </c>
      <c r="G2921">
        <v>679.30590151000001</v>
      </c>
      <c r="H2921">
        <v>-270.9657914299969</v>
      </c>
      <c r="I2921">
        <v>0</v>
      </c>
      <c r="J2921">
        <v>0</v>
      </c>
      <c r="K2921">
        <v>8.6125581799999988</v>
      </c>
      <c r="L2921">
        <v>0</v>
      </c>
      <c r="M2921">
        <v>0</v>
      </c>
      <c r="N2921">
        <v>0</v>
      </c>
      <c r="O2921">
        <v>-235.0157346397711</v>
      </c>
      <c r="P2921">
        <v>396113.28105475003</v>
      </c>
    </row>
    <row r="2922" spans="1:16" x14ac:dyDescent="0.25">
      <c r="A2922" s="10">
        <v>41936</v>
      </c>
      <c r="B2922">
        <v>-7590.1481251399973</v>
      </c>
      <c r="C2922">
        <v>-7.26400000000001</v>
      </c>
      <c r="D2922">
        <v>0</v>
      </c>
      <c r="E2922">
        <v>0</v>
      </c>
      <c r="F2922">
        <v>0</v>
      </c>
      <c r="G2922">
        <v>-42.696871340000001</v>
      </c>
      <c r="H2922">
        <v>-7315.0067455700009</v>
      </c>
      <c r="I2922">
        <v>0</v>
      </c>
      <c r="J2922">
        <v>0</v>
      </c>
      <c r="K2922">
        <v>5.0233013600000014</v>
      </c>
      <c r="L2922">
        <v>0</v>
      </c>
      <c r="M2922">
        <v>0</v>
      </c>
      <c r="N2922">
        <v>0</v>
      </c>
      <c r="O2922">
        <v>-230.2038095899965</v>
      </c>
      <c r="P2922">
        <v>388523.13292960997</v>
      </c>
    </row>
    <row r="2923" spans="1:16" x14ac:dyDescent="0.25">
      <c r="A2923" s="10">
        <v>41939</v>
      </c>
      <c r="B2923">
        <v>-5428.8089895600588</v>
      </c>
      <c r="C2923">
        <v>-730.86</v>
      </c>
      <c r="D2923">
        <v>0</v>
      </c>
      <c r="E2923">
        <v>0</v>
      </c>
      <c r="F2923">
        <v>0</v>
      </c>
      <c r="G2923">
        <v>-116.79926879999999</v>
      </c>
      <c r="H2923">
        <v>-4397.1296341600064</v>
      </c>
      <c r="I2923">
        <v>0</v>
      </c>
      <c r="J2923">
        <v>0</v>
      </c>
      <c r="K2923">
        <v>21.35528455</v>
      </c>
      <c r="L2923">
        <v>0</v>
      </c>
      <c r="M2923">
        <v>0</v>
      </c>
      <c r="N2923">
        <v>0</v>
      </c>
      <c r="O2923">
        <v>-205.37537115005179</v>
      </c>
      <c r="P2923">
        <v>383094.32394004997</v>
      </c>
    </row>
    <row r="2924" spans="1:16" x14ac:dyDescent="0.25">
      <c r="A2924" s="10">
        <v>41940</v>
      </c>
      <c r="B2924">
        <v>1092.542893870034</v>
      </c>
      <c r="C2924">
        <v>99.63</v>
      </c>
      <c r="D2924">
        <v>0</v>
      </c>
      <c r="E2924">
        <v>0</v>
      </c>
      <c r="F2924">
        <v>0</v>
      </c>
      <c r="G2924">
        <v>0.69994268000002102</v>
      </c>
      <c r="H2924">
        <v>1056.983491010003</v>
      </c>
      <c r="I2924">
        <v>0</v>
      </c>
      <c r="J2924">
        <v>0</v>
      </c>
      <c r="K2924">
        <v>8.7269516399999976</v>
      </c>
      <c r="L2924">
        <v>0</v>
      </c>
      <c r="M2924">
        <v>0</v>
      </c>
      <c r="N2924">
        <v>0</v>
      </c>
      <c r="O2924">
        <v>-73.497491459969382</v>
      </c>
      <c r="P2924">
        <v>384186.86683392001</v>
      </c>
    </row>
    <row r="2925" spans="1:16" x14ac:dyDescent="0.25">
      <c r="A2925" s="10">
        <v>41941</v>
      </c>
      <c r="B2925">
        <v>1823.4217200300211</v>
      </c>
      <c r="C2925">
        <v>8.269999999999996</v>
      </c>
      <c r="D2925">
        <v>0</v>
      </c>
      <c r="E2925">
        <v>0</v>
      </c>
      <c r="F2925">
        <v>0</v>
      </c>
      <c r="G2925">
        <v>10258.01874825</v>
      </c>
      <c r="H2925">
        <v>-6602.7990110200044</v>
      </c>
      <c r="I2925">
        <v>0</v>
      </c>
      <c r="J2925">
        <v>0</v>
      </c>
      <c r="K2925">
        <v>9.3570545200000037</v>
      </c>
      <c r="L2925">
        <v>-1826.9</v>
      </c>
      <c r="M2925">
        <v>0</v>
      </c>
      <c r="N2925">
        <v>0</v>
      </c>
      <c r="O2925">
        <v>-22.52507171997549</v>
      </c>
      <c r="P2925">
        <v>386010.28855395003</v>
      </c>
    </row>
    <row r="2926" spans="1:16" x14ac:dyDescent="0.25">
      <c r="A2926" s="10">
        <v>41942</v>
      </c>
      <c r="B2926">
        <v>1963.8313121397509</v>
      </c>
      <c r="C2926">
        <v>-11.8</v>
      </c>
      <c r="D2926">
        <v>0</v>
      </c>
      <c r="E2926">
        <v>0</v>
      </c>
      <c r="F2926">
        <v>0</v>
      </c>
      <c r="G2926">
        <v>51.163393689999957</v>
      </c>
      <c r="H2926">
        <v>2030.9736454200099</v>
      </c>
      <c r="I2926">
        <v>0</v>
      </c>
      <c r="J2926">
        <v>0</v>
      </c>
      <c r="K2926">
        <v>11.546002830000001</v>
      </c>
      <c r="L2926">
        <v>0</v>
      </c>
      <c r="M2926">
        <v>0</v>
      </c>
      <c r="N2926">
        <v>0</v>
      </c>
      <c r="O2926">
        <v>-118.0517298002591</v>
      </c>
      <c r="P2926">
        <v>387974.11986608978</v>
      </c>
    </row>
    <row r="2927" spans="1:16" x14ac:dyDescent="0.25">
      <c r="A2927" s="10">
        <v>41943</v>
      </c>
      <c r="B2927">
        <v>19462.517388700271</v>
      </c>
      <c r="C2927">
        <v>425.14</v>
      </c>
      <c r="D2927">
        <v>0</v>
      </c>
      <c r="E2927">
        <v>3000</v>
      </c>
      <c r="F2927">
        <v>0</v>
      </c>
      <c r="G2927">
        <v>-2797.5204480900002</v>
      </c>
      <c r="H2927">
        <v>18889.968320010001</v>
      </c>
      <c r="I2927">
        <v>0</v>
      </c>
      <c r="J2927">
        <v>0</v>
      </c>
      <c r="K2927">
        <v>10.713916299999999</v>
      </c>
      <c r="L2927">
        <v>-51</v>
      </c>
      <c r="M2927">
        <v>0</v>
      </c>
      <c r="N2927">
        <v>0</v>
      </c>
      <c r="O2927">
        <v>-14.784399519727589</v>
      </c>
      <c r="P2927">
        <v>407436.63725479011</v>
      </c>
    </row>
    <row r="2928" spans="1:16" x14ac:dyDescent="0.25">
      <c r="A2928" s="10">
        <v>41946</v>
      </c>
      <c r="B2928">
        <v>6511.5065991900628</v>
      </c>
      <c r="C2928">
        <v>227.74</v>
      </c>
      <c r="D2928">
        <v>0</v>
      </c>
      <c r="E2928">
        <v>-950</v>
      </c>
      <c r="F2928">
        <v>0</v>
      </c>
      <c r="G2928">
        <v>-73.699373860000037</v>
      </c>
      <c r="H2928">
        <v>7190.0848118899994</v>
      </c>
      <c r="I2928">
        <v>0</v>
      </c>
      <c r="J2928">
        <v>0</v>
      </c>
      <c r="K2928">
        <v>12.22305925</v>
      </c>
      <c r="L2928">
        <v>0</v>
      </c>
      <c r="M2928">
        <v>0</v>
      </c>
      <c r="N2928">
        <v>0</v>
      </c>
      <c r="O2928">
        <v>105.1581019100629</v>
      </c>
      <c r="P2928">
        <v>413948.14385398012</v>
      </c>
    </row>
    <row r="2929" spans="1:16" x14ac:dyDescent="0.25">
      <c r="A2929" s="10">
        <v>41947</v>
      </c>
      <c r="B2929">
        <v>14.54599946970214</v>
      </c>
      <c r="C2929">
        <v>-194.93799999999999</v>
      </c>
      <c r="D2929">
        <v>0</v>
      </c>
      <c r="E2929">
        <v>0</v>
      </c>
      <c r="F2929">
        <v>0</v>
      </c>
      <c r="G2929">
        <v>-451.10249887999998</v>
      </c>
      <c r="H2929">
        <v>867.68453848999889</v>
      </c>
      <c r="I2929">
        <v>0</v>
      </c>
      <c r="J2929">
        <v>0</v>
      </c>
      <c r="K2929">
        <v>1.28825133</v>
      </c>
      <c r="L2929">
        <v>-97.1</v>
      </c>
      <c r="M2929">
        <v>0</v>
      </c>
      <c r="N2929">
        <v>0</v>
      </c>
      <c r="O2929">
        <v>-111.2862914702968</v>
      </c>
      <c r="P2929">
        <v>413962.68985344982</v>
      </c>
    </row>
    <row r="2930" spans="1:16" x14ac:dyDescent="0.25">
      <c r="A2930" s="10">
        <v>41948</v>
      </c>
      <c r="B2930">
        <v>2283.657835850026</v>
      </c>
      <c r="C2930">
        <v>303.74680000000001</v>
      </c>
      <c r="D2930">
        <v>-1509.9</v>
      </c>
      <c r="E2930">
        <v>1000</v>
      </c>
      <c r="F2930">
        <v>0</v>
      </c>
      <c r="G2930">
        <v>2922.4833024599998</v>
      </c>
      <c r="H2930">
        <v>510.60433827000088</v>
      </c>
      <c r="I2930">
        <v>0</v>
      </c>
      <c r="J2930">
        <v>0</v>
      </c>
      <c r="K2930">
        <v>0.89065531000000009</v>
      </c>
      <c r="L2930">
        <v>-1063.2</v>
      </c>
      <c r="M2930">
        <v>0</v>
      </c>
      <c r="N2930">
        <v>0</v>
      </c>
      <c r="O2930">
        <v>119.03273981002459</v>
      </c>
      <c r="P2930">
        <v>416246.34768929979</v>
      </c>
    </row>
    <row r="2931" spans="1:16" x14ac:dyDescent="0.25">
      <c r="A2931" s="10">
        <v>41950</v>
      </c>
      <c r="B2931">
        <v>1662.880790709926</v>
      </c>
      <c r="C2931">
        <v>803.01699999999994</v>
      </c>
      <c r="D2931">
        <v>0</v>
      </c>
      <c r="E2931">
        <v>0</v>
      </c>
      <c r="F2931">
        <v>0</v>
      </c>
      <c r="G2931">
        <v>331.76656143999998</v>
      </c>
      <c r="H2931">
        <v>603.76922193999962</v>
      </c>
      <c r="I2931">
        <v>0</v>
      </c>
      <c r="J2931">
        <v>0</v>
      </c>
      <c r="K2931">
        <v>1.7078358899999999</v>
      </c>
      <c r="L2931">
        <v>-13.900000000000031</v>
      </c>
      <c r="M2931">
        <v>0</v>
      </c>
      <c r="N2931">
        <v>0</v>
      </c>
      <c r="O2931">
        <v>-63.479828560074203</v>
      </c>
      <c r="P2931">
        <v>417909.22848000983</v>
      </c>
    </row>
    <row r="2932" spans="1:16" x14ac:dyDescent="0.25">
      <c r="A2932" s="10">
        <v>41953</v>
      </c>
      <c r="B2932">
        <v>1211.4613459600951</v>
      </c>
      <c r="C2932">
        <v>177.93009866</v>
      </c>
      <c r="D2932">
        <v>0</v>
      </c>
      <c r="E2932">
        <v>0</v>
      </c>
      <c r="F2932">
        <v>0</v>
      </c>
      <c r="G2932">
        <v>-83.950446450000015</v>
      </c>
      <c r="H2932">
        <v>1327.777200459999</v>
      </c>
      <c r="I2932">
        <v>0</v>
      </c>
      <c r="J2932">
        <v>0</v>
      </c>
      <c r="K2932">
        <v>2.1705610900000001</v>
      </c>
      <c r="L2932">
        <v>-68.100000000000023</v>
      </c>
      <c r="M2932">
        <v>0</v>
      </c>
      <c r="N2932">
        <v>0</v>
      </c>
      <c r="O2932">
        <v>-144.36606779990419</v>
      </c>
      <c r="P2932">
        <v>419120.68982596992</v>
      </c>
    </row>
    <row r="2933" spans="1:16" x14ac:dyDescent="0.25">
      <c r="A2933" s="10">
        <v>41954</v>
      </c>
      <c r="B2933">
        <v>-2508.2690551798441</v>
      </c>
      <c r="C2933">
        <v>69.488817999999995</v>
      </c>
      <c r="D2933">
        <v>0</v>
      </c>
      <c r="E2933">
        <v>0</v>
      </c>
      <c r="F2933">
        <v>0</v>
      </c>
      <c r="G2933">
        <v>-1527.34590097</v>
      </c>
      <c r="H2933">
        <v>-392.92638233999969</v>
      </c>
      <c r="I2933">
        <v>0</v>
      </c>
      <c r="J2933">
        <v>-116.411787</v>
      </c>
      <c r="K2933">
        <v>-33.200401330000183</v>
      </c>
      <c r="L2933">
        <v>0</v>
      </c>
      <c r="M2933">
        <v>0</v>
      </c>
      <c r="N2933">
        <v>0</v>
      </c>
      <c r="O2933">
        <v>-507.87340153984451</v>
      </c>
      <c r="P2933">
        <v>416612.42077079002</v>
      </c>
    </row>
    <row r="2934" spans="1:16" x14ac:dyDescent="0.25">
      <c r="A2934" s="10">
        <v>41955</v>
      </c>
      <c r="B2934">
        <v>-1762.408366850286</v>
      </c>
      <c r="C2934">
        <v>141.64307739</v>
      </c>
      <c r="D2934">
        <v>0</v>
      </c>
      <c r="E2934">
        <v>0</v>
      </c>
      <c r="F2934">
        <v>0</v>
      </c>
      <c r="G2934">
        <v>1392.5112706499999</v>
      </c>
      <c r="H2934">
        <v>205.30116052999981</v>
      </c>
      <c r="I2934">
        <v>0</v>
      </c>
      <c r="J2934">
        <v>9.1999999999998181</v>
      </c>
      <c r="K2934">
        <v>0.44888264000000011</v>
      </c>
      <c r="L2934">
        <v>-3270.1</v>
      </c>
      <c r="M2934">
        <v>0</v>
      </c>
      <c r="N2934">
        <v>0</v>
      </c>
      <c r="O2934">
        <v>-241.4127580602858</v>
      </c>
      <c r="P2934">
        <v>414850.01240393968</v>
      </c>
    </row>
    <row r="2935" spans="1:16" x14ac:dyDescent="0.25">
      <c r="A2935" s="10">
        <v>41956</v>
      </c>
      <c r="B2935">
        <v>-1164.421958319843</v>
      </c>
      <c r="C2935">
        <v>307.88437725</v>
      </c>
      <c r="D2935">
        <v>0</v>
      </c>
      <c r="E2935">
        <v>5000</v>
      </c>
      <c r="F2935">
        <v>0</v>
      </c>
      <c r="G2935">
        <v>-4777.5528665700003</v>
      </c>
      <c r="H2935">
        <v>-1345.9884148600011</v>
      </c>
      <c r="I2935">
        <v>0</v>
      </c>
      <c r="J2935">
        <v>0</v>
      </c>
      <c r="K2935">
        <v>0.62265475999999997</v>
      </c>
      <c r="L2935">
        <v>-34.100000000000023</v>
      </c>
      <c r="M2935">
        <v>0</v>
      </c>
      <c r="N2935">
        <v>0</v>
      </c>
      <c r="O2935">
        <v>-315.28770889984162</v>
      </c>
      <c r="P2935">
        <v>413685.59044561989</v>
      </c>
    </row>
    <row r="2936" spans="1:16" x14ac:dyDescent="0.25">
      <c r="A2936" s="10">
        <v>41957</v>
      </c>
      <c r="B2936">
        <v>-6198.0342919500536</v>
      </c>
      <c r="C2936">
        <v>470.65742856999998</v>
      </c>
      <c r="D2936">
        <v>0</v>
      </c>
      <c r="E2936">
        <v>0</v>
      </c>
      <c r="F2936">
        <v>0</v>
      </c>
      <c r="G2936">
        <v>-2069.50061155</v>
      </c>
      <c r="H2936">
        <v>-4821.0556998099983</v>
      </c>
      <c r="I2936">
        <v>0</v>
      </c>
      <c r="J2936">
        <v>0</v>
      </c>
      <c r="K2936">
        <v>0.71873623999999992</v>
      </c>
      <c r="L2936">
        <v>-34.100000000000023</v>
      </c>
      <c r="M2936">
        <v>0</v>
      </c>
      <c r="N2936">
        <v>0</v>
      </c>
      <c r="O2936">
        <v>255.24585459994421</v>
      </c>
      <c r="P2936">
        <v>407487.55615366978</v>
      </c>
    </row>
    <row r="2937" spans="1:16" x14ac:dyDescent="0.25">
      <c r="A2937" s="10">
        <v>41960</v>
      </c>
      <c r="B2937">
        <v>-1944.243868569785</v>
      </c>
      <c r="C2937">
        <v>-336.69933992</v>
      </c>
      <c r="D2937">
        <v>-500</v>
      </c>
      <c r="E2937">
        <v>0</v>
      </c>
      <c r="F2937">
        <v>0</v>
      </c>
      <c r="G2937">
        <v>492.47458007999973</v>
      </c>
      <c r="H2937">
        <v>-1417.1751372800029</v>
      </c>
      <c r="I2937">
        <v>0</v>
      </c>
      <c r="J2937">
        <v>0</v>
      </c>
      <c r="K2937">
        <v>8.1082023499999991</v>
      </c>
      <c r="L2937">
        <v>0</v>
      </c>
      <c r="M2937">
        <v>0</v>
      </c>
      <c r="N2937">
        <v>0</v>
      </c>
      <c r="O2937">
        <v>-190.95217379978251</v>
      </c>
      <c r="P2937">
        <v>405543.31228510011</v>
      </c>
    </row>
    <row r="2938" spans="1:16" x14ac:dyDescent="0.25">
      <c r="A2938" s="10">
        <v>41961</v>
      </c>
      <c r="B2938">
        <v>-40.002330970077317</v>
      </c>
      <c r="C2938">
        <v>-258.58830057</v>
      </c>
      <c r="D2938">
        <v>0</v>
      </c>
      <c r="E2938">
        <v>0</v>
      </c>
      <c r="F2938">
        <v>0</v>
      </c>
      <c r="G2938">
        <v>605.71006864000015</v>
      </c>
      <c r="H2938">
        <v>-293.62133368999639</v>
      </c>
      <c r="I2938">
        <v>0</v>
      </c>
      <c r="J2938">
        <v>0</v>
      </c>
      <c r="K2938">
        <v>3.3293026100000001</v>
      </c>
      <c r="L2938">
        <v>0</v>
      </c>
      <c r="M2938">
        <v>0</v>
      </c>
      <c r="N2938">
        <v>0</v>
      </c>
      <c r="O2938">
        <v>-96.832067960081076</v>
      </c>
      <c r="P2938">
        <v>405503.30995412997</v>
      </c>
    </row>
    <row r="2939" spans="1:16" x14ac:dyDescent="0.25">
      <c r="A2939" s="10">
        <v>41962</v>
      </c>
      <c r="B2939">
        <v>-3030.0872284997608</v>
      </c>
      <c r="C2939">
        <v>37.825795489999997</v>
      </c>
      <c r="D2939">
        <v>0</v>
      </c>
      <c r="E2939">
        <v>0</v>
      </c>
      <c r="F2939">
        <v>0</v>
      </c>
      <c r="G2939">
        <v>-302.22979442000008</v>
      </c>
      <c r="H2939">
        <v>-2491.7912191</v>
      </c>
      <c r="I2939">
        <v>0</v>
      </c>
      <c r="J2939">
        <v>0</v>
      </c>
      <c r="K2939">
        <v>3.5482394700000008</v>
      </c>
      <c r="L2939">
        <v>-702.4</v>
      </c>
      <c r="M2939">
        <v>0</v>
      </c>
      <c r="N2939">
        <v>0</v>
      </c>
      <c r="O2939">
        <v>424.95975006023792</v>
      </c>
      <c r="P2939">
        <v>402473.22272563021</v>
      </c>
    </row>
    <row r="2940" spans="1:16" x14ac:dyDescent="0.25">
      <c r="A2940" s="10">
        <v>41963</v>
      </c>
      <c r="B2940">
        <v>-5606.2930586800794</v>
      </c>
      <c r="C2940">
        <v>-144.13403496999999</v>
      </c>
      <c r="D2940">
        <v>0</v>
      </c>
      <c r="E2940">
        <v>-4000</v>
      </c>
      <c r="F2940">
        <v>0</v>
      </c>
      <c r="G2940">
        <v>198.63894640999999</v>
      </c>
      <c r="H2940">
        <v>-1656.437934680001</v>
      </c>
      <c r="I2940">
        <v>0</v>
      </c>
      <c r="J2940">
        <v>0</v>
      </c>
      <c r="K2940">
        <v>4.0533593900000007</v>
      </c>
      <c r="L2940">
        <v>0</v>
      </c>
      <c r="M2940">
        <v>0</v>
      </c>
      <c r="N2940">
        <v>0</v>
      </c>
      <c r="O2940">
        <v>-8.4133948300781398</v>
      </c>
      <c r="P2940">
        <v>396866.92966695008</v>
      </c>
    </row>
    <row r="2941" spans="1:16" x14ac:dyDescent="0.25">
      <c r="A2941" s="10">
        <v>41964</v>
      </c>
      <c r="B2941">
        <v>-3096.9925414902391</v>
      </c>
      <c r="C2941">
        <v>-582.53201250999996</v>
      </c>
      <c r="D2941">
        <v>0</v>
      </c>
      <c r="E2941">
        <v>4000</v>
      </c>
      <c r="F2941">
        <v>0</v>
      </c>
      <c r="G2941">
        <v>1498.9657839199999</v>
      </c>
      <c r="H2941">
        <v>-8051.7700280399986</v>
      </c>
      <c r="I2941">
        <v>0</v>
      </c>
      <c r="J2941">
        <v>0</v>
      </c>
      <c r="K2941">
        <v>4.5941565999999998</v>
      </c>
      <c r="L2941">
        <v>0</v>
      </c>
      <c r="M2941">
        <v>0</v>
      </c>
      <c r="N2941">
        <v>0</v>
      </c>
      <c r="O2941">
        <v>33.749558539759263</v>
      </c>
      <c r="P2941">
        <v>393769.93712545978</v>
      </c>
    </row>
    <row r="2942" spans="1:16" x14ac:dyDescent="0.25">
      <c r="A2942" s="10">
        <v>41968</v>
      </c>
      <c r="B2942">
        <v>13023.98655921</v>
      </c>
      <c r="C2942">
        <v>-401.33792869000001</v>
      </c>
      <c r="D2942">
        <v>0</v>
      </c>
      <c r="E2942">
        <v>0</v>
      </c>
      <c r="F2942">
        <v>0</v>
      </c>
      <c r="G2942">
        <v>-426.39275374999988</v>
      </c>
      <c r="H2942">
        <v>13889.15072123</v>
      </c>
      <c r="I2942">
        <v>0</v>
      </c>
      <c r="J2942">
        <v>0</v>
      </c>
      <c r="K2942">
        <v>29.246635300000001</v>
      </c>
      <c r="L2942">
        <v>0</v>
      </c>
      <c r="M2942">
        <v>0</v>
      </c>
      <c r="N2942">
        <v>0</v>
      </c>
      <c r="O2942">
        <v>-66.680114880002662</v>
      </c>
      <c r="P2942">
        <v>406793.92368466989</v>
      </c>
    </row>
    <row r="2943" spans="1:16" x14ac:dyDescent="0.25">
      <c r="A2943" s="10">
        <v>41969</v>
      </c>
      <c r="B2943">
        <v>-842.8478177697981</v>
      </c>
      <c r="C2943">
        <v>-25.294175490000001</v>
      </c>
      <c r="D2943">
        <v>-600</v>
      </c>
      <c r="E2943">
        <v>0</v>
      </c>
      <c r="F2943">
        <v>0</v>
      </c>
      <c r="G2943">
        <v>848.75789124999994</v>
      </c>
      <c r="H2943">
        <v>-965.8869047499993</v>
      </c>
      <c r="I2943">
        <v>0</v>
      </c>
      <c r="J2943">
        <v>0</v>
      </c>
      <c r="K2943">
        <v>3.2602981700000009</v>
      </c>
      <c r="L2943">
        <v>-67.799999999999983</v>
      </c>
      <c r="M2943">
        <v>0</v>
      </c>
      <c r="N2943">
        <v>0</v>
      </c>
      <c r="O2943">
        <v>-35.884926949798768</v>
      </c>
      <c r="P2943">
        <v>405951.07586690009</v>
      </c>
    </row>
    <row r="2944" spans="1:16" x14ac:dyDescent="0.25">
      <c r="A2944" s="10">
        <v>41970</v>
      </c>
      <c r="B2944">
        <v>-12362.590993180111</v>
      </c>
      <c r="C2944">
        <v>68.622734539999996</v>
      </c>
      <c r="D2944">
        <v>27503.721000000001</v>
      </c>
      <c r="E2944">
        <v>0</v>
      </c>
      <c r="F2944">
        <v>0</v>
      </c>
      <c r="G2944">
        <v>-27507.724835000001</v>
      </c>
      <c r="H2944">
        <v>-12444.831499239999</v>
      </c>
      <c r="I2944">
        <v>0</v>
      </c>
      <c r="J2944">
        <v>0.56866324000020541</v>
      </c>
      <c r="K2944">
        <v>2.5108114399999999</v>
      </c>
      <c r="L2944">
        <v>0</v>
      </c>
      <c r="M2944">
        <v>0</v>
      </c>
      <c r="N2944">
        <v>0</v>
      </c>
      <c r="O2944">
        <v>14.54213183987958</v>
      </c>
      <c r="P2944">
        <v>393588.48487371998</v>
      </c>
    </row>
    <row r="2945" spans="1:16" x14ac:dyDescent="0.25">
      <c r="A2945" s="10">
        <v>41971</v>
      </c>
      <c r="B2945">
        <v>15535.79883394973</v>
      </c>
      <c r="C2945">
        <v>398.62518518000002</v>
      </c>
      <c r="D2945">
        <v>-2806.6</v>
      </c>
      <c r="E2945">
        <v>0</v>
      </c>
      <c r="F2945">
        <v>14868.4</v>
      </c>
      <c r="G2945">
        <v>17806.362674740001</v>
      </c>
      <c r="H2945">
        <v>-15046.81699963999</v>
      </c>
      <c r="I2945">
        <v>0</v>
      </c>
      <c r="J2945">
        <v>0</v>
      </c>
      <c r="K2945">
        <v>8.1287908399999989</v>
      </c>
      <c r="L2945">
        <v>0</v>
      </c>
      <c r="M2945">
        <v>0</v>
      </c>
      <c r="N2945">
        <v>0</v>
      </c>
      <c r="O2945">
        <v>307.6991828297181</v>
      </c>
      <c r="P2945">
        <v>409124.28370766982</v>
      </c>
    </row>
    <row r="2946" spans="1:16" x14ac:dyDescent="0.25">
      <c r="A2946" s="10">
        <v>41974</v>
      </c>
      <c r="B2946">
        <v>25097.88502810034</v>
      </c>
      <c r="C2946">
        <v>-183.691</v>
      </c>
      <c r="D2946">
        <v>0</v>
      </c>
      <c r="E2946">
        <v>0</v>
      </c>
      <c r="F2946">
        <v>0</v>
      </c>
      <c r="G2946">
        <v>-498.2439536400002</v>
      </c>
      <c r="H2946">
        <v>25720.243118890001</v>
      </c>
      <c r="I2946">
        <v>0</v>
      </c>
      <c r="J2946">
        <v>-0.1999999999998181</v>
      </c>
      <c r="K2946">
        <v>39.205192889999999</v>
      </c>
      <c r="L2946">
        <v>0</v>
      </c>
      <c r="M2946">
        <v>0</v>
      </c>
      <c r="N2946">
        <v>0</v>
      </c>
      <c r="O2946">
        <v>20.57166996034503</v>
      </c>
      <c r="P2946">
        <v>434222.16873576998</v>
      </c>
    </row>
    <row r="2947" spans="1:16" x14ac:dyDescent="0.25">
      <c r="A2947" s="10">
        <v>41975</v>
      </c>
      <c r="B2947">
        <v>3168.9298265899988</v>
      </c>
      <c r="C2947">
        <v>37.713002000000003</v>
      </c>
      <c r="D2947">
        <v>0</v>
      </c>
      <c r="E2947">
        <v>0</v>
      </c>
      <c r="F2947">
        <v>0</v>
      </c>
      <c r="G2947">
        <v>51.044021180000072</v>
      </c>
      <c r="H2947">
        <v>2809.4022560099952</v>
      </c>
      <c r="I2947">
        <v>0</v>
      </c>
      <c r="J2947">
        <v>0</v>
      </c>
      <c r="K2947">
        <v>3.713720260000001</v>
      </c>
      <c r="L2947">
        <v>-46.5</v>
      </c>
      <c r="M2947">
        <v>0</v>
      </c>
      <c r="N2947">
        <v>0</v>
      </c>
      <c r="O2947">
        <v>313.55682714000409</v>
      </c>
      <c r="P2947">
        <v>437391.09856235998</v>
      </c>
    </row>
    <row r="2948" spans="1:16" x14ac:dyDescent="0.25">
      <c r="A2948" s="10">
        <v>41976</v>
      </c>
      <c r="B2948">
        <v>-267.28600219020211</v>
      </c>
      <c r="C2948">
        <v>-593.50789999999995</v>
      </c>
      <c r="D2948">
        <v>0</v>
      </c>
      <c r="E2948">
        <v>0</v>
      </c>
      <c r="F2948">
        <v>0</v>
      </c>
      <c r="G2948">
        <v>-397.19785313000011</v>
      </c>
      <c r="H2948">
        <v>1158.8735045600019</v>
      </c>
      <c r="I2948">
        <v>0</v>
      </c>
      <c r="J2948">
        <v>0</v>
      </c>
      <c r="K2948">
        <v>2.70406141</v>
      </c>
      <c r="L2948">
        <v>-594.79999999999995</v>
      </c>
      <c r="M2948">
        <v>0</v>
      </c>
      <c r="N2948">
        <v>0</v>
      </c>
      <c r="O2948">
        <v>156.64218496979549</v>
      </c>
      <c r="P2948">
        <v>437123.81256016978</v>
      </c>
    </row>
    <row r="2949" spans="1:16" x14ac:dyDescent="0.25">
      <c r="A2949" s="10">
        <v>41977</v>
      </c>
      <c r="B2949">
        <v>-3602.4917057399298</v>
      </c>
      <c r="C2949">
        <v>-222.53550000000001</v>
      </c>
      <c r="D2949">
        <v>0</v>
      </c>
      <c r="E2949">
        <v>0</v>
      </c>
      <c r="F2949">
        <v>0</v>
      </c>
      <c r="G2949">
        <v>-137.12051654000001</v>
      </c>
      <c r="H2949">
        <v>-3142.7340317000021</v>
      </c>
      <c r="I2949">
        <v>0</v>
      </c>
      <c r="J2949">
        <v>0</v>
      </c>
      <c r="K2949">
        <v>2.4983844799999999</v>
      </c>
      <c r="L2949">
        <v>0</v>
      </c>
      <c r="M2949">
        <v>0</v>
      </c>
      <c r="N2949">
        <v>0</v>
      </c>
      <c r="O2949">
        <v>-102.60004197992789</v>
      </c>
      <c r="P2949">
        <v>433521.32085442991</v>
      </c>
    </row>
    <row r="2950" spans="1:16" x14ac:dyDescent="0.25">
      <c r="A2950" s="10">
        <v>41978</v>
      </c>
      <c r="B2950">
        <v>393.3247682798542</v>
      </c>
      <c r="C2950">
        <v>-447.96699999999998</v>
      </c>
      <c r="D2950">
        <v>0</v>
      </c>
      <c r="E2950">
        <v>7000</v>
      </c>
      <c r="F2950">
        <v>0</v>
      </c>
      <c r="G2950">
        <v>-7508.8308803499986</v>
      </c>
      <c r="H2950">
        <v>1107.8788965399999</v>
      </c>
      <c r="I2950">
        <v>0</v>
      </c>
      <c r="J2950">
        <v>0</v>
      </c>
      <c r="K2950">
        <v>3.7441283299999988</v>
      </c>
      <c r="L2950">
        <v>0</v>
      </c>
      <c r="M2950">
        <v>0</v>
      </c>
      <c r="N2950">
        <v>0</v>
      </c>
      <c r="O2950">
        <v>238.49962375985339</v>
      </c>
      <c r="P2950">
        <v>433914.64562270982</v>
      </c>
    </row>
    <row r="2951" spans="1:16" x14ac:dyDescent="0.25">
      <c r="A2951" s="10">
        <v>41982</v>
      </c>
      <c r="B2951">
        <v>-1590.922345750032</v>
      </c>
      <c r="C2951">
        <v>1722.7929999999999</v>
      </c>
      <c r="D2951">
        <v>0</v>
      </c>
      <c r="E2951">
        <v>0</v>
      </c>
      <c r="F2951">
        <v>0</v>
      </c>
      <c r="G2951">
        <v>-5357.4629720600014</v>
      </c>
      <c r="H2951">
        <v>2390.3336661100002</v>
      </c>
      <c r="I2951">
        <v>0</v>
      </c>
      <c r="J2951">
        <v>-122.90000000000011</v>
      </c>
      <c r="K2951">
        <v>-19.67122062</v>
      </c>
      <c r="L2951">
        <v>0</v>
      </c>
      <c r="M2951">
        <v>0</v>
      </c>
      <c r="N2951">
        <v>0</v>
      </c>
      <c r="O2951">
        <v>-204.01481918003179</v>
      </c>
      <c r="P2951">
        <v>432323.72327695967</v>
      </c>
    </row>
    <row r="2952" spans="1:16" x14ac:dyDescent="0.25">
      <c r="A2952" s="10">
        <v>41983</v>
      </c>
      <c r="B2952">
        <v>-5288.4642479896429</v>
      </c>
      <c r="C2952">
        <v>23.516999999999999</v>
      </c>
      <c r="D2952">
        <v>-1300</v>
      </c>
      <c r="E2952">
        <v>0</v>
      </c>
      <c r="F2952">
        <v>0</v>
      </c>
      <c r="G2952">
        <v>-1249.0869348499989</v>
      </c>
      <c r="H2952">
        <v>-494.91345544000069</v>
      </c>
      <c r="I2952">
        <v>0</v>
      </c>
      <c r="J2952">
        <v>0</v>
      </c>
      <c r="K2952">
        <v>2.4168725700000002</v>
      </c>
      <c r="L2952">
        <v>-1730.3</v>
      </c>
      <c r="M2952">
        <v>0</v>
      </c>
      <c r="N2952">
        <v>0</v>
      </c>
      <c r="O2952">
        <v>-540.09773026964376</v>
      </c>
      <c r="P2952">
        <v>427035.25902897009</v>
      </c>
    </row>
    <row r="2953" spans="1:16" x14ac:dyDescent="0.25">
      <c r="A2953" s="10">
        <v>41984</v>
      </c>
      <c r="B2953">
        <v>7990.3710691499291</v>
      </c>
      <c r="C2953">
        <v>-53.664204490000003</v>
      </c>
      <c r="D2953">
        <v>0</v>
      </c>
      <c r="E2953">
        <v>-12000</v>
      </c>
      <c r="F2953">
        <v>0</v>
      </c>
      <c r="G2953">
        <v>17192.27134625</v>
      </c>
      <c r="H2953">
        <v>2886.9295245199992</v>
      </c>
      <c r="I2953">
        <v>0</v>
      </c>
      <c r="J2953">
        <v>0</v>
      </c>
      <c r="K2953">
        <v>2.7639112899999998</v>
      </c>
      <c r="L2953">
        <v>0</v>
      </c>
      <c r="M2953">
        <v>0</v>
      </c>
      <c r="N2953">
        <v>0</v>
      </c>
      <c r="O2953">
        <v>-37.929508420066121</v>
      </c>
      <c r="P2953">
        <v>435025.63009812002</v>
      </c>
    </row>
    <row r="2954" spans="1:16" x14ac:dyDescent="0.25">
      <c r="A2954" s="10">
        <v>41985</v>
      </c>
      <c r="B2954">
        <v>-11283.79441162018</v>
      </c>
      <c r="C2954">
        <v>771.99800000000005</v>
      </c>
      <c r="D2954">
        <v>-1000</v>
      </c>
      <c r="E2954">
        <v>12000</v>
      </c>
      <c r="F2954">
        <v>0</v>
      </c>
      <c r="G2954">
        <v>-14680.78113392</v>
      </c>
      <c r="H2954">
        <v>-9791.8155623899966</v>
      </c>
      <c r="I2954">
        <v>0</v>
      </c>
      <c r="J2954">
        <v>0</v>
      </c>
      <c r="K2954">
        <v>1.3700425899999999</v>
      </c>
      <c r="L2954">
        <v>1437.6</v>
      </c>
      <c r="M2954">
        <v>0</v>
      </c>
      <c r="N2954">
        <v>0</v>
      </c>
      <c r="O2954">
        <v>-22.165757900186509</v>
      </c>
      <c r="P2954">
        <v>423741.83568649978</v>
      </c>
    </row>
    <row r="2955" spans="1:16" x14ac:dyDescent="0.25">
      <c r="A2955" s="10">
        <v>41988</v>
      </c>
      <c r="B2955">
        <v>10206.23647839011</v>
      </c>
      <c r="C2955">
        <v>574.11899999999991</v>
      </c>
      <c r="D2955">
        <v>0</v>
      </c>
      <c r="E2955">
        <v>0</v>
      </c>
      <c r="F2955">
        <v>0</v>
      </c>
      <c r="G2955">
        <v>-544.22955872000114</v>
      </c>
      <c r="H2955">
        <v>8577.0842215499979</v>
      </c>
      <c r="I2955">
        <v>0</v>
      </c>
      <c r="J2955">
        <v>0</v>
      </c>
      <c r="K2955">
        <v>15.2178966</v>
      </c>
      <c r="L2955">
        <v>1440.5</v>
      </c>
      <c r="M2955">
        <v>0</v>
      </c>
      <c r="N2955">
        <v>0</v>
      </c>
      <c r="O2955">
        <v>143.54491896011791</v>
      </c>
      <c r="P2955">
        <v>433948.07216488989</v>
      </c>
    </row>
    <row r="2956" spans="1:16" x14ac:dyDescent="0.25">
      <c r="A2956" s="10">
        <v>41989</v>
      </c>
      <c r="B2956">
        <v>9311.1592761298525</v>
      </c>
      <c r="C2956">
        <v>1725.38994</v>
      </c>
      <c r="D2956">
        <v>0</v>
      </c>
      <c r="E2956">
        <v>4000</v>
      </c>
      <c r="F2956">
        <v>0</v>
      </c>
      <c r="G2956">
        <v>312.38419421000071</v>
      </c>
      <c r="H2956">
        <v>2422.2208635800021</v>
      </c>
      <c r="I2956">
        <v>0</v>
      </c>
      <c r="J2956">
        <v>0</v>
      </c>
      <c r="K2956">
        <v>1.9724165300000001</v>
      </c>
      <c r="L2956">
        <v>956.2</v>
      </c>
      <c r="M2956">
        <v>0</v>
      </c>
      <c r="N2956">
        <v>0</v>
      </c>
      <c r="O2956">
        <v>-107.0081381901513</v>
      </c>
      <c r="P2956">
        <v>443259.2314410198</v>
      </c>
    </row>
    <row r="2957" spans="1:16" x14ac:dyDescent="0.25">
      <c r="A2957" s="10">
        <v>41990</v>
      </c>
      <c r="B2957">
        <v>4430.6032652400909</v>
      </c>
      <c r="C2957">
        <v>2294.201</v>
      </c>
      <c r="D2957">
        <v>0</v>
      </c>
      <c r="E2957">
        <v>0</v>
      </c>
      <c r="F2957">
        <v>0</v>
      </c>
      <c r="G2957">
        <v>1665.0105489500011</v>
      </c>
      <c r="H2957">
        <v>-526.07351181000013</v>
      </c>
      <c r="I2957">
        <v>0</v>
      </c>
      <c r="J2957">
        <v>0.52234219000001758</v>
      </c>
      <c r="K2957">
        <v>1.49444307</v>
      </c>
      <c r="L2957">
        <v>466.7</v>
      </c>
      <c r="M2957">
        <v>0</v>
      </c>
      <c r="N2957">
        <v>0</v>
      </c>
      <c r="O2957">
        <v>528.74844284008941</v>
      </c>
      <c r="P2957">
        <v>447689.83470625989</v>
      </c>
    </row>
    <row r="2958" spans="1:16" x14ac:dyDescent="0.25">
      <c r="A2958" s="10">
        <v>41991</v>
      </c>
      <c r="B2958">
        <v>2940.7084676502268</v>
      </c>
      <c r="C2958">
        <v>940.5</v>
      </c>
      <c r="D2958">
        <v>0</v>
      </c>
      <c r="E2958">
        <v>0</v>
      </c>
      <c r="F2958">
        <v>0</v>
      </c>
      <c r="G2958">
        <v>1508.2616221499991</v>
      </c>
      <c r="H2958">
        <v>566.47053831999983</v>
      </c>
      <c r="I2958">
        <v>0</v>
      </c>
      <c r="J2958">
        <v>0</v>
      </c>
      <c r="K2958">
        <v>1.5456583100000001</v>
      </c>
      <c r="L2958">
        <v>-34.099999999999987</v>
      </c>
      <c r="M2958">
        <v>0</v>
      </c>
      <c r="N2958">
        <v>0</v>
      </c>
      <c r="O2958">
        <v>-41.969351129772441</v>
      </c>
      <c r="P2958">
        <v>450630.54317391012</v>
      </c>
    </row>
    <row r="2959" spans="1:16" x14ac:dyDescent="0.25">
      <c r="A2959" s="10">
        <v>41992</v>
      </c>
      <c r="B2959">
        <v>4876.8846974298367</v>
      </c>
      <c r="C2959">
        <v>256.21159999999998</v>
      </c>
      <c r="D2959">
        <v>-8500</v>
      </c>
      <c r="E2959">
        <v>0</v>
      </c>
      <c r="F2959">
        <v>0</v>
      </c>
      <c r="G2959">
        <v>11418.80542044</v>
      </c>
      <c r="H2959">
        <v>1734.1440960699999</v>
      </c>
      <c r="I2959">
        <v>0</v>
      </c>
      <c r="J2959">
        <v>0</v>
      </c>
      <c r="K2959">
        <v>1.64606378</v>
      </c>
      <c r="L2959">
        <v>0</v>
      </c>
      <c r="M2959">
        <v>0</v>
      </c>
      <c r="N2959">
        <v>0</v>
      </c>
      <c r="O2959">
        <v>-33.922482860163839</v>
      </c>
      <c r="P2959">
        <v>455507.42787134001</v>
      </c>
    </row>
    <row r="2960" spans="1:16" x14ac:dyDescent="0.25">
      <c r="A2960" s="10">
        <v>41995</v>
      </c>
      <c r="B2960">
        <v>1087.520776500111</v>
      </c>
      <c r="C2960">
        <v>179.65899999999999</v>
      </c>
      <c r="D2960">
        <v>34838.447721930002</v>
      </c>
      <c r="E2960">
        <v>0</v>
      </c>
      <c r="F2960">
        <v>0</v>
      </c>
      <c r="G2960">
        <v>-32924.921254859997</v>
      </c>
      <c r="H2960">
        <v>-737.4777958199993</v>
      </c>
      <c r="I2960">
        <v>0</v>
      </c>
      <c r="J2960">
        <v>0</v>
      </c>
      <c r="K2960">
        <v>4.41553124</v>
      </c>
      <c r="L2960">
        <v>0</v>
      </c>
      <c r="M2960">
        <v>0</v>
      </c>
      <c r="N2960">
        <v>0</v>
      </c>
      <c r="O2960">
        <v>-272.60242598988782</v>
      </c>
      <c r="P2960">
        <v>456594.94864784012</v>
      </c>
    </row>
    <row r="2961" spans="1:16" x14ac:dyDescent="0.25">
      <c r="A2961" s="10">
        <v>41996</v>
      </c>
      <c r="B2961">
        <v>-8615.9530389298998</v>
      </c>
      <c r="C2961">
        <v>778.79700000000003</v>
      </c>
      <c r="D2961">
        <v>0</v>
      </c>
      <c r="E2961">
        <v>8000</v>
      </c>
      <c r="F2961">
        <v>0</v>
      </c>
      <c r="G2961">
        <v>-8173.7673181299997</v>
      </c>
      <c r="H2961">
        <v>-9230.6219320200016</v>
      </c>
      <c r="I2961">
        <v>0</v>
      </c>
      <c r="J2961">
        <v>6.0472842600001968</v>
      </c>
      <c r="K2961">
        <v>1.66666757</v>
      </c>
      <c r="L2961">
        <v>0</v>
      </c>
      <c r="M2961">
        <v>0</v>
      </c>
      <c r="N2961">
        <v>0</v>
      </c>
      <c r="O2961">
        <v>1.925259390099747</v>
      </c>
      <c r="P2961">
        <v>447978.99560891022</v>
      </c>
    </row>
    <row r="2962" spans="1:16" x14ac:dyDescent="0.25">
      <c r="A2962" s="10">
        <v>41997</v>
      </c>
      <c r="B2962">
        <v>-615.51929805992359</v>
      </c>
      <c r="C2962">
        <v>-83.684000000000012</v>
      </c>
      <c r="D2962">
        <v>0</v>
      </c>
      <c r="E2962">
        <v>0</v>
      </c>
      <c r="F2962">
        <v>0</v>
      </c>
      <c r="G2962">
        <v>-4</v>
      </c>
      <c r="H2962">
        <v>-538.06760203999875</v>
      </c>
      <c r="I2962">
        <v>0</v>
      </c>
      <c r="J2962">
        <v>0</v>
      </c>
      <c r="K2962">
        <v>3.989039130000001</v>
      </c>
      <c r="L2962">
        <v>-13.844754449988921</v>
      </c>
      <c r="M2962">
        <v>0</v>
      </c>
      <c r="N2962">
        <v>0</v>
      </c>
      <c r="O2962">
        <v>20.088019300064051</v>
      </c>
      <c r="P2962">
        <v>447363.47631085018</v>
      </c>
    </row>
    <row r="2963" spans="1:16" x14ac:dyDescent="0.25">
      <c r="A2963" s="10">
        <v>42002</v>
      </c>
      <c r="B2963">
        <v>29226.304946839631</v>
      </c>
      <c r="C2963">
        <v>-139.946</v>
      </c>
      <c r="D2963">
        <v>0</v>
      </c>
      <c r="E2963">
        <v>0</v>
      </c>
      <c r="F2963">
        <v>0</v>
      </c>
      <c r="G2963">
        <v>28932.574645739998</v>
      </c>
      <c r="H2963">
        <v>400.73564901999998</v>
      </c>
      <c r="I2963">
        <v>0</v>
      </c>
      <c r="J2963">
        <v>0</v>
      </c>
      <c r="K2963">
        <v>23.809303289999999</v>
      </c>
      <c r="L2963">
        <v>0</v>
      </c>
      <c r="M2963">
        <v>0</v>
      </c>
      <c r="N2963">
        <v>0</v>
      </c>
      <c r="O2963">
        <v>9.1313487896288272</v>
      </c>
      <c r="P2963">
        <v>476589.78125768987</v>
      </c>
    </row>
    <row r="2964" spans="1:16" x14ac:dyDescent="0.25">
      <c r="A2964" s="10">
        <v>42003</v>
      </c>
      <c r="B2964">
        <v>-14025.30583184981</v>
      </c>
      <c r="C2964">
        <v>445.56099999999998</v>
      </c>
      <c r="D2964">
        <v>0</v>
      </c>
      <c r="E2964">
        <v>0</v>
      </c>
      <c r="F2964">
        <v>0</v>
      </c>
      <c r="G2964">
        <v>320.37380846000002</v>
      </c>
      <c r="H2964">
        <v>-14707.53290471</v>
      </c>
      <c r="I2964">
        <v>0</v>
      </c>
      <c r="J2964">
        <v>0</v>
      </c>
      <c r="K2964">
        <v>4.5046510899999994</v>
      </c>
      <c r="L2964">
        <v>0</v>
      </c>
      <c r="M2964">
        <v>0</v>
      </c>
      <c r="N2964">
        <v>0</v>
      </c>
      <c r="O2964">
        <v>-88.212386689805498</v>
      </c>
      <c r="P2964">
        <v>462564.47542584012</v>
      </c>
    </row>
    <row r="2965" spans="1:16" x14ac:dyDescent="0.25">
      <c r="A2965" s="10">
        <v>42006</v>
      </c>
      <c r="B2965">
        <v>3297.0646217799522</v>
      </c>
      <c r="C2965">
        <v>46.076034</v>
      </c>
      <c r="D2965">
        <v>0</v>
      </c>
      <c r="E2965">
        <v>0</v>
      </c>
      <c r="F2965">
        <v>0</v>
      </c>
      <c r="G2965">
        <v>-658</v>
      </c>
      <c r="H2965">
        <v>5110.5775034899998</v>
      </c>
      <c r="I2965">
        <v>0</v>
      </c>
      <c r="J2965">
        <v>0</v>
      </c>
      <c r="K2965">
        <v>23.972728249999999</v>
      </c>
      <c r="L2965">
        <v>-1520.88</v>
      </c>
      <c r="M2965">
        <v>0</v>
      </c>
      <c r="N2965">
        <v>0</v>
      </c>
      <c r="O2965">
        <v>295.31835603995279</v>
      </c>
      <c r="P2965">
        <v>465861.54004762002</v>
      </c>
    </row>
    <row r="2966" spans="1:16" x14ac:dyDescent="0.25">
      <c r="A2966" s="10">
        <v>42009</v>
      </c>
      <c r="B2966">
        <v>-882.52129242016372</v>
      </c>
      <c r="C2966">
        <v>-267.11950000000002</v>
      </c>
      <c r="D2966">
        <v>0</v>
      </c>
      <c r="E2966">
        <v>0</v>
      </c>
      <c r="F2966">
        <v>0</v>
      </c>
      <c r="G2966">
        <v>-644.57372408000003</v>
      </c>
      <c r="H2966">
        <v>85.288260050001554</v>
      </c>
      <c r="I2966">
        <v>0</v>
      </c>
      <c r="J2966">
        <v>0</v>
      </c>
      <c r="K2966">
        <v>23.68779314</v>
      </c>
      <c r="L2966">
        <v>0</v>
      </c>
      <c r="M2966">
        <v>0</v>
      </c>
      <c r="N2966">
        <v>0</v>
      </c>
      <c r="O2966">
        <v>-79.804121530165233</v>
      </c>
      <c r="P2966">
        <v>464979.01875519991</v>
      </c>
    </row>
    <row r="2967" spans="1:16" x14ac:dyDescent="0.25">
      <c r="A2967" s="10">
        <v>42010</v>
      </c>
      <c r="B2967">
        <v>29.637611610349211</v>
      </c>
      <c r="C2967">
        <v>-484.52699999999999</v>
      </c>
      <c r="D2967">
        <v>0</v>
      </c>
      <c r="E2967">
        <v>0</v>
      </c>
      <c r="F2967">
        <v>0</v>
      </c>
      <c r="G2967">
        <v>390.58337130000012</v>
      </c>
      <c r="H2967">
        <v>-48.072044289998303</v>
      </c>
      <c r="I2967">
        <v>0</v>
      </c>
      <c r="J2967">
        <v>0</v>
      </c>
      <c r="K2967">
        <v>7.14491911</v>
      </c>
      <c r="L2967">
        <v>0</v>
      </c>
      <c r="M2967">
        <v>0</v>
      </c>
      <c r="N2967">
        <v>0</v>
      </c>
      <c r="O2967">
        <v>164.5083654903475</v>
      </c>
      <c r="P2967">
        <v>465008.6563668102</v>
      </c>
    </row>
    <row r="2968" spans="1:16" x14ac:dyDescent="0.25">
      <c r="A2968" s="10">
        <v>42011</v>
      </c>
      <c r="B2968">
        <v>-6264.8637932103584</v>
      </c>
      <c r="C2968">
        <v>-592.66259700000001</v>
      </c>
      <c r="D2968">
        <v>0</v>
      </c>
      <c r="E2968">
        <v>0</v>
      </c>
      <c r="F2968">
        <v>0</v>
      </c>
      <c r="G2968">
        <v>-469.11264820999997</v>
      </c>
      <c r="H2968">
        <v>1129.4853808400039</v>
      </c>
      <c r="I2968">
        <v>0</v>
      </c>
      <c r="J2968">
        <v>15.26999999999998</v>
      </c>
      <c r="K2968">
        <v>6.0692087999999993</v>
      </c>
      <c r="L2968">
        <v>-6728.7</v>
      </c>
      <c r="M2968">
        <v>0</v>
      </c>
      <c r="N2968">
        <v>0</v>
      </c>
      <c r="O2968">
        <v>374.78686235963761</v>
      </c>
      <c r="P2968">
        <v>458743.79257359979</v>
      </c>
    </row>
    <row r="2969" spans="1:16" x14ac:dyDescent="0.25">
      <c r="A2969" s="10">
        <v>42012</v>
      </c>
      <c r="B2969">
        <v>2048.0604445800432</v>
      </c>
      <c r="C2969">
        <v>-169.83850000000001</v>
      </c>
      <c r="D2969">
        <v>0</v>
      </c>
      <c r="E2969">
        <v>0</v>
      </c>
      <c r="F2969">
        <v>0</v>
      </c>
      <c r="G2969">
        <v>767.71240473</v>
      </c>
      <c r="H2969">
        <v>1425.406460969996</v>
      </c>
      <c r="I2969">
        <v>0</v>
      </c>
      <c r="J2969">
        <v>12</v>
      </c>
      <c r="K2969">
        <v>5.9245875600000009</v>
      </c>
      <c r="L2969">
        <v>0</v>
      </c>
      <c r="M2969">
        <v>0</v>
      </c>
      <c r="N2969">
        <v>0</v>
      </c>
      <c r="O2969">
        <v>6.855491320046486</v>
      </c>
      <c r="P2969">
        <v>460791.85301817989</v>
      </c>
    </row>
    <row r="2970" spans="1:16" x14ac:dyDescent="0.25">
      <c r="A2970" s="10">
        <v>42013</v>
      </c>
      <c r="B2970">
        <v>964.48252103000334</v>
      </c>
      <c r="C2970">
        <v>513.76093800000001</v>
      </c>
      <c r="D2970">
        <v>0</v>
      </c>
      <c r="E2970">
        <v>0</v>
      </c>
      <c r="F2970">
        <v>0</v>
      </c>
      <c r="G2970">
        <v>-504.03360652999987</v>
      </c>
      <c r="H2970">
        <v>1258.7870257500001</v>
      </c>
      <c r="I2970">
        <v>0</v>
      </c>
      <c r="J2970">
        <v>-129.78399999999971</v>
      </c>
      <c r="K2970">
        <v>-27.347082989999819</v>
      </c>
      <c r="L2970">
        <v>0</v>
      </c>
      <c r="M2970">
        <v>0</v>
      </c>
      <c r="N2970">
        <v>0</v>
      </c>
      <c r="O2970">
        <v>-146.90075319999721</v>
      </c>
      <c r="P2970">
        <v>461756.33553920989</v>
      </c>
    </row>
    <row r="2971" spans="1:16" x14ac:dyDescent="0.25">
      <c r="A2971" s="10">
        <v>42016</v>
      </c>
      <c r="B2971">
        <v>1236.426318629995</v>
      </c>
      <c r="C2971">
        <v>342.72899999999998</v>
      </c>
      <c r="D2971">
        <v>0</v>
      </c>
      <c r="E2971">
        <v>0</v>
      </c>
      <c r="F2971">
        <v>0</v>
      </c>
      <c r="G2971">
        <v>-210.27823421000019</v>
      </c>
      <c r="H2971">
        <v>1719.5018813900019</v>
      </c>
      <c r="I2971">
        <v>0</v>
      </c>
      <c r="J2971">
        <v>0</v>
      </c>
      <c r="K2971">
        <v>14.5918718</v>
      </c>
      <c r="L2971">
        <v>0</v>
      </c>
      <c r="M2971">
        <v>0</v>
      </c>
      <c r="N2971">
        <v>0</v>
      </c>
      <c r="O2971">
        <v>-630.11820035000733</v>
      </c>
      <c r="P2971">
        <v>462992.76185783988</v>
      </c>
    </row>
    <row r="2972" spans="1:16" x14ac:dyDescent="0.25">
      <c r="A2972" s="10">
        <v>42017</v>
      </c>
      <c r="B2972">
        <v>1821.652528439997</v>
      </c>
      <c r="C2972">
        <v>22.576896999999999</v>
      </c>
      <c r="D2972">
        <v>0</v>
      </c>
      <c r="E2972">
        <v>0</v>
      </c>
      <c r="F2972">
        <v>0</v>
      </c>
      <c r="G2972">
        <v>-20.125647749999871</v>
      </c>
      <c r="H2972">
        <v>1896.980733709999</v>
      </c>
      <c r="I2972">
        <v>0</v>
      </c>
      <c r="J2972">
        <v>0</v>
      </c>
      <c r="K2972">
        <v>10.71400313</v>
      </c>
      <c r="L2972">
        <v>0</v>
      </c>
      <c r="M2972">
        <v>0</v>
      </c>
      <c r="N2972">
        <v>0</v>
      </c>
      <c r="O2972">
        <v>-88.493457650002114</v>
      </c>
      <c r="P2972">
        <v>464814.41438627988</v>
      </c>
    </row>
    <row r="2973" spans="1:16" x14ac:dyDescent="0.25">
      <c r="A2973" s="10">
        <v>42018</v>
      </c>
      <c r="B2973">
        <v>-9702.9496558996652</v>
      </c>
      <c r="C2973">
        <v>-222.13399999999999</v>
      </c>
      <c r="D2973">
        <v>0</v>
      </c>
      <c r="E2973">
        <v>0</v>
      </c>
      <c r="F2973">
        <v>0</v>
      </c>
      <c r="G2973">
        <v>-67.564716659999974</v>
      </c>
      <c r="H2973">
        <v>-5865.8227888300034</v>
      </c>
      <c r="I2973">
        <v>0</v>
      </c>
      <c r="J2973">
        <v>0</v>
      </c>
      <c r="K2973">
        <v>3.78345705</v>
      </c>
      <c r="L2973">
        <v>-3891.4</v>
      </c>
      <c r="M2973">
        <v>0</v>
      </c>
      <c r="N2973">
        <v>0</v>
      </c>
      <c r="O2973">
        <v>340.1883925403381</v>
      </c>
      <c r="P2973">
        <v>455111.46473038022</v>
      </c>
    </row>
    <row r="2974" spans="1:16" x14ac:dyDescent="0.25">
      <c r="A2974" s="10">
        <v>42019</v>
      </c>
      <c r="B2974">
        <v>26.6640259498398</v>
      </c>
      <c r="C2974">
        <v>-235.18039400000001</v>
      </c>
      <c r="D2974">
        <v>0</v>
      </c>
      <c r="E2974">
        <v>-9000</v>
      </c>
      <c r="F2974">
        <v>0</v>
      </c>
      <c r="G2974">
        <v>9469.4513423400003</v>
      </c>
      <c r="H2974">
        <v>-127.6706622799975</v>
      </c>
      <c r="I2974">
        <v>0</v>
      </c>
      <c r="J2974">
        <v>0</v>
      </c>
      <c r="K2974">
        <v>7.5462261100000001</v>
      </c>
      <c r="L2974">
        <v>-54.099999999999987</v>
      </c>
      <c r="M2974">
        <v>0</v>
      </c>
      <c r="N2974">
        <v>0</v>
      </c>
      <c r="O2974">
        <v>-33.382486220163997</v>
      </c>
      <c r="P2974">
        <v>455138.12875633012</v>
      </c>
    </row>
    <row r="2975" spans="1:16" x14ac:dyDescent="0.25">
      <c r="A2975" s="10">
        <v>42020</v>
      </c>
      <c r="B2975">
        <v>-2342.6228833599012</v>
      </c>
      <c r="C2975">
        <v>83.790500000000009</v>
      </c>
      <c r="D2975">
        <v>0</v>
      </c>
      <c r="E2975">
        <v>0</v>
      </c>
      <c r="F2975">
        <v>0</v>
      </c>
      <c r="G2975">
        <v>-533.39018547000001</v>
      </c>
      <c r="H2975">
        <v>-1848.633736019998</v>
      </c>
      <c r="I2975">
        <v>0</v>
      </c>
      <c r="J2975">
        <v>0</v>
      </c>
      <c r="K2975">
        <v>6.9842228100000012</v>
      </c>
      <c r="L2975">
        <v>0</v>
      </c>
      <c r="M2975">
        <v>0</v>
      </c>
      <c r="N2975">
        <v>0</v>
      </c>
      <c r="O2975">
        <v>-51.373684679902723</v>
      </c>
      <c r="P2975">
        <v>452795.50587297021</v>
      </c>
    </row>
    <row r="2976" spans="1:16" x14ac:dyDescent="0.25">
      <c r="A2976" s="10">
        <v>42023</v>
      </c>
      <c r="B2976">
        <v>-8.1481926504057611</v>
      </c>
      <c r="C2976">
        <v>102.51</v>
      </c>
      <c r="D2976">
        <v>0</v>
      </c>
      <c r="E2976">
        <v>0</v>
      </c>
      <c r="F2976">
        <v>0</v>
      </c>
      <c r="G2976">
        <v>620.67012446999991</v>
      </c>
      <c r="H2976">
        <v>-741.357340630002</v>
      </c>
      <c r="I2976">
        <v>0</v>
      </c>
      <c r="J2976">
        <v>0</v>
      </c>
      <c r="K2976">
        <v>17.422839150000001</v>
      </c>
      <c r="L2976">
        <v>0</v>
      </c>
      <c r="M2976">
        <v>0</v>
      </c>
      <c r="N2976">
        <v>0</v>
      </c>
      <c r="O2976">
        <v>-7.393815640403659</v>
      </c>
      <c r="P2976">
        <v>452787.35768031981</v>
      </c>
    </row>
    <row r="2977" spans="1:16" x14ac:dyDescent="0.25">
      <c r="A2977" s="10">
        <v>42024</v>
      </c>
      <c r="B2977">
        <v>1834.680434259993</v>
      </c>
      <c r="C2977">
        <v>-202.36250000000001</v>
      </c>
      <c r="D2977">
        <v>0</v>
      </c>
      <c r="E2977">
        <v>0</v>
      </c>
      <c r="F2977">
        <v>0</v>
      </c>
      <c r="G2977">
        <v>608.96300870999994</v>
      </c>
      <c r="H2977">
        <v>1472.3594228299989</v>
      </c>
      <c r="I2977">
        <v>0</v>
      </c>
      <c r="J2977">
        <v>2.016000000000076</v>
      </c>
      <c r="K2977">
        <v>8.0319335800000005</v>
      </c>
      <c r="L2977">
        <v>0</v>
      </c>
      <c r="M2977">
        <v>0</v>
      </c>
      <c r="N2977">
        <v>0</v>
      </c>
      <c r="O2977">
        <v>-54.327430860006508</v>
      </c>
      <c r="P2977">
        <v>454622.03811457969</v>
      </c>
    </row>
    <row r="2978" spans="1:16" x14ac:dyDescent="0.25">
      <c r="A2978" s="10">
        <v>42025</v>
      </c>
      <c r="B2978">
        <v>-11810.99287038972</v>
      </c>
      <c r="C2978">
        <v>-138.51</v>
      </c>
      <c r="D2978">
        <v>0</v>
      </c>
      <c r="E2978">
        <v>0</v>
      </c>
      <c r="F2978">
        <v>0</v>
      </c>
      <c r="G2978">
        <v>-1017.44856107</v>
      </c>
      <c r="H2978">
        <v>1364.030594860003</v>
      </c>
      <c r="I2978">
        <v>0</v>
      </c>
      <c r="J2978">
        <v>0</v>
      </c>
      <c r="K2978">
        <v>10.4379519</v>
      </c>
      <c r="L2978">
        <v>-11923.7</v>
      </c>
      <c r="M2978">
        <v>0</v>
      </c>
      <c r="N2978">
        <v>0</v>
      </c>
      <c r="O2978">
        <v>-105.80285607972149</v>
      </c>
      <c r="P2978">
        <v>442811.04524419003</v>
      </c>
    </row>
    <row r="2979" spans="1:16" x14ac:dyDescent="0.25">
      <c r="A2979" s="10">
        <v>42026</v>
      </c>
      <c r="B2979">
        <v>-320.59034231002568</v>
      </c>
      <c r="C2979">
        <v>-208.48599999999999</v>
      </c>
      <c r="D2979">
        <v>0</v>
      </c>
      <c r="E2979">
        <v>7100</v>
      </c>
      <c r="F2979">
        <v>0</v>
      </c>
      <c r="G2979">
        <v>-6201.2419448000001</v>
      </c>
      <c r="H2979">
        <v>-1034.0470692500021</v>
      </c>
      <c r="I2979">
        <v>0</v>
      </c>
      <c r="J2979">
        <v>0</v>
      </c>
      <c r="K2979">
        <v>9.995862200000003</v>
      </c>
      <c r="L2979">
        <v>0</v>
      </c>
      <c r="M2979">
        <v>0</v>
      </c>
      <c r="N2979">
        <v>0</v>
      </c>
      <c r="O2979">
        <v>13.188809539976299</v>
      </c>
      <c r="P2979">
        <v>442490.45490188</v>
      </c>
    </row>
    <row r="2980" spans="1:16" x14ac:dyDescent="0.25">
      <c r="A2980" s="10">
        <v>42027</v>
      </c>
      <c r="B2980">
        <v>1825.0185934399469</v>
      </c>
      <c r="C2980">
        <v>-80.805369999999996</v>
      </c>
      <c r="D2980">
        <v>0</v>
      </c>
      <c r="E2980">
        <v>0</v>
      </c>
      <c r="F2980">
        <v>0</v>
      </c>
      <c r="G2980">
        <v>145.47105938999999</v>
      </c>
      <c r="H2980">
        <v>1721.76574658</v>
      </c>
      <c r="I2980">
        <v>0</v>
      </c>
      <c r="J2980">
        <v>0</v>
      </c>
      <c r="K2980">
        <v>9.2947068300000009</v>
      </c>
      <c r="L2980">
        <v>0</v>
      </c>
      <c r="M2980">
        <v>0</v>
      </c>
      <c r="N2980">
        <v>0</v>
      </c>
      <c r="O2980">
        <v>29.292450639946718</v>
      </c>
      <c r="P2980">
        <v>444315.47349532001</v>
      </c>
    </row>
    <row r="2981" spans="1:16" x14ac:dyDescent="0.25">
      <c r="A2981" s="10">
        <v>42030</v>
      </c>
      <c r="B2981">
        <v>-6183.5319717901866</v>
      </c>
      <c r="C2981">
        <v>-701.327</v>
      </c>
      <c r="D2981">
        <v>0</v>
      </c>
      <c r="E2981">
        <v>0</v>
      </c>
      <c r="F2981">
        <v>0</v>
      </c>
      <c r="G2981">
        <v>-392.24040740999999</v>
      </c>
      <c r="H2981">
        <v>-4997.6271105399974</v>
      </c>
      <c r="I2981">
        <v>0</v>
      </c>
      <c r="J2981">
        <v>0.15000000000009089</v>
      </c>
      <c r="K2981">
        <v>12.77805135</v>
      </c>
      <c r="L2981">
        <v>0</v>
      </c>
      <c r="M2981">
        <v>0</v>
      </c>
      <c r="N2981">
        <v>0</v>
      </c>
      <c r="O2981">
        <v>-105.2655051901898</v>
      </c>
      <c r="P2981">
        <v>438131.94152352982</v>
      </c>
    </row>
    <row r="2982" spans="1:16" x14ac:dyDescent="0.25">
      <c r="A2982" s="10">
        <v>42031</v>
      </c>
      <c r="B2982">
        <v>1456.1194755599131</v>
      </c>
      <c r="C2982">
        <v>-42.111499999999992</v>
      </c>
      <c r="D2982">
        <v>0</v>
      </c>
      <c r="E2982">
        <v>0</v>
      </c>
      <c r="F2982">
        <v>0</v>
      </c>
      <c r="G2982">
        <v>464.83647330999997</v>
      </c>
      <c r="H2982">
        <v>1027.340735709997</v>
      </c>
      <c r="I2982">
        <v>0</v>
      </c>
      <c r="J2982">
        <v>4.6928389999998217</v>
      </c>
      <c r="K2982">
        <v>8.4542631499999992</v>
      </c>
      <c r="L2982">
        <v>0</v>
      </c>
      <c r="M2982">
        <v>0</v>
      </c>
      <c r="N2982">
        <v>0</v>
      </c>
      <c r="O2982">
        <v>-7.0933356100832956</v>
      </c>
      <c r="P2982">
        <v>439588.06099908968</v>
      </c>
    </row>
    <row r="2983" spans="1:16" x14ac:dyDescent="0.25">
      <c r="A2983" s="10">
        <v>42032</v>
      </c>
      <c r="B2983">
        <v>-1816.4823697595859</v>
      </c>
      <c r="C2983">
        <v>228.135527</v>
      </c>
      <c r="D2983">
        <v>0</v>
      </c>
      <c r="E2983">
        <v>0</v>
      </c>
      <c r="F2983">
        <v>0</v>
      </c>
      <c r="G2983">
        <v>-298.95919264999998</v>
      </c>
      <c r="H2983">
        <v>424.67245580000599</v>
      </c>
      <c r="I2983">
        <v>0</v>
      </c>
      <c r="J2983">
        <v>0</v>
      </c>
      <c r="K2983">
        <v>7.5284023700000029</v>
      </c>
      <c r="L2983">
        <v>-2142.9</v>
      </c>
      <c r="M2983">
        <v>0</v>
      </c>
      <c r="N2983">
        <v>0</v>
      </c>
      <c r="O2983">
        <v>-34.959562279592227</v>
      </c>
      <c r="P2983">
        <v>437771.57862933009</v>
      </c>
    </row>
    <row r="2984" spans="1:16" x14ac:dyDescent="0.25">
      <c r="A2984" s="10">
        <v>42033</v>
      </c>
      <c r="B2984">
        <v>6963.1262900399161</v>
      </c>
      <c r="C2984">
        <v>288.315</v>
      </c>
      <c r="D2984">
        <v>0</v>
      </c>
      <c r="E2984">
        <v>0</v>
      </c>
      <c r="F2984">
        <v>0</v>
      </c>
      <c r="G2984">
        <v>5188.9072089400006</v>
      </c>
      <c r="H2984">
        <v>1511.068667510001</v>
      </c>
      <c r="I2984">
        <v>0</v>
      </c>
      <c r="J2984">
        <v>0</v>
      </c>
      <c r="K2984">
        <v>10.05279558</v>
      </c>
      <c r="L2984">
        <v>0</v>
      </c>
      <c r="M2984">
        <v>0</v>
      </c>
      <c r="N2984">
        <v>0</v>
      </c>
      <c r="O2984">
        <v>-35.217381990084498</v>
      </c>
      <c r="P2984">
        <v>444734.70491936989</v>
      </c>
    </row>
    <row r="2985" spans="1:16" x14ac:dyDescent="0.25">
      <c r="A2985" s="10">
        <v>42034</v>
      </c>
      <c r="B2985">
        <v>3259.740600689895</v>
      </c>
      <c r="C2985">
        <v>70.633239999999958</v>
      </c>
      <c r="D2985">
        <v>0</v>
      </c>
      <c r="E2985">
        <v>0</v>
      </c>
      <c r="F2985">
        <v>0</v>
      </c>
      <c r="G2985">
        <v>83.915910269999983</v>
      </c>
      <c r="H2985">
        <v>3043.2138240200002</v>
      </c>
      <c r="I2985">
        <v>0</v>
      </c>
      <c r="J2985">
        <v>0</v>
      </c>
      <c r="K2985">
        <v>16.227793670000001</v>
      </c>
      <c r="L2985">
        <v>0</v>
      </c>
      <c r="M2985">
        <v>0</v>
      </c>
      <c r="N2985">
        <v>0</v>
      </c>
      <c r="O2985">
        <v>45.749832729895303</v>
      </c>
      <c r="P2985">
        <v>447994.44552005979</v>
      </c>
    </row>
    <row r="2986" spans="1:16" x14ac:dyDescent="0.25">
      <c r="A2986" s="10">
        <v>42037</v>
      </c>
      <c r="B2986">
        <v>1390.5802542599829</v>
      </c>
      <c r="C2986">
        <v>-276.061936</v>
      </c>
      <c r="D2986">
        <v>-1000</v>
      </c>
      <c r="E2986">
        <v>0</v>
      </c>
      <c r="F2986">
        <v>0</v>
      </c>
      <c r="G2986">
        <v>808.40805011999998</v>
      </c>
      <c r="H2986">
        <v>1876.959171949999</v>
      </c>
      <c r="I2986">
        <v>0</v>
      </c>
      <c r="J2986">
        <v>0</v>
      </c>
      <c r="K2986">
        <v>17.620269709999999</v>
      </c>
      <c r="L2986">
        <v>0</v>
      </c>
      <c r="M2986">
        <v>0</v>
      </c>
      <c r="N2986">
        <v>0</v>
      </c>
      <c r="O2986">
        <v>-36.345301520015347</v>
      </c>
      <c r="P2986">
        <v>449385.02577431989</v>
      </c>
    </row>
    <row r="2987" spans="1:16" x14ac:dyDescent="0.25">
      <c r="A2987" s="10">
        <v>42038</v>
      </c>
      <c r="B2987">
        <v>-3437.49184049014</v>
      </c>
      <c r="C2987">
        <v>-655.17399300000011</v>
      </c>
      <c r="D2987">
        <v>0</v>
      </c>
      <c r="E2987">
        <v>0</v>
      </c>
      <c r="F2987">
        <v>0</v>
      </c>
      <c r="G2987">
        <v>317.34333713000012</v>
      </c>
      <c r="H2987">
        <v>-3071.511503459998</v>
      </c>
      <c r="I2987">
        <v>0</v>
      </c>
      <c r="J2987">
        <v>0</v>
      </c>
      <c r="K2987">
        <v>7.7418429499999997</v>
      </c>
      <c r="L2987">
        <v>0</v>
      </c>
      <c r="M2987">
        <v>0</v>
      </c>
      <c r="N2987">
        <v>0</v>
      </c>
      <c r="O2987">
        <v>-35.89152411014102</v>
      </c>
      <c r="P2987">
        <v>445947.53393382969</v>
      </c>
    </row>
    <row r="2988" spans="1:16" x14ac:dyDescent="0.25">
      <c r="A2988" s="10">
        <v>42039</v>
      </c>
      <c r="B2988">
        <v>3807.2422028799779</v>
      </c>
      <c r="C2988">
        <v>195.98745600000001</v>
      </c>
      <c r="D2988">
        <v>0</v>
      </c>
      <c r="E2988">
        <v>0</v>
      </c>
      <c r="F2988">
        <v>0</v>
      </c>
      <c r="G2988">
        <v>8688.1655451499992</v>
      </c>
      <c r="H2988">
        <v>-2375.298481059996</v>
      </c>
      <c r="I2988">
        <v>0</v>
      </c>
      <c r="J2988">
        <v>4.8041517199999362</v>
      </c>
      <c r="K2988">
        <v>9.3671495799999995</v>
      </c>
      <c r="L2988">
        <v>-2684.3</v>
      </c>
      <c r="M2988">
        <v>0</v>
      </c>
      <c r="N2988">
        <v>0</v>
      </c>
      <c r="O2988">
        <v>-31.48361851002592</v>
      </c>
      <c r="P2988">
        <v>449754.77613670973</v>
      </c>
    </row>
    <row r="2989" spans="1:16" x14ac:dyDescent="0.25">
      <c r="A2989" s="10">
        <v>42040</v>
      </c>
      <c r="B2989">
        <v>2204.387214560119</v>
      </c>
      <c r="C2989">
        <v>665.04205300000001</v>
      </c>
      <c r="D2989">
        <v>0</v>
      </c>
      <c r="E2989">
        <v>1300</v>
      </c>
      <c r="F2989">
        <v>0</v>
      </c>
      <c r="G2989">
        <v>-636.37297834999981</v>
      </c>
      <c r="H2989">
        <v>894.15604598999926</v>
      </c>
      <c r="I2989">
        <v>0</v>
      </c>
      <c r="J2989">
        <v>0</v>
      </c>
      <c r="K2989">
        <v>5.6349015399999978</v>
      </c>
      <c r="L2989">
        <v>0</v>
      </c>
      <c r="M2989">
        <v>0</v>
      </c>
      <c r="N2989">
        <v>0</v>
      </c>
      <c r="O2989">
        <v>-24.072807619880859</v>
      </c>
      <c r="P2989">
        <v>451959.16335126979</v>
      </c>
    </row>
    <row r="2990" spans="1:16" x14ac:dyDescent="0.25">
      <c r="A2990" s="10">
        <v>42041</v>
      </c>
      <c r="B2990">
        <v>744.15675051999278</v>
      </c>
      <c r="C2990">
        <v>884.44896516000006</v>
      </c>
      <c r="D2990">
        <v>0</v>
      </c>
      <c r="E2990">
        <v>0</v>
      </c>
      <c r="F2990">
        <v>0</v>
      </c>
      <c r="G2990">
        <v>-69.032510979999984</v>
      </c>
      <c r="H2990">
        <v>-124.7458724400058</v>
      </c>
      <c r="I2990">
        <v>0</v>
      </c>
      <c r="J2990">
        <v>3.492855999999847</v>
      </c>
      <c r="K2990">
        <v>4.7346555400000003</v>
      </c>
      <c r="L2990">
        <v>0</v>
      </c>
      <c r="M2990">
        <v>0</v>
      </c>
      <c r="N2990">
        <v>0</v>
      </c>
      <c r="O2990">
        <v>45.258657239998641</v>
      </c>
      <c r="P2990">
        <v>452703.32010178978</v>
      </c>
    </row>
    <row r="2991" spans="1:16" x14ac:dyDescent="0.25">
      <c r="A2991" s="10">
        <v>42044</v>
      </c>
      <c r="B2991">
        <v>1333.5543465102669</v>
      </c>
      <c r="C2991">
        <v>-352.37700000000012</v>
      </c>
      <c r="D2991">
        <v>0</v>
      </c>
      <c r="E2991">
        <v>0</v>
      </c>
      <c r="F2991">
        <v>0</v>
      </c>
      <c r="G2991">
        <v>486.4341680199999</v>
      </c>
      <c r="H2991">
        <v>1202.147660920004</v>
      </c>
      <c r="I2991">
        <v>0</v>
      </c>
      <c r="J2991">
        <v>-128.5</v>
      </c>
      <c r="K2991">
        <v>-20.10973828999964</v>
      </c>
      <c r="L2991">
        <v>0</v>
      </c>
      <c r="M2991">
        <v>0</v>
      </c>
      <c r="N2991">
        <v>0</v>
      </c>
      <c r="O2991">
        <v>145.9592558602628</v>
      </c>
      <c r="P2991">
        <v>454036.87444830011</v>
      </c>
    </row>
    <row r="2992" spans="1:16" x14ac:dyDescent="0.25">
      <c r="A2992" s="10">
        <v>42045</v>
      </c>
      <c r="B2992">
        <v>1850.7527224399969</v>
      </c>
      <c r="C2992">
        <v>-418.934597</v>
      </c>
      <c r="D2992">
        <v>0</v>
      </c>
      <c r="E2992">
        <v>0</v>
      </c>
      <c r="F2992">
        <v>0</v>
      </c>
      <c r="G2992">
        <v>-30.419014379999989</v>
      </c>
      <c r="H2992">
        <v>2248.6925291500011</v>
      </c>
      <c r="I2992">
        <v>0</v>
      </c>
      <c r="J2992">
        <v>0</v>
      </c>
      <c r="K2992">
        <v>3.2950831599999999</v>
      </c>
      <c r="L2992">
        <v>70</v>
      </c>
      <c r="M2992">
        <v>0</v>
      </c>
      <c r="N2992">
        <v>0</v>
      </c>
      <c r="O2992">
        <v>-21.88127849000384</v>
      </c>
      <c r="P2992">
        <v>455887.6271707401</v>
      </c>
    </row>
    <row r="2993" spans="1:16" x14ac:dyDescent="0.25">
      <c r="A2993" s="10">
        <v>42046</v>
      </c>
      <c r="B2993">
        <v>-6421.9998166501191</v>
      </c>
      <c r="C2993">
        <v>-403.89452499999999</v>
      </c>
      <c r="D2993">
        <v>0</v>
      </c>
      <c r="E2993">
        <v>0</v>
      </c>
      <c r="F2993">
        <v>0</v>
      </c>
      <c r="G2993">
        <v>81.932971240000029</v>
      </c>
      <c r="H2993">
        <v>383.41730762999941</v>
      </c>
      <c r="I2993">
        <v>0</v>
      </c>
      <c r="J2993">
        <v>0</v>
      </c>
      <c r="K2993">
        <v>8.9087769699999999</v>
      </c>
      <c r="L2993">
        <v>-6483.9000000000005</v>
      </c>
      <c r="M2993">
        <v>0</v>
      </c>
      <c r="N2993">
        <v>0</v>
      </c>
      <c r="O2993">
        <v>-8.4643474901178699</v>
      </c>
      <c r="P2993">
        <v>449465.62735408999</v>
      </c>
    </row>
    <row r="2994" spans="1:16" x14ac:dyDescent="0.25">
      <c r="A2994" s="10">
        <v>42047</v>
      </c>
      <c r="B2994">
        <v>-3111.5891375300721</v>
      </c>
      <c r="C2994">
        <v>-765.33652100000006</v>
      </c>
      <c r="D2994">
        <v>0</v>
      </c>
      <c r="E2994">
        <v>0</v>
      </c>
      <c r="F2994">
        <v>0</v>
      </c>
      <c r="G2994">
        <v>-2261.3831488599999</v>
      </c>
      <c r="H2994">
        <v>176.65317288000369</v>
      </c>
      <c r="I2994">
        <v>0</v>
      </c>
      <c r="J2994">
        <v>189.95515329999989</v>
      </c>
      <c r="K2994">
        <v>8.8315980099999987</v>
      </c>
      <c r="L2994">
        <v>35.099999999999987</v>
      </c>
      <c r="M2994">
        <v>0</v>
      </c>
      <c r="N2994">
        <v>0</v>
      </c>
      <c r="O2994">
        <v>-495.40939186007517</v>
      </c>
      <c r="P2994">
        <v>446354.03821655991</v>
      </c>
    </row>
    <row r="2995" spans="1:16" x14ac:dyDescent="0.25">
      <c r="A2995" s="10">
        <v>42048</v>
      </c>
      <c r="B2995">
        <v>3923.8120592900659</v>
      </c>
      <c r="C2995">
        <v>-408.27965585999999</v>
      </c>
      <c r="D2995">
        <v>-1000</v>
      </c>
      <c r="E2995">
        <v>-2800</v>
      </c>
      <c r="F2995">
        <v>0</v>
      </c>
      <c r="G2995">
        <v>5449.2172163300002</v>
      </c>
      <c r="H2995">
        <v>2674.5111699999979</v>
      </c>
      <c r="I2995">
        <v>0</v>
      </c>
      <c r="J2995">
        <v>0</v>
      </c>
      <c r="K2995">
        <v>8.9260292499999956</v>
      </c>
      <c r="L2995">
        <v>35.099999999999987</v>
      </c>
      <c r="M2995">
        <v>0</v>
      </c>
      <c r="N2995">
        <v>0</v>
      </c>
      <c r="O2995">
        <v>-35.662700429931462</v>
      </c>
      <c r="P2995">
        <v>450277.85027584998</v>
      </c>
    </row>
    <row r="2996" spans="1:16" x14ac:dyDescent="0.25">
      <c r="A2996" s="10">
        <v>42053</v>
      </c>
      <c r="B2996">
        <v>3295.8528005697872</v>
      </c>
      <c r="C2996">
        <v>451.71802332999999</v>
      </c>
      <c r="D2996">
        <v>0</v>
      </c>
      <c r="E2996">
        <v>0</v>
      </c>
      <c r="F2996">
        <v>0</v>
      </c>
      <c r="G2996">
        <v>-439.66339889999978</v>
      </c>
      <c r="H2996">
        <v>2823.891747310005</v>
      </c>
      <c r="I2996">
        <v>0</v>
      </c>
      <c r="J2996">
        <v>0</v>
      </c>
      <c r="K2996">
        <v>20.20910486</v>
      </c>
      <c r="L2996">
        <v>18.799999999999951</v>
      </c>
      <c r="M2996">
        <v>0</v>
      </c>
      <c r="N2996">
        <v>0</v>
      </c>
      <c r="O2996">
        <v>420.89732396978218</v>
      </c>
      <c r="P2996">
        <v>453573.70307641983</v>
      </c>
    </row>
    <row r="2997" spans="1:16" x14ac:dyDescent="0.25">
      <c r="A2997" s="10">
        <v>42054</v>
      </c>
      <c r="B2997">
        <v>-1662.9367506998251</v>
      </c>
      <c r="C2997">
        <v>-2130.7114719800002</v>
      </c>
      <c r="D2997">
        <v>0</v>
      </c>
      <c r="E2997">
        <v>3400</v>
      </c>
      <c r="F2997">
        <v>0</v>
      </c>
      <c r="G2997">
        <v>-3050.1636135799999</v>
      </c>
      <c r="H2997">
        <v>129.04695020999861</v>
      </c>
      <c r="I2997">
        <v>0</v>
      </c>
      <c r="J2997">
        <v>0</v>
      </c>
      <c r="K2997">
        <v>6.6451074999999999</v>
      </c>
      <c r="L2997">
        <v>0</v>
      </c>
      <c r="M2997">
        <v>0</v>
      </c>
      <c r="N2997">
        <v>0</v>
      </c>
      <c r="O2997">
        <v>-17.753722849823038</v>
      </c>
      <c r="P2997">
        <v>451910.76632571989</v>
      </c>
    </row>
    <row r="2998" spans="1:16" x14ac:dyDescent="0.25">
      <c r="A2998" s="10">
        <v>42055</v>
      </c>
      <c r="B2998">
        <v>4026.333717729839</v>
      </c>
      <c r="C2998">
        <v>-79.451650390000012</v>
      </c>
      <c r="D2998">
        <v>0</v>
      </c>
      <c r="E2998">
        <v>-2300</v>
      </c>
      <c r="F2998">
        <v>0</v>
      </c>
      <c r="G2998">
        <v>5874.6341258200009</v>
      </c>
      <c r="H2998">
        <v>555.79357567999978</v>
      </c>
      <c r="I2998">
        <v>0</v>
      </c>
      <c r="J2998">
        <v>0</v>
      </c>
      <c r="K2998">
        <v>6.7982820900000007</v>
      </c>
      <c r="L2998">
        <v>0</v>
      </c>
      <c r="M2998">
        <v>0</v>
      </c>
      <c r="N2998">
        <v>0</v>
      </c>
      <c r="O2998">
        <v>-31.44061547016199</v>
      </c>
      <c r="P2998">
        <v>455937.10004344978</v>
      </c>
    </row>
    <row r="2999" spans="1:16" x14ac:dyDescent="0.25">
      <c r="A2999" s="10">
        <v>42058</v>
      </c>
      <c r="B2999">
        <v>-2660.3225598800932</v>
      </c>
      <c r="C2999">
        <v>-103.32997331</v>
      </c>
      <c r="D2999">
        <v>0</v>
      </c>
      <c r="E2999">
        <v>0</v>
      </c>
      <c r="F2999">
        <v>0</v>
      </c>
      <c r="G2999">
        <v>1188.9408549</v>
      </c>
      <c r="H2999">
        <v>-3730.8685667200011</v>
      </c>
      <c r="I2999">
        <v>0</v>
      </c>
      <c r="J2999">
        <v>0</v>
      </c>
      <c r="K2999">
        <v>7.4274512800000014</v>
      </c>
      <c r="L2999">
        <v>0</v>
      </c>
      <c r="M2999">
        <v>0</v>
      </c>
      <c r="N2999">
        <v>0</v>
      </c>
      <c r="O2999">
        <v>-22.492326030091771</v>
      </c>
      <c r="P2999">
        <v>453276.77748356969</v>
      </c>
    </row>
    <row r="3000" spans="1:16" x14ac:dyDescent="0.25">
      <c r="A3000" s="10">
        <v>42059</v>
      </c>
      <c r="B3000">
        <v>-3928.1803476296459</v>
      </c>
      <c r="C3000">
        <v>-31.999856260000001</v>
      </c>
      <c r="D3000">
        <v>0</v>
      </c>
      <c r="E3000">
        <v>0</v>
      </c>
      <c r="F3000">
        <v>0</v>
      </c>
      <c r="G3000">
        <v>-2186.9395671100001</v>
      </c>
      <c r="H3000">
        <v>-1779.992960490003</v>
      </c>
      <c r="I3000">
        <v>0</v>
      </c>
      <c r="J3000">
        <v>0</v>
      </c>
      <c r="K3000">
        <v>3.9536277599999989</v>
      </c>
      <c r="L3000">
        <v>0</v>
      </c>
      <c r="M3000">
        <v>0</v>
      </c>
      <c r="N3000">
        <v>0</v>
      </c>
      <c r="O3000">
        <v>66.798408470356122</v>
      </c>
      <c r="P3000">
        <v>449348.59713593998</v>
      </c>
    </row>
    <row r="3001" spans="1:16" x14ac:dyDescent="0.25">
      <c r="A3001" s="10">
        <v>42060</v>
      </c>
      <c r="B3001">
        <v>-3514.5005657701408</v>
      </c>
      <c r="C3001">
        <v>-348.11365081000002</v>
      </c>
      <c r="D3001">
        <v>0</v>
      </c>
      <c r="E3001">
        <v>0</v>
      </c>
      <c r="F3001">
        <v>0</v>
      </c>
      <c r="G3001">
        <v>1250.06568705</v>
      </c>
      <c r="H3001">
        <v>1940.966872970002</v>
      </c>
      <c r="I3001">
        <v>0</v>
      </c>
      <c r="J3001">
        <v>0</v>
      </c>
      <c r="K3001">
        <v>7.7077678300000008</v>
      </c>
      <c r="L3001">
        <v>-6366.0999999999995</v>
      </c>
      <c r="M3001">
        <v>0</v>
      </c>
      <c r="N3001">
        <v>0</v>
      </c>
      <c r="O3001">
        <v>0.97275718985583737</v>
      </c>
      <c r="P3001">
        <v>445834.0965701699</v>
      </c>
    </row>
    <row r="3002" spans="1:16" x14ac:dyDescent="0.25">
      <c r="A3002" s="10">
        <v>42061</v>
      </c>
      <c r="B3002">
        <v>-1938.6657549201641</v>
      </c>
      <c r="C3002">
        <v>-1007.60008466</v>
      </c>
      <c r="D3002">
        <v>0</v>
      </c>
      <c r="E3002">
        <v>2300</v>
      </c>
      <c r="F3002">
        <v>0</v>
      </c>
      <c r="G3002">
        <v>-485.65465968999968</v>
      </c>
      <c r="H3002">
        <v>-2759.704186110001</v>
      </c>
      <c r="I3002">
        <v>0</v>
      </c>
      <c r="J3002">
        <v>9.2791835799998807</v>
      </c>
      <c r="K3002">
        <v>6.5654176799999986</v>
      </c>
      <c r="L3002">
        <v>0</v>
      </c>
      <c r="M3002">
        <v>0</v>
      </c>
      <c r="N3002">
        <v>0</v>
      </c>
      <c r="O3002">
        <v>-1.5514257201639341</v>
      </c>
      <c r="P3002">
        <v>443895.43081524968</v>
      </c>
    </row>
    <row r="3003" spans="1:16" x14ac:dyDescent="0.25">
      <c r="A3003" s="10">
        <v>42062</v>
      </c>
      <c r="B3003">
        <v>2512.6024448603871</v>
      </c>
      <c r="C3003">
        <v>1273.08689005</v>
      </c>
      <c r="D3003">
        <v>0</v>
      </c>
      <c r="E3003">
        <v>0</v>
      </c>
      <c r="F3003">
        <v>0</v>
      </c>
      <c r="G3003">
        <v>2229.6724985699998</v>
      </c>
      <c r="H3003">
        <v>-956.19211463999818</v>
      </c>
      <c r="I3003">
        <v>0</v>
      </c>
      <c r="J3003">
        <v>0</v>
      </c>
      <c r="K3003">
        <v>5.4984596800000016</v>
      </c>
      <c r="L3003">
        <v>0</v>
      </c>
      <c r="M3003">
        <v>0</v>
      </c>
      <c r="N3003">
        <v>0</v>
      </c>
      <c r="O3003">
        <v>-39.463288799614567</v>
      </c>
      <c r="P3003">
        <v>446408.03326011013</v>
      </c>
    </row>
    <row r="3004" spans="1:16" x14ac:dyDescent="0.25">
      <c r="A3004" s="10">
        <v>42065</v>
      </c>
      <c r="B3004">
        <v>11148.591554149751</v>
      </c>
      <c r="C3004">
        <v>70.530349999999927</v>
      </c>
      <c r="D3004">
        <v>0</v>
      </c>
      <c r="E3004">
        <v>0</v>
      </c>
      <c r="F3004">
        <v>0</v>
      </c>
      <c r="G3004">
        <v>-24.401259809999981</v>
      </c>
      <c r="H3004">
        <v>11158.0008851</v>
      </c>
      <c r="I3004">
        <v>0</v>
      </c>
      <c r="J3004">
        <v>0</v>
      </c>
      <c r="K3004">
        <v>17.222815140000002</v>
      </c>
      <c r="L3004">
        <v>0</v>
      </c>
      <c r="M3004">
        <v>0</v>
      </c>
      <c r="N3004">
        <v>0</v>
      </c>
      <c r="O3004">
        <v>-72.761236280243978</v>
      </c>
      <c r="P3004">
        <v>457556.62481425988</v>
      </c>
    </row>
    <row r="3005" spans="1:16" x14ac:dyDescent="0.25">
      <c r="A3005" s="10">
        <v>42066</v>
      </c>
      <c r="B3005">
        <v>-372.32382523012302</v>
      </c>
      <c r="C3005">
        <v>-314.91452117</v>
      </c>
      <c r="D3005">
        <v>-1000</v>
      </c>
      <c r="E3005">
        <v>0</v>
      </c>
      <c r="F3005">
        <v>0</v>
      </c>
      <c r="G3005">
        <v>53.631853729999989</v>
      </c>
      <c r="H3005">
        <v>916.99812376999762</v>
      </c>
      <c r="I3005">
        <v>0</v>
      </c>
      <c r="J3005">
        <v>0</v>
      </c>
      <c r="K3005">
        <v>1.4358859799999999</v>
      </c>
      <c r="L3005">
        <v>0</v>
      </c>
      <c r="M3005">
        <v>0</v>
      </c>
      <c r="N3005">
        <v>0</v>
      </c>
      <c r="O3005">
        <v>-29.475167540120751</v>
      </c>
      <c r="P3005">
        <v>457184.30098902981</v>
      </c>
    </row>
    <row r="3006" spans="1:16" x14ac:dyDescent="0.25">
      <c r="A3006" s="10">
        <v>42067</v>
      </c>
      <c r="B3006">
        <v>-3745.539560029807</v>
      </c>
      <c r="C3006">
        <v>-347.65089403000002</v>
      </c>
      <c r="D3006">
        <v>0</v>
      </c>
      <c r="E3006">
        <v>0</v>
      </c>
      <c r="F3006">
        <v>0</v>
      </c>
      <c r="G3006">
        <v>-203.80759965999999</v>
      </c>
      <c r="H3006">
        <v>758.63809284000126</v>
      </c>
      <c r="I3006">
        <v>0</v>
      </c>
      <c r="J3006">
        <v>2.10225483000022</v>
      </c>
      <c r="K3006">
        <v>1.3028155100000001</v>
      </c>
      <c r="L3006">
        <v>-3805.5</v>
      </c>
      <c r="M3006">
        <v>0</v>
      </c>
      <c r="N3006">
        <v>0</v>
      </c>
      <c r="O3006">
        <v>-150.62422951980909</v>
      </c>
      <c r="P3006">
        <v>453438.76142900001</v>
      </c>
    </row>
    <row r="3007" spans="1:16" x14ac:dyDescent="0.25">
      <c r="A3007" s="10">
        <v>42068</v>
      </c>
      <c r="B3007">
        <v>-2518.7751923899618</v>
      </c>
      <c r="C3007">
        <v>-491.03671272000003</v>
      </c>
      <c r="D3007">
        <v>0</v>
      </c>
      <c r="E3007">
        <v>7000</v>
      </c>
      <c r="F3007">
        <v>0</v>
      </c>
      <c r="G3007">
        <v>-7053.6078723199998</v>
      </c>
      <c r="H3007">
        <v>-1914.56136021</v>
      </c>
      <c r="I3007">
        <v>0</v>
      </c>
      <c r="J3007">
        <v>2.10225483000022</v>
      </c>
      <c r="K3007">
        <v>1.200593</v>
      </c>
      <c r="L3007">
        <v>0</v>
      </c>
      <c r="M3007">
        <v>0</v>
      </c>
      <c r="N3007">
        <v>0</v>
      </c>
      <c r="O3007">
        <v>-62.87209496996293</v>
      </c>
      <c r="P3007">
        <v>450919.98623660998</v>
      </c>
    </row>
    <row r="3008" spans="1:16" x14ac:dyDescent="0.25">
      <c r="A3008" s="10">
        <v>42069</v>
      </c>
      <c r="B3008">
        <v>-2469.468191890046</v>
      </c>
      <c r="C3008">
        <v>-235.04773309999999</v>
      </c>
      <c r="D3008">
        <v>0</v>
      </c>
      <c r="E3008">
        <v>-2600</v>
      </c>
      <c r="F3008">
        <v>0</v>
      </c>
      <c r="G3008">
        <v>185.29548790999979</v>
      </c>
      <c r="H3008">
        <v>498.1230118200001</v>
      </c>
      <c r="I3008">
        <v>0</v>
      </c>
      <c r="J3008">
        <v>0</v>
      </c>
      <c r="K3008">
        <v>2.0392273699999999</v>
      </c>
      <c r="L3008">
        <v>0</v>
      </c>
      <c r="M3008">
        <v>0</v>
      </c>
      <c r="N3008">
        <v>0</v>
      </c>
      <c r="O3008">
        <v>-319.87818589004593</v>
      </c>
      <c r="P3008">
        <v>448450.51804471988</v>
      </c>
    </row>
    <row r="3009" spans="1:16" x14ac:dyDescent="0.25">
      <c r="A3009" s="10">
        <v>42072</v>
      </c>
      <c r="B3009">
        <v>5624.714171930158</v>
      </c>
      <c r="C3009">
        <v>-492.512226</v>
      </c>
      <c r="D3009">
        <v>0</v>
      </c>
      <c r="E3009">
        <v>0</v>
      </c>
      <c r="F3009">
        <v>0</v>
      </c>
      <c r="G3009">
        <v>-31.45162864000001</v>
      </c>
      <c r="H3009">
        <v>256.38343293000071</v>
      </c>
      <c r="I3009">
        <v>0</v>
      </c>
      <c r="J3009">
        <v>-132</v>
      </c>
      <c r="K3009">
        <v>-24.185753150000181</v>
      </c>
      <c r="L3009">
        <v>6116.7</v>
      </c>
      <c r="M3009">
        <v>0</v>
      </c>
      <c r="N3009">
        <v>0</v>
      </c>
      <c r="O3009">
        <v>-68.219653209842363</v>
      </c>
      <c r="P3009">
        <v>454075.2322166501</v>
      </c>
    </row>
    <row r="3010" spans="1:16" x14ac:dyDescent="0.25">
      <c r="A3010" s="10">
        <v>42073</v>
      </c>
      <c r="B3010">
        <v>226.48413268977279</v>
      </c>
      <c r="C3010">
        <v>-454.47274499999997</v>
      </c>
      <c r="D3010">
        <v>0</v>
      </c>
      <c r="E3010">
        <v>0</v>
      </c>
      <c r="F3010">
        <v>0</v>
      </c>
      <c r="G3010">
        <v>-759.79127052999991</v>
      </c>
      <c r="H3010">
        <v>1517.1181537299999</v>
      </c>
      <c r="I3010">
        <v>0</v>
      </c>
      <c r="J3010">
        <v>0</v>
      </c>
      <c r="K3010">
        <v>1.53629539</v>
      </c>
      <c r="L3010">
        <v>0</v>
      </c>
      <c r="M3010">
        <v>0</v>
      </c>
      <c r="N3010">
        <v>0</v>
      </c>
      <c r="O3010">
        <v>-77.906300900227023</v>
      </c>
      <c r="P3010">
        <v>454301.71634933993</v>
      </c>
    </row>
    <row r="3011" spans="1:16" x14ac:dyDescent="0.25">
      <c r="A3011" s="10">
        <v>42074</v>
      </c>
      <c r="B3011">
        <v>-3019.7583783199648</v>
      </c>
      <c r="C3011">
        <v>-528.8881419999999</v>
      </c>
      <c r="D3011">
        <v>0</v>
      </c>
      <c r="E3011">
        <v>0</v>
      </c>
      <c r="F3011">
        <v>0</v>
      </c>
      <c r="G3011">
        <v>207.76342672000001</v>
      </c>
      <c r="H3011">
        <v>-884.36893241000143</v>
      </c>
      <c r="I3011">
        <v>0</v>
      </c>
      <c r="J3011">
        <v>0</v>
      </c>
      <c r="K3011">
        <v>1.08542267</v>
      </c>
      <c r="L3011">
        <v>-1795</v>
      </c>
      <c r="M3011">
        <v>0</v>
      </c>
      <c r="N3011">
        <v>0</v>
      </c>
      <c r="O3011">
        <v>-20.350153299964131</v>
      </c>
      <c r="P3011">
        <v>451281.9579710199</v>
      </c>
    </row>
    <row r="3012" spans="1:16" x14ac:dyDescent="0.25">
      <c r="A3012" s="10">
        <v>42075</v>
      </c>
      <c r="B3012">
        <v>3230.7455632000342</v>
      </c>
      <c r="C3012">
        <v>-726.86159799999996</v>
      </c>
      <c r="D3012">
        <v>0</v>
      </c>
      <c r="E3012">
        <v>2400</v>
      </c>
      <c r="F3012">
        <v>0</v>
      </c>
      <c r="G3012">
        <v>-308.89361667000009</v>
      </c>
      <c r="H3012">
        <v>1992.0732659600019</v>
      </c>
      <c r="I3012">
        <v>0</v>
      </c>
      <c r="J3012">
        <v>0</v>
      </c>
      <c r="K3012">
        <v>0.91091185999999991</v>
      </c>
      <c r="L3012">
        <v>0</v>
      </c>
      <c r="M3012">
        <v>0</v>
      </c>
      <c r="N3012">
        <v>0</v>
      </c>
      <c r="O3012">
        <v>-126.4833999499679</v>
      </c>
      <c r="P3012">
        <v>454512.70353421988</v>
      </c>
    </row>
    <row r="3013" spans="1:16" x14ac:dyDescent="0.25">
      <c r="A3013" s="10">
        <v>42076</v>
      </c>
      <c r="B3013">
        <v>-2293.6215841101362</v>
      </c>
      <c r="C3013">
        <v>172.16454899999999</v>
      </c>
      <c r="D3013">
        <v>-1500</v>
      </c>
      <c r="E3013">
        <v>0</v>
      </c>
      <c r="F3013">
        <v>0</v>
      </c>
      <c r="G3013">
        <v>1423.8986776300001</v>
      </c>
      <c r="H3013">
        <v>-2449.9582269899979</v>
      </c>
      <c r="I3013">
        <v>0</v>
      </c>
      <c r="J3013">
        <v>0</v>
      </c>
      <c r="K3013">
        <v>0.99338520000000008</v>
      </c>
      <c r="L3013">
        <v>0</v>
      </c>
      <c r="M3013">
        <v>0</v>
      </c>
      <c r="N3013">
        <v>0</v>
      </c>
      <c r="O3013">
        <v>59.280031049862473</v>
      </c>
      <c r="P3013">
        <v>452219.0819501098</v>
      </c>
    </row>
    <row r="3014" spans="1:16" x14ac:dyDescent="0.25">
      <c r="A3014" s="10">
        <v>42079</v>
      </c>
      <c r="B3014">
        <v>5815.4796687299377</v>
      </c>
      <c r="C3014">
        <v>1064.8112209999999</v>
      </c>
      <c r="D3014">
        <v>0</v>
      </c>
      <c r="E3014">
        <v>0</v>
      </c>
      <c r="F3014">
        <v>0</v>
      </c>
      <c r="G3014">
        <v>5239.8746539399999</v>
      </c>
      <c r="H3014">
        <v>-2303.877606439999</v>
      </c>
      <c r="I3014">
        <v>0</v>
      </c>
      <c r="J3014">
        <v>0</v>
      </c>
      <c r="K3014">
        <v>4.1968000600000002</v>
      </c>
      <c r="L3014">
        <v>1919.1</v>
      </c>
      <c r="M3014">
        <v>0</v>
      </c>
      <c r="N3014">
        <v>0</v>
      </c>
      <c r="O3014">
        <v>-108.6253998300637</v>
      </c>
      <c r="P3014">
        <v>458034.56161883968</v>
      </c>
    </row>
    <row r="3015" spans="1:16" x14ac:dyDescent="0.25">
      <c r="A3015" s="10">
        <v>42080</v>
      </c>
      <c r="B3015">
        <v>-3168.1562736799242</v>
      </c>
      <c r="C3015">
        <v>-578.14291700000001</v>
      </c>
      <c r="D3015">
        <v>0</v>
      </c>
      <c r="E3015">
        <v>0</v>
      </c>
      <c r="F3015">
        <v>0</v>
      </c>
      <c r="G3015">
        <v>-743.25219148999986</v>
      </c>
      <c r="H3015">
        <v>-1814.1333210000009</v>
      </c>
      <c r="I3015">
        <v>0</v>
      </c>
      <c r="J3015">
        <v>0</v>
      </c>
      <c r="K3015">
        <v>1.6974148600000001</v>
      </c>
      <c r="L3015">
        <v>6.0999999999999943</v>
      </c>
      <c r="M3015">
        <v>0</v>
      </c>
      <c r="N3015">
        <v>0</v>
      </c>
      <c r="O3015">
        <v>-40.425259049923078</v>
      </c>
      <c r="P3015">
        <v>454866.40534515987</v>
      </c>
    </row>
    <row r="3016" spans="1:16" x14ac:dyDescent="0.25">
      <c r="A3016" s="10">
        <v>42081</v>
      </c>
      <c r="B3016">
        <v>1108.297860780264</v>
      </c>
      <c r="C3016">
        <v>-322.73695500000002</v>
      </c>
      <c r="D3016">
        <v>0</v>
      </c>
      <c r="E3016">
        <v>0</v>
      </c>
      <c r="F3016">
        <v>0</v>
      </c>
      <c r="G3016">
        <v>238.52007228999989</v>
      </c>
      <c r="H3016">
        <v>1591.118191629999</v>
      </c>
      <c r="I3016">
        <v>0</v>
      </c>
      <c r="J3016">
        <v>0</v>
      </c>
      <c r="K3016">
        <v>2.3987386000000002</v>
      </c>
      <c r="L3016">
        <v>-389.3</v>
      </c>
      <c r="M3016">
        <v>0</v>
      </c>
      <c r="N3016">
        <v>0</v>
      </c>
      <c r="O3016">
        <v>-11.702186739734771</v>
      </c>
      <c r="P3016">
        <v>455974.70320594008</v>
      </c>
    </row>
    <row r="3017" spans="1:16" x14ac:dyDescent="0.25">
      <c r="A3017" s="10">
        <v>42082</v>
      </c>
      <c r="B3017">
        <v>543.63435369974525</v>
      </c>
      <c r="C3017">
        <v>-446.73931800000003</v>
      </c>
      <c r="D3017">
        <v>0</v>
      </c>
      <c r="E3017">
        <v>0</v>
      </c>
      <c r="F3017">
        <v>0</v>
      </c>
      <c r="G3017">
        <v>1088.67366296</v>
      </c>
      <c r="H3017">
        <v>13.526805200001039</v>
      </c>
      <c r="I3017">
        <v>0</v>
      </c>
      <c r="J3017">
        <v>0</v>
      </c>
      <c r="K3017">
        <v>1.86499452</v>
      </c>
      <c r="L3017">
        <v>0</v>
      </c>
      <c r="M3017">
        <v>0</v>
      </c>
      <c r="N3017">
        <v>0</v>
      </c>
      <c r="O3017">
        <v>-113.6917909802557</v>
      </c>
      <c r="P3017">
        <v>456518.33755963983</v>
      </c>
    </row>
    <row r="3018" spans="1:16" x14ac:dyDescent="0.25">
      <c r="A3018" s="10">
        <v>42083</v>
      </c>
      <c r="B3018">
        <v>4323.2881589601739</v>
      </c>
      <c r="C3018">
        <v>-508.66799999999989</v>
      </c>
      <c r="D3018">
        <v>-2500</v>
      </c>
      <c r="E3018">
        <v>0</v>
      </c>
      <c r="F3018">
        <v>0</v>
      </c>
      <c r="G3018">
        <v>-825.3815099100002</v>
      </c>
      <c r="H3018">
        <v>-699.70142877000035</v>
      </c>
      <c r="I3018">
        <v>0</v>
      </c>
      <c r="J3018">
        <v>0</v>
      </c>
      <c r="K3018">
        <v>1.75883681</v>
      </c>
      <c r="L3018">
        <v>8856.1</v>
      </c>
      <c r="M3018">
        <v>0</v>
      </c>
      <c r="N3018">
        <v>0</v>
      </c>
      <c r="O3018">
        <v>-0.81973916982515505</v>
      </c>
      <c r="P3018">
        <v>460841.6257186</v>
      </c>
    </row>
    <row r="3019" spans="1:16" x14ac:dyDescent="0.25">
      <c r="A3019" s="10">
        <v>42088</v>
      </c>
      <c r="B3019">
        <v>3445.3324624200482</v>
      </c>
      <c r="C3019">
        <v>340.78415299999978</v>
      </c>
      <c r="D3019">
        <v>0</v>
      </c>
      <c r="E3019">
        <v>0</v>
      </c>
      <c r="F3019">
        <v>0</v>
      </c>
      <c r="G3019">
        <v>1012.8290253</v>
      </c>
      <c r="H3019">
        <v>-764.90597704999891</v>
      </c>
      <c r="I3019">
        <v>0</v>
      </c>
      <c r="J3019">
        <v>0</v>
      </c>
      <c r="K3019">
        <v>11.42443344</v>
      </c>
      <c r="L3019">
        <v>2916.5</v>
      </c>
      <c r="M3019">
        <v>0</v>
      </c>
      <c r="N3019">
        <v>0</v>
      </c>
      <c r="O3019">
        <v>-71.299172269953402</v>
      </c>
      <c r="P3019">
        <v>464286.95818101999</v>
      </c>
    </row>
    <row r="3020" spans="1:16" x14ac:dyDescent="0.25">
      <c r="A3020" s="10">
        <v>42089</v>
      </c>
      <c r="B3020">
        <v>-19788.03774815024</v>
      </c>
      <c r="C3020">
        <v>-182.38399999999999</v>
      </c>
      <c r="D3020">
        <v>0</v>
      </c>
      <c r="E3020">
        <v>-6300</v>
      </c>
      <c r="F3020">
        <v>0</v>
      </c>
      <c r="G3020">
        <v>-106.03497489999999</v>
      </c>
      <c r="H3020">
        <v>-13215.73677773001</v>
      </c>
      <c r="I3020">
        <v>0</v>
      </c>
      <c r="J3020">
        <v>0</v>
      </c>
      <c r="K3020">
        <v>2.5444948200000002</v>
      </c>
      <c r="L3020">
        <v>0</v>
      </c>
      <c r="M3020">
        <v>0</v>
      </c>
      <c r="N3020">
        <v>0</v>
      </c>
      <c r="O3020">
        <v>13.57350965976948</v>
      </c>
      <c r="P3020">
        <v>444498.92043286981</v>
      </c>
    </row>
    <row r="3021" spans="1:16" x14ac:dyDescent="0.25">
      <c r="A3021" s="10">
        <v>42090</v>
      </c>
      <c r="B3021">
        <v>474.49233465991239</v>
      </c>
      <c r="C3021">
        <v>-47.408999999999999</v>
      </c>
      <c r="D3021">
        <v>0</v>
      </c>
      <c r="E3021">
        <v>5800</v>
      </c>
      <c r="F3021">
        <v>0</v>
      </c>
      <c r="G3021">
        <v>-22.014305089999429</v>
      </c>
      <c r="H3021">
        <v>-5253.1128154599937</v>
      </c>
      <c r="I3021">
        <v>0</v>
      </c>
      <c r="J3021">
        <v>0</v>
      </c>
      <c r="K3021">
        <v>7.3475645599999986</v>
      </c>
      <c r="L3021">
        <v>0</v>
      </c>
      <c r="M3021">
        <v>0</v>
      </c>
      <c r="N3021">
        <v>0</v>
      </c>
      <c r="O3021">
        <v>-10.31910935009458</v>
      </c>
      <c r="P3021">
        <v>444973.41276752978</v>
      </c>
    </row>
    <row r="3022" spans="1:16" x14ac:dyDescent="0.25">
      <c r="A3022" s="10">
        <v>42093</v>
      </c>
      <c r="B3022">
        <v>4699.9770529602538</v>
      </c>
      <c r="C3022">
        <v>352.57299999999998</v>
      </c>
      <c r="D3022">
        <v>-400</v>
      </c>
      <c r="E3022">
        <v>0</v>
      </c>
      <c r="F3022">
        <v>0</v>
      </c>
      <c r="G3022">
        <v>-285.26611806000011</v>
      </c>
      <c r="H3022">
        <v>5080.331785099992</v>
      </c>
      <c r="I3022">
        <v>0</v>
      </c>
      <c r="J3022">
        <v>0</v>
      </c>
      <c r="K3022">
        <v>27.69037556</v>
      </c>
      <c r="L3022">
        <v>0</v>
      </c>
      <c r="M3022">
        <v>0</v>
      </c>
      <c r="N3022">
        <v>0</v>
      </c>
      <c r="O3022">
        <v>-75.351989639737255</v>
      </c>
      <c r="P3022">
        <v>449673.38982048997</v>
      </c>
    </row>
    <row r="3023" spans="1:16" x14ac:dyDescent="0.25">
      <c r="A3023" s="10">
        <v>42094</v>
      </c>
      <c r="B3023">
        <v>-9319.177883650118</v>
      </c>
      <c r="C3023">
        <v>-247.35769999999999</v>
      </c>
      <c r="D3023">
        <v>0</v>
      </c>
      <c r="E3023">
        <v>0</v>
      </c>
      <c r="F3023">
        <v>0</v>
      </c>
      <c r="G3023">
        <v>-5105.2819974100003</v>
      </c>
      <c r="H3023">
        <v>-4569.3525539200018</v>
      </c>
      <c r="I3023">
        <v>0</v>
      </c>
      <c r="J3023">
        <v>0</v>
      </c>
      <c r="K3023">
        <v>8.1696126600000021</v>
      </c>
      <c r="L3023">
        <v>0</v>
      </c>
      <c r="M3023">
        <v>0</v>
      </c>
      <c r="N3023">
        <v>0</v>
      </c>
      <c r="O3023">
        <v>594.64475501988488</v>
      </c>
      <c r="P3023">
        <v>440354.21193683991</v>
      </c>
    </row>
    <row r="3024" spans="1:16" x14ac:dyDescent="0.25">
      <c r="A3024" s="10">
        <v>42095</v>
      </c>
      <c r="B3024">
        <v>26011.969817000259</v>
      </c>
      <c r="C3024">
        <v>845.50439999999992</v>
      </c>
      <c r="D3024">
        <v>-3200</v>
      </c>
      <c r="E3024">
        <v>0</v>
      </c>
      <c r="F3024">
        <v>0</v>
      </c>
      <c r="G3024">
        <v>3383.5414145700001</v>
      </c>
      <c r="H3024">
        <v>21160.85867654</v>
      </c>
      <c r="I3024">
        <v>0</v>
      </c>
      <c r="J3024">
        <v>0</v>
      </c>
      <c r="K3024">
        <v>9.9476557700000008</v>
      </c>
      <c r="L3024">
        <v>3534.4</v>
      </c>
      <c r="M3024">
        <v>0</v>
      </c>
      <c r="N3024">
        <v>0</v>
      </c>
      <c r="O3024">
        <v>277.71767012025958</v>
      </c>
      <c r="P3024">
        <v>466366.18175384012</v>
      </c>
    </row>
    <row r="3025" spans="1:16" x14ac:dyDescent="0.25">
      <c r="A3025" s="10">
        <v>42100</v>
      </c>
      <c r="B3025">
        <v>-6499.6257281703274</v>
      </c>
      <c r="C3025">
        <v>168.39850000000001</v>
      </c>
      <c r="D3025">
        <v>0</v>
      </c>
      <c r="E3025">
        <v>-2800</v>
      </c>
      <c r="F3025">
        <v>0</v>
      </c>
      <c r="G3025">
        <v>-114.7281515699997</v>
      </c>
      <c r="H3025">
        <v>-3611.5277477000018</v>
      </c>
      <c r="I3025">
        <v>0</v>
      </c>
      <c r="J3025">
        <v>4.6999999999998181</v>
      </c>
      <c r="K3025">
        <v>9.3480576099999997</v>
      </c>
      <c r="L3025">
        <v>19.89999999999986</v>
      </c>
      <c r="M3025">
        <v>0</v>
      </c>
      <c r="N3025">
        <v>0</v>
      </c>
      <c r="O3025">
        <v>-175.71638651032589</v>
      </c>
      <c r="P3025">
        <v>459866.55602566979</v>
      </c>
    </row>
    <row r="3026" spans="1:16" x14ac:dyDescent="0.25">
      <c r="A3026" s="10">
        <v>42101</v>
      </c>
      <c r="B3026">
        <v>-537.84989888989435</v>
      </c>
      <c r="C3026">
        <v>-61.485500000000002</v>
      </c>
      <c r="D3026">
        <v>0</v>
      </c>
      <c r="E3026">
        <v>0</v>
      </c>
      <c r="F3026">
        <v>0</v>
      </c>
      <c r="G3026">
        <v>64.962280860000021</v>
      </c>
      <c r="H3026">
        <v>-605.14247536999937</v>
      </c>
      <c r="I3026">
        <v>0</v>
      </c>
      <c r="J3026">
        <v>0</v>
      </c>
      <c r="K3026">
        <v>0.82769614000000002</v>
      </c>
      <c r="L3026">
        <v>22.299999999999979</v>
      </c>
      <c r="M3026">
        <v>0</v>
      </c>
      <c r="N3026">
        <v>0</v>
      </c>
      <c r="O3026">
        <v>40.688099480105208</v>
      </c>
      <c r="P3026">
        <v>459328.7061267799</v>
      </c>
    </row>
    <row r="3027" spans="1:16" x14ac:dyDescent="0.25">
      <c r="A3027" s="10">
        <v>42102</v>
      </c>
      <c r="B3027">
        <v>-358.54867812019171</v>
      </c>
      <c r="C3027">
        <v>126.39749999999999</v>
      </c>
      <c r="D3027">
        <v>0</v>
      </c>
      <c r="E3027">
        <v>0</v>
      </c>
      <c r="F3027">
        <v>0</v>
      </c>
      <c r="G3027">
        <v>155.78007167000001</v>
      </c>
      <c r="H3027">
        <v>2705.2373222199999</v>
      </c>
      <c r="I3027">
        <v>0</v>
      </c>
      <c r="J3027">
        <v>4.5</v>
      </c>
      <c r="K3027">
        <v>2.7166687899999999</v>
      </c>
      <c r="L3027">
        <v>-3307.1</v>
      </c>
      <c r="M3027">
        <v>0</v>
      </c>
      <c r="N3027">
        <v>0</v>
      </c>
      <c r="O3027">
        <v>-46.080240800191397</v>
      </c>
      <c r="P3027">
        <v>458970.15744865971</v>
      </c>
    </row>
    <row r="3028" spans="1:16" x14ac:dyDescent="0.25">
      <c r="A3028" s="10">
        <v>42103</v>
      </c>
      <c r="B3028">
        <v>3918.6300395602011</v>
      </c>
      <c r="C3028">
        <v>75.047999999999973</v>
      </c>
      <c r="D3028">
        <v>0</v>
      </c>
      <c r="E3028">
        <v>3500</v>
      </c>
      <c r="F3028">
        <v>0</v>
      </c>
      <c r="G3028">
        <v>-240.81143441</v>
      </c>
      <c r="H3028">
        <v>1038.94917362</v>
      </c>
      <c r="I3028">
        <v>0</v>
      </c>
      <c r="J3028">
        <v>0</v>
      </c>
      <c r="K3028">
        <v>2.1628591300000002</v>
      </c>
      <c r="L3028">
        <v>46.500000000000007</v>
      </c>
      <c r="M3028">
        <v>0</v>
      </c>
      <c r="N3028">
        <v>0</v>
      </c>
      <c r="O3028">
        <v>-503.21855877979772</v>
      </c>
      <c r="P3028">
        <v>462888.78748821991</v>
      </c>
    </row>
    <row r="3029" spans="1:16" x14ac:dyDescent="0.25">
      <c r="A3029" s="10">
        <v>42104</v>
      </c>
      <c r="B3029">
        <v>113.9484593598762</v>
      </c>
      <c r="C3029">
        <v>806.20943399999999</v>
      </c>
      <c r="D3029">
        <v>0</v>
      </c>
      <c r="E3029">
        <v>0</v>
      </c>
      <c r="F3029">
        <v>0</v>
      </c>
      <c r="G3029">
        <v>-185.22123737999999</v>
      </c>
      <c r="H3029">
        <v>-303.53709625000192</v>
      </c>
      <c r="I3029">
        <v>0</v>
      </c>
      <c r="J3029">
        <v>-129</v>
      </c>
      <c r="K3029">
        <v>-29.69519278000018</v>
      </c>
      <c r="L3029">
        <v>10.600000000000019</v>
      </c>
      <c r="M3029">
        <v>0</v>
      </c>
      <c r="N3029">
        <v>0</v>
      </c>
      <c r="O3029">
        <v>-55.407448230121751</v>
      </c>
      <c r="P3029">
        <v>463002.73594757979</v>
      </c>
    </row>
    <row r="3030" spans="1:16" x14ac:dyDescent="0.25">
      <c r="A3030" s="10">
        <v>42107</v>
      </c>
      <c r="B3030">
        <v>76.930403680016013</v>
      </c>
      <c r="C3030">
        <v>-279.02910000000003</v>
      </c>
      <c r="D3030">
        <v>0</v>
      </c>
      <c r="E3030">
        <v>-700</v>
      </c>
      <c r="F3030">
        <v>0</v>
      </c>
      <c r="G3030">
        <v>-350.68936133</v>
      </c>
      <c r="H3030">
        <v>1422.5999516599991</v>
      </c>
      <c r="I3030">
        <v>0</v>
      </c>
      <c r="J3030">
        <v>0</v>
      </c>
      <c r="K3030">
        <v>8.1521782999999992</v>
      </c>
      <c r="L3030">
        <v>6.7999999999999554</v>
      </c>
      <c r="M3030">
        <v>0</v>
      </c>
      <c r="N3030">
        <v>0</v>
      </c>
      <c r="O3030">
        <v>-30.903264949982489</v>
      </c>
      <c r="P3030">
        <v>463079.6663512598</v>
      </c>
    </row>
    <row r="3031" spans="1:16" x14ac:dyDescent="0.25">
      <c r="A3031" s="10">
        <v>42108</v>
      </c>
      <c r="B3031">
        <v>-2756.9515779697672</v>
      </c>
      <c r="C3031">
        <v>519.52576299999998</v>
      </c>
      <c r="D3031">
        <v>-4100</v>
      </c>
      <c r="E3031">
        <v>0</v>
      </c>
      <c r="F3031">
        <v>0</v>
      </c>
      <c r="G3031">
        <v>-672.98176279999916</v>
      </c>
      <c r="H3031">
        <v>1489.526308420001</v>
      </c>
      <c r="I3031">
        <v>0</v>
      </c>
      <c r="J3031">
        <v>0</v>
      </c>
      <c r="K3031">
        <v>2.14210039</v>
      </c>
      <c r="L3031">
        <v>26.5</v>
      </c>
      <c r="M3031">
        <v>0</v>
      </c>
      <c r="N3031">
        <v>0</v>
      </c>
      <c r="O3031">
        <v>-21.663986979770112</v>
      </c>
      <c r="P3031">
        <v>460322.71477328998</v>
      </c>
    </row>
    <row r="3032" spans="1:16" x14ac:dyDescent="0.25">
      <c r="A3032" s="10">
        <v>42109</v>
      </c>
      <c r="B3032">
        <v>2256.4003292197008</v>
      </c>
      <c r="C3032">
        <v>30.457445</v>
      </c>
      <c r="D3032">
        <v>0</v>
      </c>
      <c r="E3032">
        <v>0</v>
      </c>
      <c r="F3032">
        <v>0</v>
      </c>
      <c r="G3032">
        <v>1017.76525867</v>
      </c>
      <c r="H3032">
        <v>-1894.4163775400009</v>
      </c>
      <c r="I3032">
        <v>0</v>
      </c>
      <c r="J3032">
        <v>0</v>
      </c>
      <c r="K3032">
        <v>1.8990188400000001</v>
      </c>
      <c r="L3032">
        <v>3121.3</v>
      </c>
      <c r="M3032">
        <v>0</v>
      </c>
      <c r="N3032">
        <v>0</v>
      </c>
      <c r="O3032">
        <v>-20.605015750298119</v>
      </c>
      <c r="P3032">
        <v>462579.11510250968</v>
      </c>
    </row>
    <row r="3033" spans="1:16" x14ac:dyDescent="0.25">
      <c r="A3033" s="10">
        <v>42110</v>
      </c>
      <c r="B3033">
        <v>749.37394884036541</v>
      </c>
      <c r="C3033">
        <v>514.51037500000007</v>
      </c>
      <c r="D3033">
        <v>0</v>
      </c>
      <c r="E3033">
        <v>700</v>
      </c>
      <c r="F3033">
        <v>0</v>
      </c>
      <c r="G3033">
        <v>-493.50268083999993</v>
      </c>
      <c r="H3033">
        <v>23.666391250000739</v>
      </c>
      <c r="I3033">
        <v>0</v>
      </c>
      <c r="J3033">
        <v>0</v>
      </c>
      <c r="K3033">
        <v>2.0362527799999999</v>
      </c>
      <c r="L3033">
        <v>10.19999999999999</v>
      </c>
      <c r="M3033">
        <v>0</v>
      </c>
      <c r="N3033">
        <v>0</v>
      </c>
      <c r="O3033">
        <v>-7.5363893496354208</v>
      </c>
      <c r="P3033">
        <v>463328.4890513501</v>
      </c>
    </row>
    <row r="3034" spans="1:16" x14ac:dyDescent="0.25">
      <c r="A3034" s="10">
        <v>42111</v>
      </c>
      <c r="B3034">
        <v>-5951.6192432803773</v>
      </c>
      <c r="C3034">
        <v>-62.341999999999977</v>
      </c>
      <c r="D3034">
        <v>0</v>
      </c>
      <c r="E3034">
        <v>0</v>
      </c>
      <c r="F3034">
        <v>0</v>
      </c>
      <c r="G3034">
        <v>798.91429041999982</v>
      </c>
      <c r="H3034">
        <v>-6667.5928007799994</v>
      </c>
      <c r="I3034">
        <v>0</v>
      </c>
      <c r="J3034">
        <v>0</v>
      </c>
      <c r="K3034">
        <v>1.9650813600000001</v>
      </c>
      <c r="L3034">
        <v>0</v>
      </c>
      <c r="M3034">
        <v>0</v>
      </c>
      <c r="N3034">
        <v>0</v>
      </c>
      <c r="O3034">
        <v>-22.563814280377851</v>
      </c>
      <c r="P3034">
        <v>457376.86980806972</v>
      </c>
    </row>
    <row r="3035" spans="1:16" x14ac:dyDescent="0.25">
      <c r="A3035" s="10">
        <v>42114</v>
      </c>
      <c r="B3035">
        <v>-1873.6867289600191</v>
      </c>
      <c r="C3035">
        <v>80.318337999999997</v>
      </c>
      <c r="D3035">
        <v>0</v>
      </c>
      <c r="E3035">
        <v>-3600</v>
      </c>
      <c r="F3035">
        <v>0</v>
      </c>
      <c r="G3035">
        <v>-1173.122499619999</v>
      </c>
      <c r="H3035">
        <v>2351.6293578</v>
      </c>
      <c r="I3035">
        <v>0</v>
      </c>
      <c r="J3035">
        <v>0</v>
      </c>
      <c r="K3035">
        <v>12.62239859</v>
      </c>
      <c r="L3035">
        <v>303.89999999999998</v>
      </c>
      <c r="M3035">
        <v>0</v>
      </c>
      <c r="N3035">
        <v>0</v>
      </c>
      <c r="O3035">
        <v>150.96567626997941</v>
      </c>
      <c r="P3035">
        <v>455503.1830791097</v>
      </c>
    </row>
    <row r="3036" spans="1:16" x14ac:dyDescent="0.25">
      <c r="A3036" s="10">
        <v>42115</v>
      </c>
      <c r="B3036">
        <v>-1111.4437521696671</v>
      </c>
      <c r="C3036">
        <v>1035.7325719999999</v>
      </c>
      <c r="D3036">
        <v>0</v>
      </c>
      <c r="E3036">
        <v>0</v>
      </c>
      <c r="F3036">
        <v>0</v>
      </c>
      <c r="G3036">
        <v>103.51726102000001</v>
      </c>
      <c r="H3036">
        <v>-2241.7471257200009</v>
      </c>
      <c r="I3036">
        <v>0</v>
      </c>
      <c r="J3036">
        <v>0</v>
      </c>
      <c r="K3036">
        <v>3.3209027300000011</v>
      </c>
      <c r="L3036">
        <v>0</v>
      </c>
      <c r="M3036">
        <v>0</v>
      </c>
      <c r="N3036">
        <v>0</v>
      </c>
      <c r="O3036">
        <v>-12.26736219966574</v>
      </c>
      <c r="P3036">
        <v>454391.73932693998</v>
      </c>
    </row>
    <row r="3037" spans="1:16" x14ac:dyDescent="0.25">
      <c r="A3037" s="10">
        <v>42116</v>
      </c>
      <c r="B3037">
        <v>-5088.063187010006</v>
      </c>
      <c r="C3037">
        <v>220.29036099999999</v>
      </c>
      <c r="D3037">
        <v>0</v>
      </c>
      <c r="E3037">
        <v>0</v>
      </c>
      <c r="F3037">
        <v>0</v>
      </c>
      <c r="G3037">
        <v>-226.00510353999999</v>
      </c>
      <c r="H3037">
        <v>-2366.265686299997</v>
      </c>
      <c r="I3037">
        <v>0</v>
      </c>
      <c r="J3037">
        <v>0</v>
      </c>
      <c r="K3037">
        <v>4.1245665300000001</v>
      </c>
      <c r="L3037">
        <v>-2682</v>
      </c>
      <c r="M3037">
        <v>0</v>
      </c>
      <c r="N3037">
        <v>0</v>
      </c>
      <c r="O3037">
        <v>-38.207324700008392</v>
      </c>
      <c r="P3037">
        <v>449303.67613992997</v>
      </c>
    </row>
    <row r="3038" spans="1:16" x14ac:dyDescent="0.25">
      <c r="A3038" s="10">
        <v>42117</v>
      </c>
      <c r="B3038">
        <v>760.45862824993651</v>
      </c>
      <c r="C3038">
        <v>231.24697299999951</v>
      </c>
      <c r="D3038">
        <v>0</v>
      </c>
      <c r="E3038">
        <v>3600</v>
      </c>
      <c r="F3038">
        <v>0</v>
      </c>
      <c r="G3038">
        <v>143.87023312000201</v>
      </c>
      <c r="H3038">
        <v>-3197.134701540002</v>
      </c>
      <c r="I3038">
        <v>0</v>
      </c>
      <c r="J3038">
        <v>0</v>
      </c>
      <c r="K3038">
        <v>5.0617742999999997</v>
      </c>
      <c r="L3038">
        <v>0</v>
      </c>
      <c r="M3038">
        <v>0</v>
      </c>
      <c r="N3038">
        <v>0</v>
      </c>
      <c r="O3038">
        <v>-22.585650630062421</v>
      </c>
      <c r="P3038">
        <v>450064.13476818003</v>
      </c>
    </row>
    <row r="3039" spans="1:16" x14ac:dyDescent="0.25">
      <c r="A3039" s="10">
        <v>42118</v>
      </c>
      <c r="B3039">
        <v>2462.3037252300428</v>
      </c>
      <c r="C3039">
        <v>583.32202223000002</v>
      </c>
      <c r="D3039">
        <v>0</v>
      </c>
      <c r="E3039">
        <v>0</v>
      </c>
      <c r="F3039">
        <v>0</v>
      </c>
      <c r="G3039">
        <v>27.41008928999997</v>
      </c>
      <c r="H3039">
        <v>-346.95493795999943</v>
      </c>
      <c r="I3039">
        <v>0</v>
      </c>
      <c r="J3039">
        <v>0.12438400000019099</v>
      </c>
      <c r="K3039">
        <v>5.924941099999999</v>
      </c>
      <c r="L3039">
        <v>2331.6999999999998</v>
      </c>
      <c r="M3039">
        <v>0</v>
      </c>
      <c r="N3039">
        <v>0</v>
      </c>
      <c r="O3039">
        <v>-139.2227734299577</v>
      </c>
      <c r="P3039">
        <v>452526.43849341001</v>
      </c>
    </row>
    <row r="3040" spans="1:16" x14ac:dyDescent="0.25">
      <c r="A3040" s="10">
        <v>42121</v>
      </c>
      <c r="B3040">
        <v>-6734.2529529501926</v>
      </c>
      <c r="C3040">
        <v>87.811999999999998</v>
      </c>
      <c r="D3040">
        <v>0</v>
      </c>
      <c r="E3040">
        <v>-2450</v>
      </c>
      <c r="F3040">
        <v>0</v>
      </c>
      <c r="G3040">
        <v>17.653940050000099</v>
      </c>
      <c r="H3040">
        <v>-4337.6897938200054</v>
      </c>
      <c r="I3040">
        <v>0</v>
      </c>
      <c r="J3040">
        <v>0</v>
      </c>
      <c r="K3040">
        <v>17.079601669999999</v>
      </c>
      <c r="L3040">
        <v>0</v>
      </c>
      <c r="M3040">
        <v>0</v>
      </c>
      <c r="N3040">
        <v>0</v>
      </c>
      <c r="O3040">
        <v>-69.108700850186864</v>
      </c>
      <c r="P3040">
        <v>445792.18554045988</v>
      </c>
    </row>
    <row r="3041" spans="1:16" x14ac:dyDescent="0.25">
      <c r="A3041" s="10">
        <v>42122</v>
      </c>
      <c r="B3041">
        <v>-3379.8123143400271</v>
      </c>
      <c r="C3041">
        <v>5709.9972360000002</v>
      </c>
      <c r="D3041">
        <v>0</v>
      </c>
      <c r="E3041">
        <v>0</v>
      </c>
      <c r="F3041">
        <v>0</v>
      </c>
      <c r="G3041">
        <v>-185.5525063</v>
      </c>
      <c r="H3041">
        <v>-8874.1352347199936</v>
      </c>
      <c r="I3041">
        <v>0</v>
      </c>
      <c r="J3041">
        <v>0</v>
      </c>
      <c r="K3041">
        <v>7.278896330000002</v>
      </c>
      <c r="L3041">
        <v>0</v>
      </c>
      <c r="M3041">
        <v>0</v>
      </c>
      <c r="N3041">
        <v>0</v>
      </c>
      <c r="O3041">
        <v>-37.400705650033977</v>
      </c>
      <c r="P3041">
        <v>442412.37322611979</v>
      </c>
    </row>
    <row r="3042" spans="1:16" x14ac:dyDescent="0.25">
      <c r="A3042" s="10">
        <v>42123</v>
      </c>
      <c r="B3042">
        <v>-9434.7869031697028</v>
      </c>
      <c r="C3042">
        <v>845.8432449999998</v>
      </c>
      <c r="D3042">
        <v>0</v>
      </c>
      <c r="E3042">
        <v>0</v>
      </c>
      <c r="F3042">
        <v>0</v>
      </c>
      <c r="G3042">
        <v>165.58035194999999</v>
      </c>
      <c r="H3042">
        <v>-3676.8835037000099</v>
      </c>
      <c r="I3042">
        <v>0</v>
      </c>
      <c r="J3042">
        <v>0</v>
      </c>
      <c r="K3042">
        <v>11.58522699000001</v>
      </c>
      <c r="L3042">
        <v>-6760.2000000000007</v>
      </c>
      <c r="M3042">
        <v>0</v>
      </c>
      <c r="N3042">
        <v>0</v>
      </c>
      <c r="O3042">
        <v>-20.712223409691791</v>
      </c>
      <c r="P3042">
        <v>432977.58632295008</v>
      </c>
    </row>
    <row r="3043" spans="1:16" x14ac:dyDescent="0.25">
      <c r="A3043" s="10">
        <v>42124</v>
      </c>
      <c r="B3043">
        <v>36114.758966519847</v>
      </c>
      <c r="C3043">
        <v>115.05643499999999</v>
      </c>
      <c r="D3043">
        <v>0</v>
      </c>
      <c r="E3043">
        <v>6650</v>
      </c>
      <c r="F3043">
        <v>0</v>
      </c>
      <c r="G3043">
        <v>-3691.4754251099998</v>
      </c>
      <c r="H3043">
        <v>33054.305655010023</v>
      </c>
      <c r="I3043">
        <v>0</v>
      </c>
      <c r="J3043">
        <v>0</v>
      </c>
      <c r="K3043">
        <v>13.79149569</v>
      </c>
      <c r="L3043">
        <v>0</v>
      </c>
      <c r="M3043">
        <v>0</v>
      </c>
      <c r="N3043">
        <v>0</v>
      </c>
      <c r="O3043">
        <v>-26.919194070169759</v>
      </c>
      <c r="P3043">
        <v>469092.34528946987</v>
      </c>
    </row>
    <row r="3044" spans="1:16" x14ac:dyDescent="0.25">
      <c r="A3044" s="10">
        <v>42128</v>
      </c>
      <c r="B3044">
        <v>1957.736533760152</v>
      </c>
      <c r="C3044">
        <v>501.47653200000002</v>
      </c>
      <c r="D3044">
        <v>0</v>
      </c>
      <c r="E3044">
        <v>0</v>
      </c>
      <c r="F3044">
        <v>0</v>
      </c>
      <c r="G3044">
        <v>2417.69988951</v>
      </c>
      <c r="H3044">
        <v>-1116.5372869200021</v>
      </c>
      <c r="I3044">
        <v>0</v>
      </c>
      <c r="J3044">
        <v>0</v>
      </c>
      <c r="K3044">
        <v>4.0752156599999996</v>
      </c>
      <c r="L3044">
        <v>28</v>
      </c>
      <c r="M3044">
        <v>0</v>
      </c>
      <c r="N3044">
        <v>0</v>
      </c>
      <c r="O3044">
        <v>123.02218351015389</v>
      </c>
      <c r="P3044">
        <v>471050.08182323008</v>
      </c>
    </row>
    <row r="3045" spans="1:16" x14ac:dyDescent="0.25">
      <c r="A3045" s="10">
        <v>42129</v>
      </c>
      <c r="B3045">
        <v>-2694.0250190501101</v>
      </c>
      <c r="C3045">
        <v>-498.90334000000001</v>
      </c>
      <c r="D3045">
        <v>0</v>
      </c>
      <c r="E3045">
        <v>0</v>
      </c>
      <c r="F3045">
        <v>0</v>
      </c>
      <c r="G3045">
        <v>-417.94390031</v>
      </c>
      <c r="H3045">
        <v>-1749.82511998</v>
      </c>
      <c r="I3045">
        <v>0</v>
      </c>
      <c r="J3045">
        <v>0</v>
      </c>
      <c r="K3045">
        <v>1.5011016100000001</v>
      </c>
      <c r="L3045">
        <v>0</v>
      </c>
      <c r="M3045">
        <v>0</v>
      </c>
      <c r="N3045">
        <v>0</v>
      </c>
      <c r="O3045">
        <v>-28.853760370110379</v>
      </c>
      <c r="P3045">
        <v>468356.05680418003</v>
      </c>
    </row>
    <row r="3046" spans="1:16" x14ac:dyDescent="0.25">
      <c r="A3046" s="10">
        <v>42130</v>
      </c>
      <c r="B3046">
        <v>-2538.9363912599511</v>
      </c>
      <c r="C3046">
        <v>-416.44920810000002</v>
      </c>
      <c r="D3046">
        <v>0</v>
      </c>
      <c r="E3046">
        <v>0</v>
      </c>
      <c r="F3046">
        <v>0</v>
      </c>
      <c r="G3046">
        <v>-54.396416090000002</v>
      </c>
      <c r="H3046">
        <v>-2387.69858557</v>
      </c>
      <c r="I3046">
        <v>0</v>
      </c>
      <c r="J3046">
        <v>0</v>
      </c>
      <c r="K3046">
        <v>2.1710472799999998</v>
      </c>
      <c r="L3046">
        <v>793.90000000000009</v>
      </c>
      <c r="M3046">
        <v>0</v>
      </c>
      <c r="N3046">
        <v>0</v>
      </c>
      <c r="O3046">
        <v>-476.46322877995112</v>
      </c>
      <c r="P3046">
        <v>465817.12041292002</v>
      </c>
    </row>
    <row r="3047" spans="1:16" x14ac:dyDescent="0.25">
      <c r="A3047" s="10">
        <v>42131</v>
      </c>
      <c r="B3047">
        <v>-36.458931010159041</v>
      </c>
      <c r="C3047">
        <v>2192.365166</v>
      </c>
      <c r="D3047">
        <v>0</v>
      </c>
      <c r="E3047">
        <v>5700</v>
      </c>
      <c r="F3047">
        <v>0</v>
      </c>
      <c r="G3047">
        <v>-5447.2495848299995</v>
      </c>
      <c r="H3047">
        <v>-2401.343179590001</v>
      </c>
      <c r="I3047">
        <v>0</v>
      </c>
      <c r="J3047">
        <v>0</v>
      </c>
      <c r="K3047">
        <v>2.5066734300000002</v>
      </c>
      <c r="L3047">
        <v>0</v>
      </c>
      <c r="M3047">
        <v>0</v>
      </c>
      <c r="N3047">
        <v>0</v>
      </c>
      <c r="O3047">
        <v>-82.738006020156718</v>
      </c>
      <c r="P3047">
        <v>465780.66148190992</v>
      </c>
    </row>
    <row r="3048" spans="1:16" x14ac:dyDescent="0.25">
      <c r="A3048" s="10">
        <v>42132</v>
      </c>
      <c r="B3048">
        <v>3969.6104369200762</v>
      </c>
      <c r="C3048">
        <v>530.33899999999994</v>
      </c>
      <c r="D3048">
        <v>0</v>
      </c>
      <c r="E3048">
        <v>0</v>
      </c>
      <c r="F3048">
        <v>0</v>
      </c>
      <c r="G3048">
        <v>154.16175684999999</v>
      </c>
      <c r="H3048">
        <v>3028.3546345999998</v>
      </c>
      <c r="I3048">
        <v>0</v>
      </c>
      <c r="J3048">
        <v>0</v>
      </c>
      <c r="K3048">
        <v>2.9538368400000001</v>
      </c>
      <c r="L3048">
        <v>0</v>
      </c>
      <c r="M3048">
        <v>0</v>
      </c>
      <c r="N3048">
        <v>0</v>
      </c>
      <c r="O3048">
        <v>253.80120863007531</v>
      </c>
      <c r="P3048">
        <v>469750.27191882988</v>
      </c>
    </row>
    <row r="3049" spans="1:16" x14ac:dyDescent="0.25">
      <c r="A3049" s="10">
        <v>42135</v>
      </c>
      <c r="B3049">
        <v>6148.4686576199019</v>
      </c>
      <c r="C3049">
        <v>-282.74902500000002</v>
      </c>
      <c r="D3049">
        <v>0</v>
      </c>
      <c r="E3049">
        <v>0</v>
      </c>
      <c r="F3049">
        <v>0</v>
      </c>
      <c r="G3049">
        <v>-371.29957657</v>
      </c>
      <c r="H3049">
        <v>6930.5219111800016</v>
      </c>
      <c r="I3049">
        <v>0</v>
      </c>
      <c r="J3049">
        <v>-131.5</v>
      </c>
      <c r="K3049">
        <v>-21.84347943000018</v>
      </c>
      <c r="L3049">
        <v>65.600000000000023</v>
      </c>
      <c r="M3049">
        <v>0</v>
      </c>
      <c r="N3049">
        <v>0</v>
      </c>
      <c r="O3049">
        <v>-40.261172560100214</v>
      </c>
      <c r="P3049">
        <v>475898.74057644978</v>
      </c>
    </row>
    <row r="3050" spans="1:16" x14ac:dyDescent="0.25">
      <c r="A3050" s="10">
        <v>42136</v>
      </c>
      <c r="B3050">
        <v>1330.38409923989</v>
      </c>
      <c r="C3050">
        <v>494.20968099999999</v>
      </c>
      <c r="D3050">
        <v>0</v>
      </c>
      <c r="E3050">
        <v>0</v>
      </c>
      <c r="F3050">
        <v>0</v>
      </c>
      <c r="G3050">
        <v>13.67279715000001</v>
      </c>
      <c r="H3050">
        <v>847.13423392999903</v>
      </c>
      <c r="I3050">
        <v>0</v>
      </c>
      <c r="J3050">
        <v>0</v>
      </c>
      <c r="K3050">
        <v>0.62757620999999986</v>
      </c>
      <c r="L3050">
        <v>0</v>
      </c>
      <c r="M3050">
        <v>0</v>
      </c>
      <c r="N3050">
        <v>0</v>
      </c>
      <c r="O3050">
        <v>-25.260189050108369</v>
      </c>
      <c r="P3050">
        <v>477229.12467568967</v>
      </c>
    </row>
    <row r="3051" spans="1:16" x14ac:dyDescent="0.25">
      <c r="A3051" s="10">
        <v>42137</v>
      </c>
      <c r="B3051">
        <v>-3102.075945819729</v>
      </c>
      <c r="C3051">
        <v>-24.149101999999999</v>
      </c>
      <c r="D3051">
        <v>0</v>
      </c>
      <c r="E3051">
        <v>0</v>
      </c>
      <c r="F3051">
        <v>0</v>
      </c>
      <c r="G3051">
        <v>110.1332939</v>
      </c>
      <c r="H3051">
        <v>-5115.9516654300014</v>
      </c>
      <c r="I3051">
        <v>0</v>
      </c>
      <c r="J3051">
        <v>0</v>
      </c>
      <c r="K3051">
        <v>0.76089768000000013</v>
      </c>
      <c r="L3051">
        <v>2108.1999999999998</v>
      </c>
      <c r="M3051">
        <v>0</v>
      </c>
      <c r="N3051">
        <v>0</v>
      </c>
      <c r="O3051">
        <v>-181.069369969728</v>
      </c>
      <c r="P3051">
        <v>474127.04872987</v>
      </c>
    </row>
    <row r="3052" spans="1:16" x14ac:dyDescent="0.25">
      <c r="A3052" s="10">
        <v>42138</v>
      </c>
      <c r="B3052">
        <v>-2456.870443469903</v>
      </c>
      <c r="C3052">
        <v>356.6</v>
      </c>
      <c r="D3052">
        <v>0</v>
      </c>
      <c r="E3052">
        <v>0</v>
      </c>
      <c r="F3052">
        <v>0</v>
      </c>
      <c r="G3052">
        <v>-727.33911689999991</v>
      </c>
      <c r="H3052">
        <v>-2061.360444219999</v>
      </c>
      <c r="I3052">
        <v>0</v>
      </c>
      <c r="J3052">
        <v>0</v>
      </c>
      <c r="K3052">
        <v>2.6608986099999998</v>
      </c>
      <c r="L3052">
        <v>0</v>
      </c>
      <c r="M3052">
        <v>0</v>
      </c>
      <c r="N3052">
        <v>0</v>
      </c>
      <c r="O3052">
        <v>-27.431780959903879</v>
      </c>
      <c r="P3052">
        <v>471670.1782864001</v>
      </c>
    </row>
    <row r="3053" spans="1:16" x14ac:dyDescent="0.25">
      <c r="A3053" s="10">
        <v>42139</v>
      </c>
      <c r="B3053">
        <v>-1293.6749566602521</v>
      </c>
      <c r="C3053">
        <v>2155.6372369999999</v>
      </c>
      <c r="D3053">
        <v>0</v>
      </c>
      <c r="E3053">
        <v>0</v>
      </c>
      <c r="F3053">
        <v>0</v>
      </c>
      <c r="G3053">
        <v>-138.53119468999989</v>
      </c>
      <c r="H3053">
        <v>-3367.188307240001</v>
      </c>
      <c r="I3053">
        <v>0</v>
      </c>
      <c r="J3053">
        <v>0</v>
      </c>
      <c r="K3053">
        <v>2.7718040199999998</v>
      </c>
      <c r="L3053">
        <v>0</v>
      </c>
      <c r="M3053">
        <v>0</v>
      </c>
      <c r="N3053">
        <v>0</v>
      </c>
      <c r="O3053">
        <v>53.635504249749602</v>
      </c>
      <c r="P3053">
        <v>470376.50332973979</v>
      </c>
    </row>
    <row r="3054" spans="1:16" x14ac:dyDescent="0.25">
      <c r="A3054" s="10">
        <v>42142</v>
      </c>
      <c r="B3054">
        <v>-250.67692679003761</v>
      </c>
      <c r="C3054">
        <v>226.54236184999999</v>
      </c>
      <c r="D3054">
        <v>0</v>
      </c>
      <c r="E3054">
        <v>0</v>
      </c>
      <c r="F3054">
        <v>0</v>
      </c>
      <c r="G3054">
        <v>-44.334455100000007</v>
      </c>
      <c r="H3054">
        <v>-399.25316790999932</v>
      </c>
      <c r="I3054">
        <v>0</v>
      </c>
      <c r="J3054">
        <v>0</v>
      </c>
      <c r="K3054">
        <v>9.0077066900000009</v>
      </c>
      <c r="L3054">
        <v>0</v>
      </c>
      <c r="M3054">
        <v>0</v>
      </c>
      <c r="N3054">
        <v>0</v>
      </c>
      <c r="O3054">
        <v>-42.639372320038191</v>
      </c>
      <c r="P3054">
        <v>470125.82640294981</v>
      </c>
    </row>
    <row r="3055" spans="1:16" x14ac:dyDescent="0.25">
      <c r="A3055" s="10">
        <v>42143</v>
      </c>
      <c r="B3055">
        <v>-2533.305096919707</v>
      </c>
      <c r="C3055">
        <v>404.83100000000002</v>
      </c>
      <c r="D3055">
        <v>0</v>
      </c>
      <c r="E3055">
        <v>0</v>
      </c>
      <c r="F3055">
        <v>0</v>
      </c>
      <c r="G3055">
        <v>227.0786283499998</v>
      </c>
      <c r="H3055">
        <v>-3123.8794609999991</v>
      </c>
      <c r="I3055">
        <v>0</v>
      </c>
      <c r="J3055">
        <v>0</v>
      </c>
      <c r="K3055">
        <v>2.9040662400000001</v>
      </c>
      <c r="L3055">
        <v>0</v>
      </c>
      <c r="M3055">
        <v>0</v>
      </c>
      <c r="N3055">
        <v>0</v>
      </c>
      <c r="O3055">
        <v>-44.239330509707813</v>
      </c>
      <c r="P3055">
        <v>467592.5213060301</v>
      </c>
    </row>
    <row r="3056" spans="1:16" x14ac:dyDescent="0.25">
      <c r="A3056" s="10">
        <v>42144</v>
      </c>
      <c r="B3056">
        <v>242.39849061984529</v>
      </c>
      <c r="C3056">
        <v>-194.675488</v>
      </c>
      <c r="D3056">
        <v>0</v>
      </c>
      <c r="E3056">
        <v>0</v>
      </c>
      <c r="F3056">
        <v>0</v>
      </c>
      <c r="G3056">
        <v>68.364202780000142</v>
      </c>
      <c r="H3056">
        <v>2021.3028024899979</v>
      </c>
      <c r="I3056">
        <v>0</v>
      </c>
      <c r="J3056">
        <v>0</v>
      </c>
      <c r="K3056">
        <v>4.2933826399999999</v>
      </c>
      <c r="L3056">
        <v>-1643</v>
      </c>
      <c r="M3056">
        <v>0</v>
      </c>
      <c r="N3056">
        <v>0</v>
      </c>
      <c r="O3056">
        <v>-13.88640929015232</v>
      </c>
      <c r="P3056">
        <v>467834.91979664989</v>
      </c>
    </row>
    <row r="3057" spans="1:16" x14ac:dyDescent="0.25">
      <c r="A3057" s="10">
        <v>42145</v>
      </c>
      <c r="B3057">
        <v>-5315.3434060801528</v>
      </c>
      <c r="C3057">
        <v>421.57263699999999</v>
      </c>
      <c r="D3057">
        <v>0</v>
      </c>
      <c r="E3057">
        <v>0</v>
      </c>
      <c r="F3057">
        <v>0</v>
      </c>
      <c r="G3057">
        <v>-1218.02754226</v>
      </c>
      <c r="H3057">
        <v>-4519.7670330199981</v>
      </c>
      <c r="I3057">
        <v>0</v>
      </c>
      <c r="J3057">
        <v>0</v>
      </c>
      <c r="K3057">
        <v>3.7360329499999998</v>
      </c>
      <c r="L3057">
        <v>0</v>
      </c>
      <c r="M3057">
        <v>0</v>
      </c>
      <c r="N3057">
        <v>0</v>
      </c>
      <c r="O3057">
        <v>-2.8575007501545771</v>
      </c>
      <c r="P3057">
        <v>462519.57639056991</v>
      </c>
    </row>
    <row r="3058" spans="1:16" x14ac:dyDescent="0.25">
      <c r="A3058" s="10">
        <v>42146</v>
      </c>
      <c r="B3058">
        <v>3135.0175007102061</v>
      </c>
      <c r="C3058">
        <v>419.23685</v>
      </c>
      <c r="D3058">
        <v>0</v>
      </c>
      <c r="E3058">
        <v>0</v>
      </c>
      <c r="F3058">
        <v>0</v>
      </c>
      <c r="G3058">
        <v>1854.5803636799999</v>
      </c>
      <c r="H3058">
        <v>868.11971813999844</v>
      </c>
      <c r="I3058">
        <v>0</v>
      </c>
      <c r="J3058">
        <v>0</v>
      </c>
      <c r="K3058">
        <v>3.8212566200000002</v>
      </c>
      <c r="L3058">
        <v>0</v>
      </c>
      <c r="M3058">
        <v>0</v>
      </c>
      <c r="N3058">
        <v>0</v>
      </c>
      <c r="O3058">
        <v>-10.740687729792439</v>
      </c>
      <c r="P3058">
        <v>465654.59389128</v>
      </c>
    </row>
    <row r="3059" spans="1:16" x14ac:dyDescent="0.25">
      <c r="A3059" s="10">
        <v>42150</v>
      </c>
      <c r="B3059">
        <v>-341.34801900980511</v>
      </c>
      <c r="C3059">
        <v>142.76087100000001</v>
      </c>
      <c r="D3059">
        <v>0</v>
      </c>
      <c r="E3059">
        <v>0</v>
      </c>
      <c r="F3059">
        <v>0</v>
      </c>
      <c r="G3059">
        <v>-249.41894697000001</v>
      </c>
      <c r="H3059">
        <v>-182.07255847000121</v>
      </c>
      <c r="I3059">
        <v>0</v>
      </c>
      <c r="J3059">
        <v>0</v>
      </c>
      <c r="K3059">
        <v>17.084612240000009</v>
      </c>
      <c r="L3059">
        <v>0</v>
      </c>
      <c r="M3059">
        <v>0</v>
      </c>
      <c r="N3059">
        <v>0</v>
      </c>
      <c r="O3059">
        <v>-69.701996809803859</v>
      </c>
      <c r="P3059">
        <v>465313.24587227008</v>
      </c>
    </row>
    <row r="3060" spans="1:16" x14ac:dyDescent="0.25">
      <c r="A3060" s="10">
        <v>42151</v>
      </c>
      <c r="B3060">
        <v>3994.456073330015</v>
      </c>
      <c r="C3060">
        <v>289.32100000000003</v>
      </c>
      <c r="D3060">
        <v>0</v>
      </c>
      <c r="E3060">
        <v>-2700</v>
      </c>
      <c r="F3060">
        <v>0</v>
      </c>
      <c r="G3060">
        <v>6286.8855626599998</v>
      </c>
      <c r="H3060">
        <v>-2506.554461780001</v>
      </c>
      <c r="I3060">
        <v>0</v>
      </c>
      <c r="J3060">
        <v>0</v>
      </c>
      <c r="K3060">
        <v>4.1370295400000003</v>
      </c>
      <c r="L3060">
        <v>2970.6</v>
      </c>
      <c r="M3060">
        <v>0</v>
      </c>
      <c r="N3060">
        <v>0</v>
      </c>
      <c r="O3060">
        <v>-349.93305708998361</v>
      </c>
      <c r="P3060">
        <v>469307.70194560022</v>
      </c>
    </row>
    <row r="3061" spans="1:16" x14ac:dyDescent="0.25">
      <c r="A3061" s="10">
        <v>42152</v>
      </c>
      <c r="B3061">
        <v>-6923.9669030104396</v>
      </c>
      <c r="C3061">
        <v>132.518</v>
      </c>
      <c r="D3061">
        <v>0</v>
      </c>
      <c r="E3061">
        <v>2700</v>
      </c>
      <c r="F3061">
        <v>0</v>
      </c>
      <c r="G3061">
        <v>140.84168141000009</v>
      </c>
      <c r="H3061">
        <v>-9395.9199763500037</v>
      </c>
      <c r="I3061">
        <v>0</v>
      </c>
      <c r="J3061">
        <v>0</v>
      </c>
      <c r="K3061">
        <v>18.248637330000001</v>
      </c>
      <c r="L3061">
        <v>0</v>
      </c>
      <c r="M3061">
        <v>0</v>
      </c>
      <c r="N3061">
        <v>0</v>
      </c>
      <c r="O3061">
        <v>-519.65524540043555</v>
      </c>
      <c r="P3061">
        <v>462383.73504258977</v>
      </c>
    </row>
    <row r="3062" spans="1:16" x14ac:dyDescent="0.25">
      <c r="A3062" s="10">
        <v>42153</v>
      </c>
      <c r="B3062">
        <v>-280.33919220004549</v>
      </c>
      <c r="C3062">
        <v>942.256259</v>
      </c>
      <c r="D3062">
        <v>0</v>
      </c>
      <c r="E3062">
        <v>0</v>
      </c>
      <c r="F3062">
        <v>12000</v>
      </c>
      <c r="G3062">
        <v>-12748.304967919999</v>
      </c>
      <c r="H3062">
        <v>-71.03062184999726</v>
      </c>
      <c r="I3062">
        <v>0</v>
      </c>
      <c r="J3062">
        <v>0</v>
      </c>
      <c r="K3062">
        <v>9.8904363100000019</v>
      </c>
      <c r="L3062">
        <v>0</v>
      </c>
      <c r="M3062">
        <v>0</v>
      </c>
      <c r="N3062">
        <v>0</v>
      </c>
      <c r="O3062">
        <v>-413.1502977400487</v>
      </c>
      <c r="P3062">
        <v>462103.39585038967</v>
      </c>
    </row>
    <row r="3063" spans="1:16" x14ac:dyDescent="0.25">
      <c r="A3063" s="10">
        <v>42156</v>
      </c>
      <c r="B3063">
        <v>16780.298857730111</v>
      </c>
      <c r="C3063">
        <v>127.222948</v>
      </c>
      <c r="D3063">
        <v>0</v>
      </c>
      <c r="E3063">
        <v>0</v>
      </c>
      <c r="F3063">
        <v>0</v>
      </c>
      <c r="G3063">
        <v>-167.57118136999989</v>
      </c>
      <c r="H3063">
        <v>17429.29104068</v>
      </c>
      <c r="I3063">
        <v>0</v>
      </c>
      <c r="J3063">
        <v>0</v>
      </c>
      <c r="K3063">
        <v>28.552416829999999</v>
      </c>
      <c r="L3063">
        <v>49.899999999999977</v>
      </c>
      <c r="M3063">
        <v>0</v>
      </c>
      <c r="N3063">
        <v>0</v>
      </c>
      <c r="O3063">
        <v>-687.09636640988174</v>
      </c>
      <c r="P3063">
        <v>478883.69470811979</v>
      </c>
    </row>
    <row r="3064" spans="1:16" x14ac:dyDescent="0.25">
      <c r="A3064" s="10">
        <v>42157</v>
      </c>
      <c r="B3064">
        <v>2358.2140042900569</v>
      </c>
      <c r="C3064">
        <v>-248.20097899999999</v>
      </c>
      <c r="D3064">
        <v>0</v>
      </c>
      <c r="E3064">
        <v>0</v>
      </c>
      <c r="F3064">
        <v>0</v>
      </c>
      <c r="G3064">
        <v>515.38304465999977</v>
      </c>
      <c r="H3064">
        <v>2005.2312522000011</v>
      </c>
      <c r="I3064">
        <v>0</v>
      </c>
      <c r="J3064">
        <v>0</v>
      </c>
      <c r="K3064">
        <v>3.4584942500000002</v>
      </c>
      <c r="L3064">
        <v>0</v>
      </c>
      <c r="M3064">
        <v>0</v>
      </c>
      <c r="N3064">
        <v>0</v>
      </c>
      <c r="O3064">
        <v>82.342192180056003</v>
      </c>
      <c r="P3064">
        <v>481241.9087124099</v>
      </c>
    </row>
    <row r="3065" spans="1:16" x14ac:dyDescent="0.25">
      <c r="A3065" s="10">
        <v>42158</v>
      </c>
      <c r="B3065">
        <v>-5974.9102921602307</v>
      </c>
      <c r="C3065">
        <v>-1047.914</v>
      </c>
      <c r="D3065">
        <v>0</v>
      </c>
      <c r="E3065">
        <v>0</v>
      </c>
      <c r="F3065">
        <v>0</v>
      </c>
      <c r="G3065">
        <v>-3697.1067664099992</v>
      </c>
      <c r="H3065">
        <v>-738.93637377999949</v>
      </c>
      <c r="I3065">
        <v>0</v>
      </c>
      <c r="J3065">
        <v>0</v>
      </c>
      <c r="K3065">
        <v>2.8783959100000001</v>
      </c>
      <c r="L3065">
        <v>-478.2</v>
      </c>
      <c r="M3065">
        <v>0</v>
      </c>
      <c r="N3065">
        <v>0</v>
      </c>
      <c r="O3065">
        <v>-15.63154788023221</v>
      </c>
      <c r="P3065">
        <v>475266.99842024973</v>
      </c>
    </row>
    <row r="3066" spans="1:16" x14ac:dyDescent="0.25">
      <c r="A3066" s="10">
        <v>42159</v>
      </c>
      <c r="B3066">
        <v>9489.3156561204232</v>
      </c>
      <c r="C3066">
        <v>661.12400000000002</v>
      </c>
      <c r="D3066">
        <v>0</v>
      </c>
      <c r="E3066">
        <v>0</v>
      </c>
      <c r="F3066">
        <v>0</v>
      </c>
      <c r="G3066">
        <v>6474.1940431700004</v>
      </c>
      <c r="H3066">
        <v>-115.0420117400008</v>
      </c>
      <c r="I3066">
        <v>0</v>
      </c>
      <c r="J3066">
        <v>0</v>
      </c>
      <c r="K3066">
        <v>3.0657238200000001</v>
      </c>
      <c r="L3066">
        <v>0</v>
      </c>
      <c r="M3066">
        <v>0</v>
      </c>
      <c r="N3066">
        <v>0</v>
      </c>
      <c r="O3066">
        <v>2465.973900870425</v>
      </c>
      <c r="P3066">
        <v>484756.31407637009</v>
      </c>
    </row>
    <row r="3067" spans="1:16" x14ac:dyDescent="0.25">
      <c r="A3067" s="10">
        <v>42160</v>
      </c>
      <c r="B3067">
        <v>-1842.790170770081</v>
      </c>
      <c r="C3067">
        <v>949.82299999999998</v>
      </c>
      <c r="D3067">
        <v>0</v>
      </c>
      <c r="E3067">
        <v>0</v>
      </c>
      <c r="F3067">
        <v>0</v>
      </c>
      <c r="G3067">
        <v>991.2012486499998</v>
      </c>
      <c r="H3067">
        <v>-3275.0384911499991</v>
      </c>
      <c r="I3067">
        <v>0</v>
      </c>
      <c r="J3067">
        <v>0</v>
      </c>
      <c r="K3067">
        <v>3.2230127999999998</v>
      </c>
      <c r="L3067">
        <v>0</v>
      </c>
      <c r="M3067">
        <v>0</v>
      </c>
      <c r="N3067">
        <v>0</v>
      </c>
      <c r="O3067">
        <v>-511.99894107008231</v>
      </c>
      <c r="P3067">
        <v>482913.52390560001</v>
      </c>
    </row>
    <row r="3068" spans="1:16" x14ac:dyDescent="0.25">
      <c r="A3068" s="10">
        <v>42163</v>
      </c>
      <c r="B3068">
        <v>8425.241245119716</v>
      </c>
      <c r="C3068">
        <v>213.00749999999999</v>
      </c>
      <c r="D3068">
        <v>0</v>
      </c>
      <c r="E3068">
        <v>0</v>
      </c>
      <c r="F3068">
        <v>0</v>
      </c>
      <c r="G3068">
        <v>2509.0024906200001</v>
      </c>
      <c r="H3068">
        <v>3679.920030929999</v>
      </c>
      <c r="I3068">
        <v>0</v>
      </c>
      <c r="J3068">
        <v>-132.69999999999979</v>
      </c>
      <c r="K3068">
        <v>-19.23744835999964</v>
      </c>
      <c r="L3068">
        <v>2226.9</v>
      </c>
      <c r="M3068">
        <v>0</v>
      </c>
      <c r="N3068">
        <v>0</v>
      </c>
      <c r="O3068">
        <v>-51.651328070284578</v>
      </c>
      <c r="P3068">
        <v>491338.76515071967</v>
      </c>
    </row>
    <row r="3069" spans="1:16" x14ac:dyDescent="0.25">
      <c r="A3069" s="10">
        <v>42164</v>
      </c>
      <c r="B3069">
        <v>-363.04604277963472</v>
      </c>
      <c r="C3069">
        <v>300.96135800000008</v>
      </c>
      <c r="D3069">
        <v>0</v>
      </c>
      <c r="E3069">
        <v>0</v>
      </c>
      <c r="F3069">
        <v>0</v>
      </c>
      <c r="G3069">
        <v>-815.53783248000002</v>
      </c>
      <c r="H3069">
        <v>157.6610038099989</v>
      </c>
      <c r="I3069">
        <v>0</v>
      </c>
      <c r="J3069">
        <v>0</v>
      </c>
      <c r="K3069">
        <v>2.8194059199999999</v>
      </c>
      <c r="L3069">
        <v>0</v>
      </c>
      <c r="M3069">
        <v>0</v>
      </c>
      <c r="N3069">
        <v>0</v>
      </c>
      <c r="O3069">
        <v>-8.9499780296336908</v>
      </c>
      <c r="P3069">
        <v>490975.71910794009</v>
      </c>
    </row>
    <row r="3070" spans="1:16" x14ac:dyDescent="0.25">
      <c r="A3070" s="10">
        <v>42165</v>
      </c>
      <c r="B3070">
        <v>4455.295851670091</v>
      </c>
      <c r="C3070">
        <v>306.7355</v>
      </c>
      <c r="D3070">
        <v>0</v>
      </c>
      <c r="E3070">
        <v>0</v>
      </c>
      <c r="F3070">
        <v>0</v>
      </c>
      <c r="G3070">
        <v>593.35538712000005</v>
      </c>
      <c r="H3070">
        <v>2603.1414223100019</v>
      </c>
      <c r="I3070">
        <v>0</v>
      </c>
      <c r="J3070">
        <v>0</v>
      </c>
      <c r="K3070">
        <v>2.9047837200000002</v>
      </c>
      <c r="L3070">
        <v>962.5</v>
      </c>
      <c r="M3070">
        <v>0</v>
      </c>
      <c r="N3070">
        <v>0</v>
      </c>
      <c r="O3070">
        <v>-13.341241479911689</v>
      </c>
      <c r="P3070">
        <v>495431.01495961018</v>
      </c>
    </row>
    <row r="3071" spans="1:16" x14ac:dyDescent="0.25">
      <c r="A3071" s="10">
        <v>42166</v>
      </c>
      <c r="B3071">
        <v>9044.8832731696311</v>
      </c>
      <c r="C3071">
        <v>536.28300000000002</v>
      </c>
      <c r="D3071">
        <v>0</v>
      </c>
      <c r="E3071">
        <v>0</v>
      </c>
      <c r="F3071">
        <v>0</v>
      </c>
      <c r="G3071">
        <v>9321.1849034200004</v>
      </c>
      <c r="H3071">
        <v>-892.75226565000048</v>
      </c>
      <c r="I3071">
        <v>0</v>
      </c>
      <c r="J3071">
        <v>0</v>
      </c>
      <c r="K3071">
        <v>1.69678101</v>
      </c>
      <c r="L3071">
        <v>0</v>
      </c>
      <c r="M3071">
        <v>0</v>
      </c>
      <c r="N3071">
        <v>0</v>
      </c>
      <c r="O3071">
        <v>78.470854389632947</v>
      </c>
      <c r="P3071">
        <v>504475.89823277981</v>
      </c>
    </row>
    <row r="3072" spans="1:16" x14ac:dyDescent="0.25">
      <c r="A3072" s="10">
        <v>42167</v>
      </c>
      <c r="B3072">
        <v>-3026.7381276995879</v>
      </c>
      <c r="C3072">
        <v>2.4308740000000029</v>
      </c>
      <c r="D3072">
        <v>-2500</v>
      </c>
      <c r="E3072">
        <v>0</v>
      </c>
      <c r="F3072">
        <v>13000</v>
      </c>
      <c r="G3072">
        <v>-11339.557110760001</v>
      </c>
      <c r="H3072">
        <v>-2612.4530702199991</v>
      </c>
      <c r="I3072">
        <v>0</v>
      </c>
      <c r="J3072">
        <v>0</v>
      </c>
      <c r="K3072">
        <v>2.2080869500000002</v>
      </c>
      <c r="L3072">
        <v>0</v>
      </c>
      <c r="M3072">
        <v>0</v>
      </c>
      <c r="N3072">
        <v>0</v>
      </c>
      <c r="O3072">
        <v>420.63309233041019</v>
      </c>
      <c r="P3072">
        <v>501449.16010508023</v>
      </c>
    </row>
    <row r="3073" spans="1:16" x14ac:dyDescent="0.25">
      <c r="A3073" s="10">
        <v>42170</v>
      </c>
      <c r="B3073">
        <v>665.02949631970807</v>
      </c>
      <c r="C3073">
        <v>448.40944000000002</v>
      </c>
      <c r="D3073">
        <v>0</v>
      </c>
      <c r="E3073">
        <v>0</v>
      </c>
      <c r="F3073">
        <v>0</v>
      </c>
      <c r="G3073">
        <v>290.22076168999979</v>
      </c>
      <c r="H3073">
        <v>-429.49191012000119</v>
      </c>
      <c r="I3073">
        <v>0</v>
      </c>
      <c r="J3073">
        <v>0</v>
      </c>
      <c r="K3073">
        <v>8.290672579999999</v>
      </c>
      <c r="L3073">
        <v>0</v>
      </c>
      <c r="M3073">
        <v>0</v>
      </c>
      <c r="N3073">
        <v>0</v>
      </c>
      <c r="O3073">
        <v>347.6005321697096</v>
      </c>
      <c r="P3073">
        <v>502114.18960139988</v>
      </c>
    </row>
    <row r="3074" spans="1:16" x14ac:dyDescent="0.25">
      <c r="A3074" s="10">
        <v>42171</v>
      </c>
      <c r="B3074">
        <v>-3015.059326819784</v>
      </c>
      <c r="C3074">
        <v>5.561992999999994</v>
      </c>
      <c r="D3074">
        <v>0</v>
      </c>
      <c r="E3074">
        <v>0</v>
      </c>
      <c r="F3074">
        <v>0</v>
      </c>
      <c r="G3074">
        <v>-789.95853797999985</v>
      </c>
      <c r="H3074">
        <v>-2249.3793281400008</v>
      </c>
      <c r="I3074">
        <v>0</v>
      </c>
      <c r="J3074">
        <v>0</v>
      </c>
      <c r="K3074">
        <v>3.0944434699999999</v>
      </c>
      <c r="L3074">
        <v>36.700000000000017</v>
      </c>
      <c r="M3074">
        <v>0</v>
      </c>
      <c r="N3074">
        <v>0</v>
      </c>
      <c r="O3074">
        <v>-21.077897169782769</v>
      </c>
      <c r="P3074">
        <v>499099.13027458021</v>
      </c>
    </row>
    <row r="3075" spans="1:16" x14ac:dyDescent="0.25">
      <c r="A3075" s="10">
        <v>42172</v>
      </c>
      <c r="B3075">
        <v>-9419.0013467899425</v>
      </c>
      <c r="C3075">
        <v>-133.91215099999999</v>
      </c>
      <c r="D3075">
        <v>0</v>
      </c>
      <c r="E3075">
        <v>0</v>
      </c>
      <c r="F3075">
        <v>0</v>
      </c>
      <c r="G3075">
        <v>-2480.4228318099999</v>
      </c>
      <c r="H3075">
        <v>-3548.1367524199959</v>
      </c>
      <c r="I3075">
        <v>0</v>
      </c>
      <c r="J3075">
        <v>0</v>
      </c>
      <c r="K3075">
        <v>3.442111049999999</v>
      </c>
      <c r="L3075">
        <v>-3002.7</v>
      </c>
      <c r="M3075">
        <v>0</v>
      </c>
      <c r="N3075">
        <v>0</v>
      </c>
      <c r="O3075">
        <v>-257.27172260994593</v>
      </c>
      <c r="P3075">
        <v>489680.12892779021</v>
      </c>
    </row>
    <row r="3076" spans="1:16" x14ac:dyDescent="0.25">
      <c r="A3076" s="10">
        <v>42173</v>
      </c>
      <c r="B3076">
        <v>-3094.535058910144</v>
      </c>
      <c r="C3076">
        <v>-158.91176999999999</v>
      </c>
      <c r="D3076">
        <v>0</v>
      </c>
      <c r="E3076">
        <v>0</v>
      </c>
      <c r="F3076">
        <v>0</v>
      </c>
      <c r="G3076">
        <v>-2838.7670065399998</v>
      </c>
      <c r="H3076">
        <v>-47.968669339999913</v>
      </c>
      <c r="I3076">
        <v>0</v>
      </c>
      <c r="J3076">
        <v>0</v>
      </c>
      <c r="K3076">
        <v>4.7797049499999993</v>
      </c>
      <c r="L3076">
        <v>-43.199999999999989</v>
      </c>
      <c r="M3076">
        <v>0</v>
      </c>
      <c r="N3076">
        <v>0</v>
      </c>
      <c r="O3076">
        <v>-10.4673179801438</v>
      </c>
      <c r="P3076">
        <v>486585.59386888013</v>
      </c>
    </row>
    <row r="3077" spans="1:16" x14ac:dyDescent="0.25">
      <c r="A3077" s="10">
        <v>42174</v>
      </c>
      <c r="B3077">
        <v>-5105.9378096798901</v>
      </c>
      <c r="C3077">
        <v>68.884903999999992</v>
      </c>
      <c r="D3077">
        <v>0</v>
      </c>
      <c r="E3077">
        <v>0</v>
      </c>
      <c r="F3077">
        <v>0</v>
      </c>
      <c r="G3077">
        <v>-2246.6849739700001</v>
      </c>
      <c r="H3077">
        <v>-2856.3305640100039</v>
      </c>
      <c r="I3077">
        <v>0</v>
      </c>
      <c r="J3077">
        <v>0</v>
      </c>
      <c r="K3077">
        <v>4.6690892399999999</v>
      </c>
      <c r="L3077">
        <v>-62.800000000000011</v>
      </c>
      <c r="M3077">
        <v>0</v>
      </c>
      <c r="N3077">
        <v>0</v>
      </c>
      <c r="O3077">
        <v>-13.676264939885909</v>
      </c>
      <c r="P3077">
        <v>481479.65605920018</v>
      </c>
    </row>
    <row r="3078" spans="1:16" x14ac:dyDescent="0.25">
      <c r="A3078" s="10">
        <v>42177</v>
      </c>
      <c r="B3078">
        <v>-1226.1230973105401</v>
      </c>
      <c r="C3078">
        <v>156.91868199999999</v>
      </c>
      <c r="D3078">
        <v>-6500</v>
      </c>
      <c r="E3078">
        <v>0</v>
      </c>
      <c r="F3078">
        <v>0</v>
      </c>
      <c r="G3078">
        <v>5669.2928631199993</v>
      </c>
      <c r="H3078">
        <v>-481.73884498999911</v>
      </c>
      <c r="I3078">
        <v>0</v>
      </c>
      <c r="J3078">
        <v>0</v>
      </c>
      <c r="K3078">
        <v>16.719153909999999</v>
      </c>
      <c r="L3078">
        <v>0</v>
      </c>
      <c r="M3078">
        <v>0</v>
      </c>
      <c r="N3078">
        <v>0</v>
      </c>
      <c r="O3078">
        <v>-87.314951350540056</v>
      </c>
      <c r="P3078">
        <v>480253.53296188969</v>
      </c>
    </row>
    <row r="3079" spans="1:16" x14ac:dyDescent="0.25">
      <c r="A3079" s="10">
        <v>42178</v>
      </c>
      <c r="B3079">
        <v>3348.1556080300938</v>
      </c>
      <c r="C3079">
        <v>1075.625</v>
      </c>
      <c r="D3079">
        <v>17713</v>
      </c>
      <c r="E3079">
        <v>0</v>
      </c>
      <c r="F3079">
        <v>0</v>
      </c>
      <c r="G3079">
        <v>-15526.088968530001</v>
      </c>
      <c r="H3079">
        <v>-332.14187767000112</v>
      </c>
      <c r="I3079">
        <v>0</v>
      </c>
      <c r="J3079">
        <v>0</v>
      </c>
      <c r="K3079">
        <v>6.1112138500000004</v>
      </c>
      <c r="L3079">
        <v>0</v>
      </c>
      <c r="M3079">
        <v>0</v>
      </c>
      <c r="N3079">
        <v>0</v>
      </c>
      <c r="O3079">
        <v>411.65024038009477</v>
      </c>
      <c r="P3079">
        <v>483601.68856991967</v>
      </c>
    </row>
    <row r="3080" spans="1:16" x14ac:dyDescent="0.25">
      <c r="A3080" s="10">
        <v>42179</v>
      </c>
      <c r="B3080">
        <v>3931.100647370039</v>
      </c>
      <c r="C3080">
        <v>813.89</v>
      </c>
      <c r="D3080">
        <v>0</v>
      </c>
      <c r="E3080">
        <v>0</v>
      </c>
      <c r="F3080">
        <v>0</v>
      </c>
      <c r="G3080">
        <v>2572.0250436299989</v>
      </c>
      <c r="H3080">
        <v>9517.9882145500014</v>
      </c>
      <c r="I3080">
        <v>0</v>
      </c>
      <c r="J3080">
        <v>0</v>
      </c>
      <c r="K3080">
        <v>7.5579271500000003</v>
      </c>
      <c r="L3080">
        <v>-8984.5</v>
      </c>
      <c r="M3080">
        <v>0</v>
      </c>
      <c r="N3080">
        <v>0</v>
      </c>
      <c r="O3080">
        <v>4.139462040040236</v>
      </c>
      <c r="P3080">
        <v>487532.78921728983</v>
      </c>
    </row>
    <row r="3081" spans="1:16" x14ac:dyDescent="0.25">
      <c r="A3081" s="10">
        <v>42180</v>
      </c>
      <c r="B3081">
        <v>-6191.154898409497</v>
      </c>
      <c r="C3081">
        <v>536.71411711000007</v>
      </c>
      <c r="D3081">
        <v>0</v>
      </c>
      <c r="E3081">
        <v>0</v>
      </c>
      <c r="F3081">
        <v>0</v>
      </c>
      <c r="G3081">
        <v>12670.216290750001</v>
      </c>
      <c r="H3081">
        <v>-19318.725021819999</v>
      </c>
      <c r="I3081">
        <v>0</v>
      </c>
      <c r="J3081">
        <v>0</v>
      </c>
      <c r="K3081">
        <v>4.1089779699999998</v>
      </c>
      <c r="L3081">
        <v>-198.5</v>
      </c>
      <c r="M3081">
        <v>0</v>
      </c>
      <c r="N3081">
        <v>0</v>
      </c>
      <c r="O3081">
        <v>115.0307375805023</v>
      </c>
      <c r="P3081">
        <v>481341.63431888027</v>
      </c>
    </row>
    <row r="3082" spans="1:16" x14ac:dyDescent="0.25">
      <c r="A3082" s="10">
        <v>42181</v>
      </c>
      <c r="B3082">
        <v>6542.5272593198461</v>
      </c>
      <c r="C3082">
        <v>1108.9942695899999</v>
      </c>
      <c r="D3082">
        <v>0</v>
      </c>
      <c r="E3082">
        <v>4000</v>
      </c>
      <c r="F3082">
        <v>0</v>
      </c>
      <c r="G3082">
        <v>-2846.1256469199998</v>
      </c>
      <c r="H3082">
        <v>3831.549049890004</v>
      </c>
      <c r="I3082">
        <v>0</v>
      </c>
      <c r="J3082">
        <v>0</v>
      </c>
      <c r="K3082">
        <v>10.92682289</v>
      </c>
      <c r="L3082">
        <v>0</v>
      </c>
      <c r="M3082">
        <v>0</v>
      </c>
      <c r="N3082">
        <v>0</v>
      </c>
      <c r="O3082">
        <v>437.18276386984269</v>
      </c>
      <c r="P3082">
        <v>487884.16157820012</v>
      </c>
    </row>
    <row r="3083" spans="1:16" x14ac:dyDescent="0.25">
      <c r="A3083" s="10">
        <v>42184</v>
      </c>
      <c r="B3083">
        <v>-2890.087349820064</v>
      </c>
      <c r="C3083">
        <v>814.31150000000002</v>
      </c>
      <c r="D3083">
        <v>0</v>
      </c>
      <c r="E3083">
        <v>0</v>
      </c>
      <c r="F3083">
        <v>0</v>
      </c>
      <c r="G3083">
        <v>-123.3181107000001</v>
      </c>
      <c r="H3083">
        <v>-3562.9417901699999</v>
      </c>
      <c r="I3083">
        <v>0</v>
      </c>
      <c r="J3083">
        <v>0</v>
      </c>
      <c r="K3083">
        <v>28.33772526000001</v>
      </c>
      <c r="L3083">
        <v>0</v>
      </c>
      <c r="M3083">
        <v>0</v>
      </c>
      <c r="N3083">
        <v>0</v>
      </c>
      <c r="O3083">
        <v>-46.476674210063898</v>
      </c>
      <c r="P3083">
        <v>484994.07422838011</v>
      </c>
    </row>
    <row r="3084" spans="1:16" x14ac:dyDescent="0.25">
      <c r="A3084" s="10">
        <v>42185</v>
      </c>
      <c r="B3084">
        <v>-2274.7710962500419</v>
      </c>
      <c r="C3084">
        <v>-192.8187259999998</v>
      </c>
      <c r="D3084">
        <v>0</v>
      </c>
      <c r="E3084">
        <v>0</v>
      </c>
      <c r="F3084">
        <v>0</v>
      </c>
      <c r="G3084">
        <v>118.0830539300001</v>
      </c>
      <c r="H3084">
        <v>-2643.5744396699961</v>
      </c>
      <c r="I3084">
        <v>0</v>
      </c>
      <c r="J3084">
        <v>0</v>
      </c>
      <c r="K3084">
        <v>12.319726340000001</v>
      </c>
      <c r="L3084">
        <v>0</v>
      </c>
      <c r="M3084">
        <v>0</v>
      </c>
      <c r="N3084">
        <v>0</v>
      </c>
      <c r="O3084">
        <v>431.21928914995289</v>
      </c>
      <c r="P3084">
        <v>482719.30313213001</v>
      </c>
    </row>
    <row r="3085" spans="1:16" x14ac:dyDescent="0.25">
      <c r="A3085" s="10">
        <v>42186</v>
      </c>
      <c r="B3085">
        <v>17612.169315789881</v>
      </c>
      <c r="C3085">
        <v>724.56887118000009</v>
      </c>
      <c r="D3085">
        <v>-898.8</v>
      </c>
      <c r="E3085">
        <v>0</v>
      </c>
      <c r="F3085">
        <v>0</v>
      </c>
      <c r="G3085">
        <v>1287.8643002700001</v>
      </c>
      <c r="H3085">
        <v>16388.694373990002</v>
      </c>
      <c r="I3085">
        <v>0</v>
      </c>
      <c r="J3085">
        <v>0</v>
      </c>
      <c r="K3085">
        <v>11.439667500000001</v>
      </c>
      <c r="L3085">
        <v>-13.299999999999979</v>
      </c>
      <c r="M3085">
        <v>0</v>
      </c>
      <c r="N3085">
        <v>0</v>
      </c>
      <c r="O3085">
        <v>111.7021028498806</v>
      </c>
      <c r="P3085">
        <v>500331.47244791978</v>
      </c>
    </row>
    <row r="3086" spans="1:16" x14ac:dyDescent="0.25">
      <c r="A3086" s="10">
        <v>42187</v>
      </c>
      <c r="B3086">
        <v>4340.7029555501076</v>
      </c>
      <c r="C3086">
        <v>177.70041699999999</v>
      </c>
      <c r="D3086">
        <v>0</v>
      </c>
      <c r="E3086">
        <v>0</v>
      </c>
      <c r="F3086">
        <v>0</v>
      </c>
      <c r="G3086">
        <v>-78.614884559999993</v>
      </c>
      <c r="H3086">
        <v>4232.8689118399998</v>
      </c>
      <c r="I3086">
        <v>0</v>
      </c>
      <c r="J3086">
        <v>0</v>
      </c>
      <c r="K3086">
        <v>5.6356869200000004</v>
      </c>
      <c r="L3086">
        <v>0</v>
      </c>
      <c r="M3086">
        <v>0</v>
      </c>
      <c r="N3086">
        <v>0</v>
      </c>
      <c r="O3086">
        <v>3.1128243501083488</v>
      </c>
      <c r="P3086">
        <v>504672.17540347</v>
      </c>
    </row>
    <row r="3087" spans="1:16" x14ac:dyDescent="0.25">
      <c r="A3087" s="10">
        <v>42188</v>
      </c>
      <c r="B3087">
        <v>5921.8809449800156</v>
      </c>
      <c r="C3087">
        <v>68.930000000000007</v>
      </c>
      <c r="D3087">
        <v>0</v>
      </c>
      <c r="E3087">
        <v>0</v>
      </c>
      <c r="F3087">
        <v>0</v>
      </c>
      <c r="G3087">
        <v>-1759.72255101</v>
      </c>
      <c r="H3087">
        <v>6021.5767500599977</v>
      </c>
      <c r="I3087">
        <v>0</v>
      </c>
      <c r="J3087">
        <v>8.3676648400000886</v>
      </c>
      <c r="K3087">
        <v>4.1265546799999999</v>
      </c>
      <c r="L3087">
        <v>1564.7</v>
      </c>
      <c r="M3087">
        <v>0</v>
      </c>
      <c r="N3087">
        <v>0</v>
      </c>
      <c r="O3087">
        <v>13.90252641001825</v>
      </c>
      <c r="P3087">
        <v>510594.05634845002</v>
      </c>
    </row>
    <row r="3088" spans="1:16" x14ac:dyDescent="0.25">
      <c r="A3088" s="10">
        <v>42191</v>
      </c>
      <c r="B3088">
        <v>-985.03826393000759</v>
      </c>
      <c r="C3088">
        <v>-762.68399999999997</v>
      </c>
      <c r="D3088">
        <v>0</v>
      </c>
      <c r="E3088">
        <v>0</v>
      </c>
      <c r="F3088">
        <v>0</v>
      </c>
      <c r="G3088">
        <v>10374.282422189999</v>
      </c>
      <c r="H3088">
        <v>-10062.785625320001</v>
      </c>
      <c r="I3088">
        <v>0</v>
      </c>
      <c r="J3088">
        <v>0</v>
      </c>
      <c r="K3088">
        <v>5.90716558</v>
      </c>
      <c r="L3088">
        <v>0</v>
      </c>
      <c r="M3088">
        <v>0</v>
      </c>
      <c r="N3088">
        <v>0</v>
      </c>
      <c r="O3088">
        <v>-539.75822638000682</v>
      </c>
      <c r="P3088">
        <v>509609.01808452001</v>
      </c>
    </row>
    <row r="3089" spans="1:16" x14ac:dyDescent="0.25">
      <c r="A3089" s="10">
        <v>42192</v>
      </c>
      <c r="B3089">
        <v>4206.7100674199764</v>
      </c>
      <c r="C3089">
        <v>242.851845</v>
      </c>
      <c r="D3089">
        <v>0</v>
      </c>
      <c r="E3089">
        <v>0</v>
      </c>
      <c r="F3089">
        <v>0</v>
      </c>
      <c r="G3089">
        <v>1275.3351742899999</v>
      </c>
      <c r="H3089">
        <v>2733.2258173300002</v>
      </c>
      <c r="I3089">
        <v>0</v>
      </c>
      <c r="J3089">
        <v>0</v>
      </c>
      <c r="K3089">
        <v>5.4670812400000024</v>
      </c>
      <c r="L3089">
        <v>0</v>
      </c>
      <c r="M3089">
        <v>0</v>
      </c>
      <c r="N3089">
        <v>0</v>
      </c>
      <c r="O3089">
        <v>-50.169850440024128</v>
      </c>
      <c r="P3089">
        <v>513815.72815193998</v>
      </c>
    </row>
    <row r="3090" spans="1:16" x14ac:dyDescent="0.25">
      <c r="A3090" s="10">
        <v>42193</v>
      </c>
      <c r="B3090">
        <v>1052.5407594499411</v>
      </c>
      <c r="C3090">
        <v>150.00190000000001</v>
      </c>
      <c r="D3090">
        <v>-1000</v>
      </c>
      <c r="E3090">
        <v>0</v>
      </c>
      <c r="F3090">
        <v>0</v>
      </c>
      <c r="G3090">
        <v>1103.46940359</v>
      </c>
      <c r="H3090">
        <v>-2008.8069863799969</v>
      </c>
      <c r="I3090">
        <v>0</v>
      </c>
      <c r="J3090">
        <v>-137.69999999999979</v>
      </c>
      <c r="K3090">
        <v>-23.149229399999641</v>
      </c>
      <c r="L3090">
        <v>3107.9</v>
      </c>
      <c r="M3090">
        <v>0</v>
      </c>
      <c r="N3090">
        <v>0</v>
      </c>
      <c r="O3090">
        <v>-139.17432836006139</v>
      </c>
      <c r="P3090">
        <v>514868.26891138993</v>
      </c>
    </row>
    <row r="3091" spans="1:16" x14ac:dyDescent="0.25">
      <c r="A3091" s="10">
        <v>42195</v>
      </c>
      <c r="B3091">
        <v>2912.5662973101139</v>
      </c>
      <c r="C3091">
        <v>-5.1660000000000963</v>
      </c>
      <c r="D3091">
        <v>0</v>
      </c>
      <c r="E3091">
        <v>0</v>
      </c>
      <c r="F3091">
        <v>0</v>
      </c>
      <c r="G3091">
        <v>20.260510930000009</v>
      </c>
      <c r="H3091">
        <v>2500.9493467299981</v>
      </c>
      <c r="I3091">
        <v>0</v>
      </c>
      <c r="J3091">
        <v>0</v>
      </c>
      <c r="K3091">
        <v>11.042382440000001</v>
      </c>
      <c r="L3091">
        <v>0</v>
      </c>
      <c r="M3091">
        <v>0</v>
      </c>
      <c r="N3091">
        <v>0</v>
      </c>
      <c r="O3091">
        <v>385.48005721011651</v>
      </c>
      <c r="P3091">
        <v>517780.83520869998</v>
      </c>
    </row>
    <row r="3092" spans="1:16" x14ac:dyDescent="0.25">
      <c r="A3092" s="10">
        <v>42198</v>
      </c>
      <c r="B3092">
        <v>-1980.627338560239</v>
      </c>
      <c r="C3092">
        <v>490.15</v>
      </c>
      <c r="D3092">
        <v>0</v>
      </c>
      <c r="E3092">
        <v>0</v>
      </c>
      <c r="F3092">
        <v>0</v>
      </c>
      <c r="G3092">
        <v>-1036.78543737</v>
      </c>
      <c r="H3092">
        <v>-1326.482550379998</v>
      </c>
      <c r="I3092">
        <v>0</v>
      </c>
      <c r="J3092">
        <v>0</v>
      </c>
      <c r="K3092">
        <v>14.488927459999999</v>
      </c>
      <c r="L3092">
        <v>0</v>
      </c>
      <c r="M3092">
        <v>0</v>
      </c>
      <c r="N3092">
        <v>0</v>
      </c>
      <c r="O3092">
        <v>-121.9982782702405</v>
      </c>
      <c r="P3092">
        <v>515800.2078701398</v>
      </c>
    </row>
    <row r="3093" spans="1:16" x14ac:dyDescent="0.25">
      <c r="A3093" s="10">
        <v>42199</v>
      </c>
      <c r="B3093">
        <v>1539.3717291702631</v>
      </c>
      <c r="C3093">
        <v>-464.25386600000002</v>
      </c>
      <c r="D3093">
        <v>0</v>
      </c>
      <c r="E3093">
        <v>0</v>
      </c>
      <c r="F3093">
        <v>0</v>
      </c>
      <c r="G3093">
        <v>-712.73379176999993</v>
      </c>
      <c r="H3093">
        <v>1604.877692959999</v>
      </c>
      <c r="I3093">
        <v>0</v>
      </c>
      <c r="J3093">
        <v>0</v>
      </c>
      <c r="K3093">
        <v>4.8287202100000002</v>
      </c>
      <c r="L3093">
        <v>759.3</v>
      </c>
      <c r="M3093">
        <v>0</v>
      </c>
      <c r="N3093">
        <v>0</v>
      </c>
      <c r="O3093">
        <v>347.35297377026433</v>
      </c>
      <c r="P3093">
        <v>517339.57959931012</v>
      </c>
    </row>
    <row r="3094" spans="1:16" x14ac:dyDescent="0.25">
      <c r="A3094" s="10">
        <v>42200</v>
      </c>
      <c r="B3094">
        <v>-860.26271064003345</v>
      </c>
      <c r="C3094">
        <v>-557.69000000000005</v>
      </c>
      <c r="D3094">
        <v>0</v>
      </c>
      <c r="E3094">
        <v>0</v>
      </c>
      <c r="F3094">
        <v>0</v>
      </c>
      <c r="G3094">
        <v>-269.18638512000012</v>
      </c>
      <c r="H3094">
        <v>-1892.726906970001</v>
      </c>
      <c r="I3094">
        <v>0</v>
      </c>
      <c r="J3094">
        <v>0</v>
      </c>
      <c r="K3094">
        <v>4.46728784</v>
      </c>
      <c r="L3094">
        <v>2078.4</v>
      </c>
      <c r="M3094">
        <v>0</v>
      </c>
      <c r="N3094">
        <v>0</v>
      </c>
      <c r="O3094">
        <v>-223.52670639003219</v>
      </c>
      <c r="P3094">
        <v>516479.31688866997</v>
      </c>
    </row>
    <row r="3095" spans="1:16" x14ac:dyDescent="0.25">
      <c r="A3095" s="10">
        <v>42201</v>
      </c>
      <c r="B3095">
        <v>-918.50636921008129</v>
      </c>
      <c r="C3095">
        <v>71.827153999999993</v>
      </c>
      <c r="D3095">
        <v>0</v>
      </c>
      <c r="E3095">
        <v>0</v>
      </c>
      <c r="F3095">
        <v>0</v>
      </c>
      <c r="G3095">
        <v>362.18445662000022</v>
      </c>
      <c r="H3095">
        <v>-1386.131107180001</v>
      </c>
      <c r="I3095">
        <v>0</v>
      </c>
      <c r="J3095">
        <v>0</v>
      </c>
      <c r="K3095">
        <v>4.7083111099999986</v>
      </c>
      <c r="L3095">
        <v>99.100000000000009</v>
      </c>
      <c r="M3095">
        <v>0</v>
      </c>
      <c r="N3095">
        <v>0</v>
      </c>
      <c r="O3095">
        <v>-70.19518376008061</v>
      </c>
      <c r="P3095">
        <v>515560.81051945989</v>
      </c>
    </row>
    <row r="3096" spans="1:16" x14ac:dyDescent="0.25">
      <c r="A3096" s="10">
        <v>42202</v>
      </c>
      <c r="B3096">
        <v>2560.4135569100608</v>
      </c>
      <c r="C3096">
        <v>741.84100000000001</v>
      </c>
      <c r="D3096">
        <v>0</v>
      </c>
      <c r="E3096">
        <v>0</v>
      </c>
      <c r="F3096">
        <v>0</v>
      </c>
      <c r="G3096">
        <v>-261.75982773000032</v>
      </c>
      <c r="H3096">
        <v>2239.4865355599982</v>
      </c>
      <c r="I3096">
        <v>0</v>
      </c>
      <c r="J3096">
        <v>1.1999999999998181</v>
      </c>
      <c r="K3096">
        <v>5.1821920099999996</v>
      </c>
      <c r="L3096">
        <v>0</v>
      </c>
      <c r="M3096">
        <v>0</v>
      </c>
      <c r="N3096">
        <v>0</v>
      </c>
      <c r="O3096">
        <v>-165.5363429299363</v>
      </c>
      <c r="P3096">
        <v>518121.22407637001</v>
      </c>
    </row>
    <row r="3097" spans="1:16" x14ac:dyDescent="0.25">
      <c r="A3097" s="10">
        <v>42205</v>
      </c>
      <c r="B3097">
        <v>9928.074021789711</v>
      </c>
      <c r="C3097">
        <v>94.814999999999998</v>
      </c>
      <c r="D3097">
        <v>-1000</v>
      </c>
      <c r="E3097">
        <v>0</v>
      </c>
      <c r="F3097">
        <v>8700</v>
      </c>
      <c r="G3097">
        <v>1010.523674240001</v>
      </c>
      <c r="H3097">
        <v>1197.203493200002</v>
      </c>
      <c r="I3097">
        <v>0</v>
      </c>
      <c r="J3097">
        <v>0</v>
      </c>
      <c r="K3097">
        <v>13.16937594</v>
      </c>
      <c r="L3097">
        <v>0</v>
      </c>
      <c r="M3097">
        <v>0</v>
      </c>
      <c r="N3097">
        <v>0</v>
      </c>
      <c r="O3097">
        <v>-87.637521590293176</v>
      </c>
      <c r="P3097">
        <v>528049.29809815972</v>
      </c>
    </row>
    <row r="3098" spans="1:16" x14ac:dyDescent="0.25">
      <c r="A3098" s="10">
        <v>42206</v>
      </c>
      <c r="B3098">
        <v>3332.7599866203959</v>
      </c>
      <c r="C3098">
        <v>-57.220999999999982</v>
      </c>
      <c r="D3098">
        <v>0</v>
      </c>
      <c r="E3098">
        <v>0</v>
      </c>
      <c r="F3098">
        <v>0</v>
      </c>
      <c r="G3098">
        <v>1670.0378250000001</v>
      </c>
      <c r="H3098">
        <v>1080.48975574</v>
      </c>
      <c r="I3098">
        <v>0</v>
      </c>
      <c r="J3098">
        <v>0</v>
      </c>
      <c r="K3098">
        <v>4.2109941499999994</v>
      </c>
      <c r="L3098">
        <v>0</v>
      </c>
      <c r="M3098">
        <v>0</v>
      </c>
      <c r="N3098">
        <v>0</v>
      </c>
      <c r="O3098">
        <v>635.24241173039616</v>
      </c>
      <c r="P3098">
        <v>531382.05808478012</v>
      </c>
    </row>
    <row r="3099" spans="1:16" x14ac:dyDescent="0.25">
      <c r="A3099" s="10">
        <v>42207</v>
      </c>
      <c r="B3099">
        <v>1537.2403007600219</v>
      </c>
      <c r="C3099">
        <v>1225.2049239999999</v>
      </c>
      <c r="D3099">
        <v>0</v>
      </c>
      <c r="E3099">
        <v>0</v>
      </c>
      <c r="F3099">
        <v>0</v>
      </c>
      <c r="G3099">
        <v>-1764.6834960799999</v>
      </c>
      <c r="H3099">
        <v>-107.9966057700003</v>
      </c>
      <c r="I3099">
        <v>0</v>
      </c>
      <c r="J3099">
        <v>0</v>
      </c>
      <c r="K3099">
        <v>3.8443025099999999</v>
      </c>
      <c r="L3099">
        <v>2403.9</v>
      </c>
      <c r="M3099">
        <v>0</v>
      </c>
      <c r="N3099">
        <v>0</v>
      </c>
      <c r="O3099">
        <v>-223.02882389997791</v>
      </c>
      <c r="P3099">
        <v>532919.29838554014</v>
      </c>
    </row>
    <row r="3100" spans="1:16" x14ac:dyDescent="0.25">
      <c r="A3100" s="10">
        <v>42208</v>
      </c>
      <c r="B3100">
        <v>262.0160280099376</v>
      </c>
      <c r="C3100">
        <v>-815.14099999999996</v>
      </c>
      <c r="D3100">
        <v>0</v>
      </c>
      <c r="E3100">
        <v>10000</v>
      </c>
      <c r="F3100">
        <v>0</v>
      </c>
      <c r="G3100">
        <v>-8727.4457427199995</v>
      </c>
      <c r="H3100">
        <v>-236.52210944000029</v>
      </c>
      <c r="I3100">
        <v>0</v>
      </c>
      <c r="J3100">
        <v>0</v>
      </c>
      <c r="K3100">
        <v>3.924415339999999</v>
      </c>
      <c r="L3100">
        <v>0</v>
      </c>
      <c r="M3100">
        <v>0</v>
      </c>
      <c r="N3100">
        <v>0</v>
      </c>
      <c r="O3100">
        <v>37.200464829937133</v>
      </c>
      <c r="P3100">
        <v>533181.31441355008</v>
      </c>
    </row>
    <row r="3101" spans="1:16" x14ac:dyDescent="0.25">
      <c r="A3101" s="10">
        <v>42209</v>
      </c>
      <c r="B3101">
        <v>-13778.542627450201</v>
      </c>
      <c r="C3101">
        <v>165.541</v>
      </c>
      <c r="D3101">
        <v>0</v>
      </c>
      <c r="E3101">
        <v>0</v>
      </c>
      <c r="F3101">
        <v>0</v>
      </c>
      <c r="G3101">
        <v>-878.91285883</v>
      </c>
      <c r="H3101">
        <v>-13289.16835742</v>
      </c>
      <c r="I3101">
        <v>0</v>
      </c>
      <c r="J3101">
        <v>0</v>
      </c>
      <c r="K3101">
        <v>3.8288891499999989</v>
      </c>
      <c r="L3101">
        <v>0</v>
      </c>
      <c r="M3101">
        <v>0</v>
      </c>
      <c r="N3101">
        <v>0</v>
      </c>
      <c r="O3101">
        <v>220.16869964980361</v>
      </c>
      <c r="P3101">
        <v>519402.77178609988</v>
      </c>
    </row>
    <row r="3102" spans="1:16" x14ac:dyDescent="0.25">
      <c r="A3102" s="10">
        <v>42212</v>
      </c>
      <c r="B3102">
        <v>-2117.9249801501851</v>
      </c>
      <c r="C3102">
        <v>-721.75150000000008</v>
      </c>
      <c r="D3102">
        <v>0</v>
      </c>
      <c r="E3102">
        <v>0</v>
      </c>
      <c r="F3102">
        <v>0</v>
      </c>
      <c r="G3102">
        <v>-4951.5232246600008</v>
      </c>
      <c r="H3102">
        <v>2647.5096246800022</v>
      </c>
      <c r="I3102">
        <v>0</v>
      </c>
      <c r="J3102">
        <v>0</v>
      </c>
      <c r="K3102">
        <v>24.897166129999999</v>
      </c>
      <c r="L3102">
        <v>773.40000000000009</v>
      </c>
      <c r="M3102">
        <v>0</v>
      </c>
      <c r="N3102">
        <v>0</v>
      </c>
      <c r="O3102">
        <v>109.54295369981411</v>
      </c>
      <c r="P3102">
        <v>517284.8468059497</v>
      </c>
    </row>
    <row r="3103" spans="1:16" x14ac:dyDescent="0.25">
      <c r="A3103" s="10">
        <v>42213</v>
      </c>
      <c r="B3103">
        <v>4288.1707368001807</v>
      </c>
      <c r="C3103">
        <v>-723.58482600000002</v>
      </c>
      <c r="D3103">
        <v>0</v>
      </c>
      <c r="E3103">
        <v>0</v>
      </c>
      <c r="F3103">
        <v>0</v>
      </c>
      <c r="G3103">
        <v>656.5805243399999</v>
      </c>
      <c r="H3103">
        <v>4589.4235469899977</v>
      </c>
      <c r="I3103">
        <v>0</v>
      </c>
      <c r="J3103">
        <v>0</v>
      </c>
      <c r="K3103">
        <v>10.25845075</v>
      </c>
      <c r="L3103">
        <v>-605.69999999999993</v>
      </c>
      <c r="M3103">
        <v>0</v>
      </c>
      <c r="N3103">
        <v>0</v>
      </c>
      <c r="O3103">
        <v>361.19304072018372</v>
      </c>
      <c r="P3103">
        <v>521573.01754274988</v>
      </c>
    </row>
    <row r="3104" spans="1:16" x14ac:dyDescent="0.25">
      <c r="A3104" s="10">
        <v>42214</v>
      </c>
      <c r="B3104">
        <v>-6449.6682336799558</v>
      </c>
      <c r="C3104">
        <v>-800.25956299999996</v>
      </c>
      <c r="D3104">
        <v>0</v>
      </c>
      <c r="E3104">
        <v>0</v>
      </c>
      <c r="F3104">
        <v>0</v>
      </c>
      <c r="G3104">
        <v>130.81051468999999</v>
      </c>
      <c r="H3104">
        <v>-3352.2247310400021</v>
      </c>
      <c r="I3104">
        <v>0</v>
      </c>
      <c r="J3104">
        <v>0</v>
      </c>
      <c r="K3104">
        <v>7.9176713599999999</v>
      </c>
      <c r="L3104">
        <v>-2312.1</v>
      </c>
      <c r="M3104">
        <v>0</v>
      </c>
      <c r="N3104">
        <v>0</v>
      </c>
      <c r="O3104">
        <v>-123.8121256899547</v>
      </c>
      <c r="P3104">
        <v>515123.34930906992</v>
      </c>
    </row>
    <row r="3105" spans="1:16" x14ac:dyDescent="0.25">
      <c r="A3105" s="10">
        <v>42215</v>
      </c>
      <c r="B3105">
        <v>-7814.7259208501791</v>
      </c>
      <c r="C3105">
        <v>-408.39783799999998</v>
      </c>
      <c r="D3105">
        <v>-815</v>
      </c>
      <c r="E3105">
        <v>0</v>
      </c>
      <c r="F3105">
        <v>0</v>
      </c>
      <c r="G3105">
        <v>73.581023459999869</v>
      </c>
      <c r="H3105">
        <v>-6182.1191979699943</v>
      </c>
      <c r="I3105">
        <v>0</v>
      </c>
      <c r="J3105">
        <v>0</v>
      </c>
      <c r="K3105">
        <v>9.3173427600000025</v>
      </c>
      <c r="L3105">
        <v>-508.7</v>
      </c>
      <c r="M3105">
        <v>0</v>
      </c>
      <c r="N3105">
        <v>0</v>
      </c>
      <c r="O3105">
        <v>16.592748899813891</v>
      </c>
      <c r="P3105">
        <v>507308.62338821968</v>
      </c>
    </row>
    <row r="3106" spans="1:16" x14ac:dyDescent="0.25">
      <c r="A3106" s="10">
        <v>42216</v>
      </c>
      <c r="B3106">
        <v>12861.766755769961</v>
      </c>
      <c r="C3106">
        <v>-877.74599999999998</v>
      </c>
      <c r="D3106">
        <v>0</v>
      </c>
      <c r="E3106">
        <v>0</v>
      </c>
      <c r="F3106">
        <v>0</v>
      </c>
      <c r="G3106">
        <v>5045.0651367099999</v>
      </c>
      <c r="H3106">
        <v>8099.8111044500038</v>
      </c>
      <c r="I3106">
        <v>0</v>
      </c>
      <c r="J3106">
        <v>0</v>
      </c>
      <c r="K3106">
        <v>13.46932125</v>
      </c>
      <c r="L3106">
        <v>249.1</v>
      </c>
      <c r="M3106">
        <v>0</v>
      </c>
      <c r="N3106">
        <v>0</v>
      </c>
      <c r="O3106">
        <v>332.06719335995729</v>
      </c>
      <c r="P3106">
        <v>520170.3901439897</v>
      </c>
    </row>
    <row r="3107" spans="1:16" x14ac:dyDescent="0.25">
      <c r="A3107" s="10">
        <v>42219</v>
      </c>
      <c r="B3107">
        <v>11369.095946670161</v>
      </c>
      <c r="C3107">
        <v>-1061.9929999999999</v>
      </c>
      <c r="D3107">
        <v>0</v>
      </c>
      <c r="E3107">
        <v>0</v>
      </c>
      <c r="F3107">
        <v>0</v>
      </c>
      <c r="G3107">
        <v>922.08302550999997</v>
      </c>
      <c r="H3107">
        <v>10744.75093917999</v>
      </c>
      <c r="I3107">
        <v>0</v>
      </c>
      <c r="J3107">
        <v>0</v>
      </c>
      <c r="K3107">
        <v>28.670084769999999</v>
      </c>
      <c r="L3107">
        <v>815.9</v>
      </c>
      <c r="M3107">
        <v>0</v>
      </c>
      <c r="N3107">
        <v>0</v>
      </c>
      <c r="O3107">
        <v>-80.315102789833333</v>
      </c>
      <c r="P3107">
        <v>531539.48609065986</v>
      </c>
    </row>
    <row r="3108" spans="1:16" x14ac:dyDescent="0.25">
      <c r="A3108" s="10">
        <v>42220</v>
      </c>
      <c r="B3108">
        <v>9368.5069024201948</v>
      </c>
      <c r="C3108">
        <v>-1542.2923000000001</v>
      </c>
      <c r="D3108">
        <v>0</v>
      </c>
      <c r="E3108">
        <v>0</v>
      </c>
      <c r="F3108">
        <v>0</v>
      </c>
      <c r="G3108">
        <v>5556.4510545000003</v>
      </c>
      <c r="H3108">
        <v>3140.4303687300021</v>
      </c>
      <c r="I3108">
        <v>0</v>
      </c>
      <c r="J3108">
        <v>0</v>
      </c>
      <c r="K3108">
        <v>3.61078052</v>
      </c>
      <c r="L3108">
        <v>2178.3000000000002</v>
      </c>
      <c r="M3108">
        <v>0</v>
      </c>
      <c r="N3108">
        <v>0</v>
      </c>
      <c r="O3108">
        <v>32.00699867019248</v>
      </c>
      <c r="P3108">
        <v>540907.99299308006</v>
      </c>
    </row>
    <row r="3109" spans="1:16" x14ac:dyDescent="0.25">
      <c r="A3109" s="10">
        <v>42221</v>
      </c>
      <c r="B3109">
        <v>-4897.9914613800374</v>
      </c>
      <c r="C3109">
        <v>-1338.8130000000001</v>
      </c>
      <c r="D3109">
        <v>0</v>
      </c>
      <c r="E3109">
        <v>0</v>
      </c>
      <c r="F3109">
        <v>0</v>
      </c>
      <c r="G3109">
        <v>798.57943760999967</v>
      </c>
      <c r="H3109">
        <v>-4241.7022897999996</v>
      </c>
      <c r="I3109">
        <v>0</v>
      </c>
      <c r="J3109">
        <v>0</v>
      </c>
      <c r="K3109">
        <v>2.35248189</v>
      </c>
      <c r="L3109">
        <v>-128.9</v>
      </c>
      <c r="M3109">
        <v>0</v>
      </c>
      <c r="N3109">
        <v>0</v>
      </c>
      <c r="O3109">
        <v>10.491908919963681</v>
      </c>
      <c r="P3109">
        <v>536010.00153170002</v>
      </c>
    </row>
    <row r="3110" spans="1:16" x14ac:dyDescent="0.25">
      <c r="A3110" s="10">
        <v>42222</v>
      </c>
      <c r="B3110">
        <v>-2829.2707793801092</v>
      </c>
      <c r="C3110">
        <v>-1328.644</v>
      </c>
      <c r="D3110">
        <v>0</v>
      </c>
      <c r="E3110">
        <v>0</v>
      </c>
      <c r="F3110">
        <v>0</v>
      </c>
      <c r="G3110">
        <v>-164.59049579999959</v>
      </c>
      <c r="H3110">
        <v>-1981.5041073700011</v>
      </c>
      <c r="I3110">
        <v>0</v>
      </c>
      <c r="J3110">
        <v>0</v>
      </c>
      <c r="K3110">
        <v>4.2726475399999986</v>
      </c>
      <c r="L3110">
        <v>615.29999999999995</v>
      </c>
      <c r="M3110">
        <v>0</v>
      </c>
      <c r="N3110">
        <v>0</v>
      </c>
      <c r="O3110">
        <v>25.895176249892032</v>
      </c>
      <c r="P3110">
        <v>533180.73075231991</v>
      </c>
    </row>
    <row r="3111" spans="1:16" x14ac:dyDescent="0.25">
      <c r="A3111" s="10">
        <v>42223</v>
      </c>
      <c r="B3111">
        <v>-1289.874159289988</v>
      </c>
      <c r="C3111">
        <v>-604.649</v>
      </c>
      <c r="D3111">
        <v>0</v>
      </c>
      <c r="E3111">
        <v>0</v>
      </c>
      <c r="F3111">
        <v>0</v>
      </c>
      <c r="G3111">
        <v>1060.7069401700001</v>
      </c>
      <c r="H3111">
        <v>-1232.7456419000009</v>
      </c>
      <c r="I3111">
        <v>0</v>
      </c>
      <c r="J3111">
        <v>0</v>
      </c>
      <c r="K3111">
        <v>4.3636066299999996</v>
      </c>
      <c r="L3111">
        <v>0</v>
      </c>
      <c r="M3111">
        <v>0</v>
      </c>
      <c r="N3111">
        <v>0</v>
      </c>
      <c r="O3111">
        <v>-517.55006418998744</v>
      </c>
      <c r="P3111">
        <v>531890.85659303004</v>
      </c>
    </row>
    <row r="3112" spans="1:16" x14ac:dyDescent="0.25">
      <c r="A3112" s="10">
        <v>42226</v>
      </c>
      <c r="B3112">
        <v>1872.1793904202059</v>
      </c>
      <c r="C3112">
        <v>-581.56100000000004</v>
      </c>
      <c r="D3112">
        <v>0</v>
      </c>
      <c r="E3112">
        <v>0</v>
      </c>
      <c r="F3112">
        <v>0</v>
      </c>
      <c r="G3112">
        <v>951.64083197000002</v>
      </c>
      <c r="H3112">
        <v>2833.942182440001</v>
      </c>
      <c r="I3112">
        <v>0</v>
      </c>
      <c r="J3112">
        <v>-134.19999999999979</v>
      </c>
      <c r="K3112">
        <v>-13.58887056000018</v>
      </c>
      <c r="L3112">
        <v>-1100.0999999999999</v>
      </c>
      <c r="M3112">
        <v>0</v>
      </c>
      <c r="N3112">
        <v>0</v>
      </c>
      <c r="O3112">
        <v>-83.953753429795682</v>
      </c>
      <c r="P3112">
        <v>533763.03598345013</v>
      </c>
    </row>
    <row r="3113" spans="1:16" x14ac:dyDescent="0.25">
      <c r="A3113" s="10">
        <v>42227</v>
      </c>
      <c r="B3113">
        <v>3004.029259349918</v>
      </c>
      <c r="C3113">
        <v>-737.72200000000009</v>
      </c>
      <c r="D3113">
        <v>0</v>
      </c>
      <c r="E3113">
        <v>0</v>
      </c>
      <c r="F3113">
        <v>0</v>
      </c>
      <c r="G3113">
        <v>289.51746007999998</v>
      </c>
      <c r="H3113">
        <v>3478.933347149999</v>
      </c>
      <c r="I3113">
        <v>0</v>
      </c>
      <c r="J3113">
        <v>1.1999999999998181</v>
      </c>
      <c r="K3113">
        <v>3.722821769999999</v>
      </c>
      <c r="L3113">
        <v>0</v>
      </c>
      <c r="M3113">
        <v>0</v>
      </c>
      <c r="N3113">
        <v>0</v>
      </c>
      <c r="O3113">
        <v>-31.622369650080419</v>
      </c>
      <c r="P3113">
        <v>536767.06524280005</v>
      </c>
    </row>
    <row r="3114" spans="1:16" x14ac:dyDescent="0.25">
      <c r="A3114" s="10">
        <v>42228</v>
      </c>
      <c r="B3114">
        <v>-4960.9286723599071</v>
      </c>
      <c r="C3114">
        <v>-872.51570000000004</v>
      </c>
      <c r="D3114">
        <v>0</v>
      </c>
      <c r="E3114">
        <v>0</v>
      </c>
      <c r="F3114">
        <v>0</v>
      </c>
      <c r="G3114">
        <v>-138.29809892</v>
      </c>
      <c r="H3114">
        <v>-1552.264787640001</v>
      </c>
      <c r="I3114">
        <v>0</v>
      </c>
      <c r="J3114">
        <v>0</v>
      </c>
      <c r="K3114">
        <v>1.78567933</v>
      </c>
      <c r="L3114">
        <v>-2403.8000000000002</v>
      </c>
      <c r="M3114">
        <v>0</v>
      </c>
      <c r="N3114">
        <v>0</v>
      </c>
      <c r="O3114">
        <v>4.1642348700937859</v>
      </c>
      <c r="P3114">
        <v>531806.13657044014</v>
      </c>
    </row>
    <row r="3115" spans="1:16" x14ac:dyDescent="0.25">
      <c r="A3115" s="10">
        <v>42229</v>
      </c>
      <c r="B3115">
        <v>-499.93803754018188</v>
      </c>
      <c r="C3115">
        <v>-986.48099999999988</v>
      </c>
      <c r="D3115">
        <v>0</v>
      </c>
      <c r="E3115">
        <v>0</v>
      </c>
      <c r="F3115">
        <v>0</v>
      </c>
      <c r="G3115">
        <v>281.72025336000007</v>
      </c>
      <c r="H3115">
        <v>189.38029054000069</v>
      </c>
      <c r="I3115">
        <v>0</v>
      </c>
      <c r="J3115">
        <v>0</v>
      </c>
      <c r="K3115">
        <v>4.2213465899999996</v>
      </c>
      <c r="L3115">
        <v>0</v>
      </c>
      <c r="M3115">
        <v>0</v>
      </c>
      <c r="N3115">
        <v>0</v>
      </c>
      <c r="O3115">
        <v>11.221071969817149</v>
      </c>
      <c r="P3115">
        <v>531306.19853289984</v>
      </c>
    </row>
    <row r="3116" spans="1:16" x14ac:dyDescent="0.25">
      <c r="A3116" s="10">
        <v>42230</v>
      </c>
      <c r="B3116">
        <v>1355.470297790016</v>
      </c>
      <c r="C3116">
        <v>535.35839999999996</v>
      </c>
      <c r="D3116">
        <v>0</v>
      </c>
      <c r="E3116">
        <v>0</v>
      </c>
      <c r="F3116">
        <v>0</v>
      </c>
      <c r="G3116">
        <v>-565.80334815999993</v>
      </c>
      <c r="H3116">
        <v>1390.8115725000009</v>
      </c>
      <c r="I3116">
        <v>0</v>
      </c>
      <c r="J3116">
        <v>0</v>
      </c>
      <c r="K3116">
        <v>4.0967118400000002</v>
      </c>
      <c r="L3116">
        <v>0</v>
      </c>
      <c r="M3116">
        <v>0</v>
      </c>
      <c r="N3116">
        <v>0</v>
      </c>
      <c r="O3116">
        <v>-8.9930383899849851</v>
      </c>
      <c r="P3116">
        <v>532661.66883068997</v>
      </c>
    </row>
    <row r="3117" spans="1:16" x14ac:dyDescent="0.25">
      <c r="A3117" s="10">
        <v>42234</v>
      </c>
      <c r="B3117">
        <v>-4666.0157004401544</v>
      </c>
      <c r="C3117">
        <v>361.03300000000002</v>
      </c>
      <c r="D3117">
        <v>0</v>
      </c>
      <c r="E3117">
        <v>0</v>
      </c>
      <c r="F3117">
        <v>0</v>
      </c>
      <c r="G3117">
        <v>-496.54851108999992</v>
      </c>
      <c r="H3117">
        <v>-4288.515854180001</v>
      </c>
      <c r="I3117">
        <v>0</v>
      </c>
      <c r="J3117">
        <v>0</v>
      </c>
      <c r="K3117">
        <v>12.119327869999999</v>
      </c>
      <c r="L3117">
        <v>0</v>
      </c>
      <c r="M3117">
        <v>0</v>
      </c>
      <c r="N3117">
        <v>0</v>
      </c>
      <c r="O3117">
        <v>-254.1036630401542</v>
      </c>
      <c r="P3117">
        <v>527995.65313024982</v>
      </c>
    </row>
    <row r="3118" spans="1:16" x14ac:dyDescent="0.25">
      <c r="A3118" s="10">
        <v>42235</v>
      </c>
      <c r="B3118">
        <v>2794.3360864700521</v>
      </c>
      <c r="C3118">
        <v>-367.06599999999997</v>
      </c>
      <c r="D3118">
        <v>0</v>
      </c>
      <c r="E3118">
        <v>0</v>
      </c>
      <c r="F3118">
        <v>0</v>
      </c>
      <c r="G3118">
        <v>60.650823439999989</v>
      </c>
      <c r="H3118">
        <v>4653.8016040800012</v>
      </c>
      <c r="I3118">
        <v>0</v>
      </c>
      <c r="J3118">
        <v>0</v>
      </c>
      <c r="K3118">
        <v>4.4228437199999986</v>
      </c>
      <c r="L3118">
        <v>-1580.8</v>
      </c>
      <c r="M3118">
        <v>0</v>
      </c>
      <c r="N3118">
        <v>0</v>
      </c>
      <c r="O3118">
        <v>23.32681523005121</v>
      </c>
      <c r="P3118">
        <v>530789.98921671987</v>
      </c>
    </row>
    <row r="3119" spans="1:16" x14ac:dyDescent="0.25">
      <c r="A3119" s="10">
        <v>42236</v>
      </c>
      <c r="B3119">
        <v>-8665.5698750299052</v>
      </c>
      <c r="C3119">
        <v>-202.19985</v>
      </c>
      <c r="D3119">
        <v>0</v>
      </c>
      <c r="E3119">
        <v>0</v>
      </c>
      <c r="F3119">
        <v>0</v>
      </c>
      <c r="G3119">
        <v>591.57980765999991</v>
      </c>
      <c r="H3119">
        <v>-9023.28834078</v>
      </c>
      <c r="I3119">
        <v>0</v>
      </c>
      <c r="J3119">
        <v>-8.8000000000001819</v>
      </c>
      <c r="K3119">
        <v>0.92276835999981799</v>
      </c>
      <c r="L3119">
        <v>0</v>
      </c>
      <c r="M3119">
        <v>0</v>
      </c>
      <c r="N3119">
        <v>0</v>
      </c>
      <c r="O3119">
        <v>-23.784260269905278</v>
      </c>
      <c r="P3119">
        <v>522124.41934169002</v>
      </c>
    </row>
    <row r="3120" spans="1:16" x14ac:dyDescent="0.25">
      <c r="A3120" s="10">
        <v>42237</v>
      </c>
      <c r="B3120">
        <v>-2255.8411271399218</v>
      </c>
      <c r="C3120">
        <v>-404.15699999999993</v>
      </c>
      <c r="D3120">
        <v>-500</v>
      </c>
      <c r="E3120">
        <v>0</v>
      </c>
      <c r="F3120">
        <v>8900</v>
      </c>
      <c r="G3120">
        <v>-8225.1145377299999</v>
      </c>
      <c r="H3120">
        <v>-2026.5560469400009</v>
      </c>
      <c r="I3120">
        <v>0</v>
      </c>
      <c r="J3120">
        <v>0</v>
      </c>
      <c r="K3120">
        <v>6.8766229000000001</v>
      </c>
      <c r="L3120">
        <v>0</v>
      </c>
      <c r="M3120">
        <v>0</v>
      </c>
      <c r="N3120">
        <v>0</v>
      </c>
      <c r="O3120">
        <v>-6.8901653699212133</v>
      </c>
      <c r="P3120">
        <v>519868.5782145501</v>
      </c>
    </row>
    <row r="3121" spans="1:16" x14ac:dyDescent="0.25">
      <c r="A3121" s="10">
        <v>42240</v>
      </c>
      <c r="B3121">
        <v>-2950.3146565401689</v>
      </c>
      <c r="C3121">
        <v>-721.66399999999999</v>
      </c>
      <c r="D3121">
        <v>0</v>
      </c>
      <c r="E3121">
        <v>0</v>
      </c>
      <c r="F3121">
        <v>0</v>
      </c>
      <c r="G3121">
        <v>-2273.5583007900009</v>
      </c>
      <c r="H3121">
        <v>407.05441435999819</v>
      </c>
      <c r="I3121">
        <v>0</v>
      </c>
      <c r="J3121">
        <v>12.30000000000018</v>
      </c>
      <c r="K3121">
        <v>23.490462650000001</v>
      </c>
      <c r="L3121">
        <v>-288.3</v>
      </c>
      <c r="M3121">
        <v>0</v>
      </c>
      <c r="N3121">
        <v>0</v>
      </c>
      <c r="O3121">
        <v>-109.6372327601668</v>
      </c>
      <c r="P3121">
        <v>516918.26355800987</v>
      </c>
    </row>
    <row r="3122" spans="1:16" x14ac:dyDescent="0.25">
      <c r="A3122" s="10">
        <v>42241</v>
      </c>
      <c r="B3122">
        <v>2813.7634883702281</v>
      </c>
      <c r="C3122">
        <v>-1058.9639999999999</v>
      </c>
      <c r="D3122">
        <v>0</v>
      </c>
      <c r="E3122">
        <v>0</v>
      </c>
      <c r="F3122">
        <v>0</v>
      </c>
      <c r="G3122">
        <v>376.14355044000041</v>
      </c>
      <c r="H3122">
        <v>3518.610022689998</v>
      </c>
      <c r="I3122">
        <v>0</v>
      </c>
      <c r="J3122">
        <v>0</v>
      </c>
      <c r="K3122">
        <v>7.8501928199999984</v>
      </c>
      <c r="L3122">
        <v>0</v>
      </c>
      <c r="M3122">
        <v>0</v>
      </c>
      <c r="N3122">
        <v>0</v>
      </c>
      <c r="O3122">
        <v>-29.876277579770701</v>
      </c>
      <c r="P3122">
        <v>519732.0270463801</v>
      </c>
    </row>
    <row r="3123" spans="1:16" x14ac:dyDescent="0.25">
      <c r="A3123" s="10">
        <v>42242</v>
      </c>
      <c r="B3123">
        <v>-2038.0082975203979</v>
      </c>
      <c r="C3123">
        <v>-783.97399999999993</v>
      </c>
      <c r="D3123">
        <v>0</v>
      </c>
      <c r="E3123">
        <v>0</v>
      </c>
      <c r="F3123">
        <v>0</v>
      </c>
      <c r="G3123">
        <v>951.54160216999981</v>
      </c>
      <c r="H3123">
        <v>-1910.0953966400009</v>
      </c>
      <c r="I3123">
        <v>0</v>
      </c>
      <c r="J3123">
        <v>0</v>
      </c>
      <c r="K3123">
        <v>6.3100405300000002</v>
      </c>
      <c r="L3123">
        <v>-372.6</v>
      </c>
      <c r="M3123">
        <v>0</v>
      </c>
      <c r="N3123">
        <v>0</v>
      </c>
      <c r="O3123">
        <v>70.809456419603436</v>
      </c>
      <c r="P3123">
        <v>517694.0187488597</v>
      </c>
    </row>
    <row r="3124" spans="1:16" x14ac:dyDescent="0.25">
      <c r="A3124" s="10">
        <v>42243</v>
      </c>
      <c r="B3124">
        <v>-2317.262787849932</v>
      </c>
      <c r="C3124">
        <v>-525.37</v>
      </c>
      <c r="D3124">
        <v>0</v>
      </c>
      <c r="E3124">
        <v>-1700</v>
      </c>
      <c r="F3124">
        <v>0</v>
      </c>
      <c r="G3124">
        <v>90.066113029999997</v>
      </c>
      <c r="H3124">
        <v>-199.14499586999949</v>
      </c>
      <c r="I3124">
        <v>0</v>
      </c>
      <c r="J3124">
        <v>0</v>
      </c>
      <c r="K3124">
        <v>6.959792460000001</v>
      </c>
      <c r="L3124">
        <v>0</v>
      </c>
      <c r="M3124">
        <v>0</v>
      </c>
      <c r="N3124">
        <v>0</v>
      </c>
      <c r="O3124">
        <v>10.226302530067731</v>
      </c>
      <c r="P3124">
        <v>515376.75596100983</v>
      </c>
    </row>
    <row r="3125" spans="1:16" x14ac:dyDescent="0.25">
      <c r="A3125" s="10">
        <v>42244</v>
      </c>
      <c r="B3125">
        <v>9709.6512121902779</v>
      </c>
      <c r="C3125">
        <v>-756</v>
      </c>
      <c r="D3125">
        <v>0</v>
      </c>
      <c r="E3125">
        <v>1700</v>
      </c>
      <c r="F3125">
        <v>0</v>
      </c>
      <c r="G3125">
        <v>9819.1930502199993</v>
      </c>
      <c r="H3125">
        <v>-1043.38241152</v>
      </c>
      <c r="I3125">
        <v>0</v>
      </c>
      <c r="J3125">
        <v>0</v>
      </c>
      <c r="K3125">
        <v>7.9618533100000013</v>
      </c>
      <c r="L3125">
        <v>0</v>
      </c>
      <c r="M3125">
        <v>0</v>
      </c>
      <c r="N3125">
        <v>0</v>
      </c>
      <c r="O3125">
        <v>-18.121279819721899</v>
      </c>
      <c r="P3125">
        <v>525086.40717320004</v>
      </c>
    </row>
    <row r="3126" spans="1:16" x14ac:dyDescent="0.25">
      <c r="A3126" s="10">
        <v>42247</v>
      </c>
      <c r="B3126">
        <v>-15828.132995560059</v>
      </c>
      <c r="C3126">
        <v>-939.27200000000005</v>
      </c>
      <c r="D3126">
        <v>-500</v>
      </c>
      <c r="E3126">
        <v>0</v>
      </c>
      <c r="F3126">
        <v>0</v>
      </c>
      <c r="G3126">
        <v>187.96350731000001</v>
      </c>
      <c r="H3126">
        <v>-14532.3475987</v>
      </c>
      <c r="I3126">
        <v>0</v>
      </c>
      <c r="J3126">
        <v>0</v>
      </c>
      <c r="K3126">
        <v>21.025063400000001</v>
      </c>
      <c r="L3126">
        <v>0</v>
      </c>
      <c r="M3126">
        <v>0</v>
      </c>
      <c r="N3126">
        <v>0</v>
      </c>
      <c r="O3126">
        <v>-65.501967570063783</v>
      </c>
      <c r="P3126">
        <v>509258.27417763998</v>
      </c>
    </row>
    <row r="3127" spans="1:16" x14ac:dyDescent="0.25">
      <c r="A3127" s="10">
        <v>42248</v>
      </c>
      <c r="B3127">
        <v>23529.21840657002</v>
      </c>
      <c r="C3127">
        <v>-1264.2725</v>
      </c>
      <c r="D3127">
        <v>0</v>
      </c>
      <c r="E3127">
        <v>0</v>
      </c>
      <c r="F3127">
        <v>0</v>
      </c>
      <c r="G3127">
        <v>210.39847891999989</v>
      </c>
      <c r="H3127">
        <v>24586.436926949991</v>
      </c>
      <c r="I3127">
        <v>0</v>
      </c>
      <c r="J3127">
        <v>0</v>
      </c>
      <c r="K3127">
        <v>12.848413239999999</v>
      </c>
      <c r="L3127">
        <v>0</v>
      </c>
      <c r="M3127">
        <v>0</v>
      </c>
      <c r="N3127">
        <v>0</v>
      </c>
      <c r="O3127">
        <v>-16.192912539964158</v>
      </c>
      <c r="P3127">
        <v>532787.49258420989</v>
      </c>
    </row>
    <row r="3128" spans="1:16" x14ac:dyDescent="0.25">
      <c r="A3128" s="10">
        <v>42249</v>
      </c>
      <c r="B3128">
        <v>-1362.3837278099959</v>
      </c>
      <c r="C3128">
        <v>-674.28650000000005</v>
      </c>
      <c r="D3128">
        <v>0</v>
      </c>
      <c r="E3128">
        <v>0</v>
      </c>
      <c r="F3128">
        <v>0</v>
      </c>
      <c r="G3128">
        <v>-52.140290110000016</v>
      </c>
      <c r="H3128">
        <v>-2755.2834656099999</v>
      </c>
      <c r="I3128">
        <v>0</v>
      </c>
      <c r="J3128">
        <v>0</v>
      </c>
      <c r="K3128">
        <v>1.5318322799999999</v>
      </c>
      <c r="L3128">
        <v>2139.1999999999998</v>
      </c>
      <c r="M3128">
        <v>0</v>
      </c>
      <c r="N3128">
        <v>0</v>
      </c>
      <c r="O3128">
        <v>-21.405304369995431</v>
      </c>
      <c r="P3128">
        <v>531425.10885640001</v>
      </c>
    </row>
    <row r="3129" spans="1:16" x14ac:dyDescent="0.25">
      <c r="A3129" s="10">
        <v>42250</v>
      </c>
      <c r="B3129">
        <v>-451.54926799027959</v>
      </c>
      <c r="C3129">
        <v>-784.28099999999995</v>
      </c>
      <c r="D3129">
        <v>0</v>
      </c>
      <c r="E3129">
        <v>10000</v>
      </c>
      <c r="F3129">
        <v>0</v>
      </c>
      <c r="G3129">
        <v>-10494.66947339</v>
      </c>
      <c r="H3129">
        <v>784.21525316999941</v>
      </c>
      <c r="I3129">
        <v>0</v>
      </c>
      <c r="J3129">
        <v>0</v>
      </c>
      <c r="K3129">
        <v>2.2686300799999999</v>
      </c>
      <c r="L3129">
        <v>0</v>
      </c>
      <c r="M3129">
        <v>0</v>
      </c>
      <c r="N3129">
        <v>0</v>
      </c>
      <c r="O3129">
        <v>40.917322149718537</v>
      </c>
      <c r="P3129">
        <v>530973.55958840973</v>
      </c>
    </row>
    <row r="3130" spans="1:16" x14ac:dyDescent="0.25">
      <c r="A3130" s="10">
        <v>42251</v>
      </c>
      <c r="B3130">
        <v>3612.9120207503429</v>
      </c>
      <c r="C3130">
        <v>-848.52316800000006</v>
      </c>
      <c r="D3130">
        <v>0</v>
      </c>
      <c r="E3130">
        <v>0</v>
      </c>
      <c r="F3130">
        <v>0</v>
      </c>
      <c r="G3130">
        <v>3080.6292657099998</v>
      </c>
      <c r="H3130">
        <v>1467.517224220001</v>
      </c>
      <c r="I3130">
        <v>0</v>
      </c>
      <c r="J3130">
        <v>0</v>
      </c>
      <c r="K3130">
        <v>2.3638317600000001</v>
      </c>
      <c r="L3130">
        <v>465.3</v>
      </c>
      <c r="M3130">
        <v>0</v>
      </c>
      <c r="N3130">
        <v>0</v>
      </c>
      <c r="O3130">
        <v>-554.37513293965708</v>
      </c>
      <c r="P3130">
        <v>534586.47160916007</v>
      </c>
    </row>
    <row r="3131" spans="1:16" x14ac:dyDescent="0.25">
      <c r="A3131" s="10">
        <v>42254</v>
      </c>
      <c r="B3131">
        <v>126.9022793399631</v>
      </c>
      <c r="C3131">
        <v>-99.2</v>
      </c>
      <c r="D3131">
        <v>0</v>
      </c>
      <c r="E3131">
        <v>0</v>
      </c>
      <c r="F3131">
        <v>0</v>
      </c>
      <c r="G3131">
        <v>519.55197418999978</v>
      </c>
      <c r="H3131">
        <v>-1182.84224763</v>
      </c>
      <c r="I3131">
        <v>0</v>
      </c>
      <c r="J3131">
        <v>0</v>
      </c>
      <c r="K3131">
        <v>6.8456104299999998</v>
      </c>
      <c r="L3131">
        <v>0</v>
      </c>
      <c r="M3131">
        <v>0</v>
      </c>
      <c r="N3131">
        <v>0</v>
      </c>
      <c r="O3131">
        <v>882.54694234996362</v>
      </c>
      <c r="P3131">
        <v>534713.37388850003</v>
      </c>
    </row>
    <row r="3132" spans="1:16" x14ac:dyDescent="0.25">
      <c r="A3132" s="10">
        <v>42255</v>
      </c>
      <c r="B3132">
        <v>-2466.0039624299379</v>
      </c>
      <c r="C3132">
        <v>-1241.08825</v>
      </c>
      <c r="D3132">
        <v>0</v>
      </c>
      <c r="E3132">
        <v>0</v>
      </c>
      <c r="F3132">
        <v>0</v>
      </c>
      <c r="G3132">
        <v>-320.4256705900001</v>
      </c>
      <c r="H3132">
        <v>-662.30092435999904</v>
      </c>
      <c r="I3132">
        <v>0</v>
      </c>
      <c r="J3132">
        <v>-129.69999999999979</v>
      </c>
      <c r="K3132">
        <v>-24.69087293999964</v>
      </c>
      <c r="L3132">
        <v>0</v>
      </c>
      <c r="M3132">
        <v>0</v>
      </c>
      <c r="N3132">
        <v>0</v>
      </c>
      <c r="O3132">
        <v>-87.798244539939873</v>
      </c>
      <c r="P3132">
        <v>532247.3699260701</v>
      </c>
    </row>
    <row r="3133" spans="1:16" x14ac:dyDescent="0.25">
      <c r="A3133" s="10">
        <v>42256</v>
      </c>
      <c r="B3133">
        <v>180.0161801298388</v>
      </c>
      <c r="C3133">
        <v>-1161.7311</v>
      </c>
      <c r="D3133">
        <v>0</v>
      </c>
      <c r="E3133">
        <v>0</v>
      </c>
      <c r="F3133">
        <v>0</v>
      </c>
      <c r="G3133">
        <v>461.28546607999999</v>
      </c>
      <c r="H3133">
        <v>1245.4649896899971</v>
      </c>
      <c r="I3133">
        <v>0</v>
      </c>
      <c r="J3133">
        <v>0</v>
      </c>
      <c r="K3133">
        <v>3.2137791099999999</v>
      </c>
      <c r="L3133">
        <v>-372.9</v>
      </c>
      <c r="M3133">
        <v>0</v>
      </c>
      <c r="N3133">
        <v>0</v>
      </c>
      <c r="O3133">
        <v>4.6830452498416761</v>
      </c>
      <c r="P3133">
        <v>532427.38610619993</v>
      </c>
    </row>
    <row r="3134" spans="1:16" x14ac:dyDescent="0.25">
      <c r="A3134" s="10">
        <v>42257</v>
      </c>
      <c r="B3134">
        <v>2736.389695880237</v>
      </c>
      <c r="C3134">
        <v>-1060.3130000000001</v>
      </c>
      <c r="D3134">
        <v>0</v>
      </c>
      <c r="E3134">
        <v>0</v>
      </c>
      <c r="F3134">
        <v>0</v>
      </c>
      <c r="G3134">
        <v>-361.36518847999997</v>
      </c>
      <c r="H3134">
        <v>401.20120120000138</v>
      </c>
      <c r="I3134">
        <v>0</v>
      </c>
      <c r="J3134">
        <v>0</v>
      </c>
      <c r="K3134">
        <v>1.73759383</v>
      </c>
      <c r="L3134">
        <v>4021.7</v>
      </c>
      <c r="M3134">
        <v>0</v>
      </c>
      <c r="N3134">
        <v>0</v>
      </c>
      <c r="O3134">
        <v>-266.57091066976488</v>
      </c>
      <c r="P3134">
        <v>535163.77580208017</v>
      </c>
    </row>
    <row r="3135" spans="1:16" x14ac:dyDescent="0.25">
      <c r="A3135" s="10">
        <v>42258</v>
      </c>
      <c r="B3135">
        <v>7403.9997345497832</v>
      </c>
      <c r="C3135">
        <v>-239.14599999999999</v>
      </c>
      <c r="D3135">
        <v>-2850</v>
      </c>
      <c r="E3135">
        <v>0</v>
      </c>
      <c r="F3135">
        <v>0</v>
      </c>
      <c r="G3135">
        <v>9553.0231536200008</v>
      </c>
      <c r="H3135">
        <v>1159.9244314800001</v>
      </c>
      <c r="I3135">
        <v>0</v>
      </c>
      <c r="J3135">
        <v>0</v>
      </c>
      <c r="K3135">
        <v>1.7410563999999999</v>
      </c>
      <c r="L3135">
        <v>253.1</v>
      </c>
      <c r="M3135">
        <v>0</v>
      </c>
      <c r="N3135">
        <v>0</v>
      </c>
      <c r="O3135">
        <v>-474.64290695021748</v>
      </c>
      <c r="P3135">
        <v>542567.77553662984</v>
      </c>
    </row>
    <row r="3136" spans="1:16" x14ac:dyDescent="0.25">
      <c r="A3136" s="10">
        <v>42261</v>
      </c>
      <c r="B3136">
        <v>-4196.2451105900109</v>
      </c>
      <c r="C3136">
        <v>-1093.1882000000001</v>
      </c>
      <c r="D3136">
        <v>0</v>
      </c>
      <c r="E3136">
        <v>0</v>
      </c>
      <c r="F3136">
        <v>0</v>
      </c>
      <c r="G3136">
        <v>230.6792074699998</v>
      </c>
      <c r="H3136">
        <v>-3755.0417395099989</v>
      </c>
      <c r="I3136">
        <v>0</v>
      </c>
      <c r="J3136">
        <v>0</v>
      </c>
      <c r="K3136">
        <v>6.2855362600000007</v>
      </c>
      <c r="L3136">
        <v>113.2</v>
      </c>
      <c r="M3136">
        <v>0</v>
      </c>
      <c r="N3136">
        <v>0</v>
      </c>
      <c r="O3136">
        <v>301.82008518998788</v>
      </c>
      <c r="P3136">
        <v>538371.53042603994</v>
      </c>
    </row>
    <row r="3137" spans="1:16" x14ac:dyDescent="0.25">
      <c r="A3137" s="10">
        <v>42262</v>
      </c>
      <c r="B3137">
        <v>314.12812216009422</v>
      </c>
      <c r="C3137">
        <v>-438.59199999999998</v>
      </c>
      <c r="D3137">
        <v>0</v>
      </c>
      <c r="E3137">
        <v>0</v>
      </c>
      <c r="F3137">
        <v>0</v>
      </c>
      <c r="G3137">
        <v>-803.4483205800002</v>
      </c>
      <c r="H3137">
        <v>1595.1713287799989</v>
      </c>
      <c r="I3137">
        <v>0</v>
      </c>
      <c r="J3137">
        <v>0</v>
      </c>
      <c r="K3137">
        <v>2.7251088600000002</v>
      </c>
      <c r="L3137">
        <v>0</v>
      </c>
      <c r="M3137">
        <v>0</v>
      </c>
      <c r="N3137">
        <v>0</v>
      </c>
      <c r="O3137">
        <v>-41.727994899904857</v>
      </c>
      <c r="P3137">
        <v>538685.65854820004</v>
      </c>
    </row>
    <row r="3138" spans="1:16" x14ac:dyDescent="0.25">
      <c r="A3138" s="10">
        <v>42263</v>
      </c>
      <c r="B3138">
        <v>-3087.840741739959</v>
      </c>
      <c r="C3138">
        <v>-1114.9643000000001</v>
      </c>
      <c r="D3138">
        <v>0</v>
      </c>
      <c r="E3138">
        <v>0</v>
      </c>
      <c r="F3138">
        <v>0</v>
      </c>
      <c r="G3138">
        <v>288.72424764000021</v>
      </c>
      <c r="H3138">
        <v>-5064.0564671299999</v>
      </c>
      <c r="I3138">
        <v>0</v>
      </c>
      <c r="J3138">
        <v>0</v>
      </c>
      <c r="K3138">
        <v>2.5312194099999998</v>
      </c>
      <c r="L3138">
        <v>2844.9</v>
      </c>
      <c r="M3138">
        <v>0</v>
      </c>
      <c r="N3138">
        <v>0</v>
      </c>
      <c r="O3138">
        <v>-44.975441659959422</v>
      </c>
      <c r="P3138">
        <v>535597.81780646008</v>
      </c>
    </row>
    <row r="3139" spans="1:16" x14ac:dyDescent="0.25">
      <c r="A3139" s="10">
        <v>42264</v>
      </c>
      <c r="B3139">
        <v>-3678.6134718300309</v>
      </c>
      <c r="C3139">
        <v>-753.29399999999998</v>
      </c>
      <c r="D3139">
        <v>0</v>
      </c>
      <c r="E3139">
        <v>0</v>
      </c>
      <c r="F3139">
        <v>0</v>
      </c>
      <c r="G3139">
        <v>-28.593385329999819</v>
      </c>
      <c r="H3139">
        <v>-2894.1505709399971</v>
      </c>
      <c r="I3139">
        <v>0</v>
      </c>
      <c r="J3139">
        <v>0</v>
      </c>
      <c r="K3139">
        <v>3.6480162900000002</v>
      </c>
      <c r="L3139">
        <v>0</v>
      </c>
      <c r="M3139">
        <v>0</v>
      </c>
      <c r="N3139">
        <v>0</v>
      </c>
      <c r="O3139">
        <v>-6.2235318500346679</v>
      </c>
      <c r="P3139">
        <v>531919.20433463005</v>
      </c>
    </row>
    <row r="3140" spans="1:16" x14ac:dyDescent="0.25">
      <c r="A3140" s="10">
        <v>42265</v>
      </c>
      <c r="B3140">
        <v>1355.709725549676</v>
      </c>
      <c r="C3140">
        <v>-606.40649999999994</v>
      </c>
      <c r="D3140">
        <v>0</v>
      </c>
      <c r="E3140">
        <v>0</v>
      </c>
      <c r="F3140">
        <v>8900</v>
      </c>
      <c r="G3140">
        <v>-8556.3865615400009</v>
      </c>
      <c r="H3140">
        <v>1176.682858020002</v>
      </c>
      <c r="I3140">
        <v>0</v>
      </c>
      <c r="J3140">
        <v>0</v>
      </c>
      <c r="K3140">
        <v>4.8159260300000009</v>
      </c>
      <c r="L3140">
        <v>361.6</v>
      </c>
      <c r="M3140">
        <v>0</v>
      </c>
      <c r="N3140">
        <v>0</v>
      </c>
      <c r="O3140">
        <v>75.404003039673938</v>
      </c>
      <c r="P3140">
        <v>533274.91406017984</v>
      </c>
    </row>
    <row r="3141" spans="1:16" x14ac:dyDescent="0.25">
      <c r="A3141" s="10">
        <v>42268</v>
      </c>
      <c r="B3141">
        <v>-1746.280138279893</v>
      </c>
      <c r="C3141">
        <v>-308.48200000000003</v>
      </c>
      <c r="D3141">
        <v>0</v>
      </c>
      <c r="E3141">
        <v>0</v>
      </c>
      <c r="F3141">
        <v>0</v>
      </c>
      <c r="G3141">
        <v>-2172.40013314</v>
      </c>
      <c r="H3141">
        <v>-369.83891462999958</v>
      </c>
      <c r="I3141">
        <v>0</v>
      </c>
      <c r="J3141">
        <v>0</v>
      </c>
      <c r="K3141">
        <v>14.043196500000001</v>
      </c>
      <c r="L3141">
        <v>0</v>
      </c>
      <c r="M3141">
        <v>0</v>
      </c>
      <c r="N3141">
        <v>0</v>
      </c>
      <c r="O3141">
        <v>1090.397712990107</v>
      </c>
      <c r="P3141">
        <v>531528.63392189983</v>
      </c>
    </row>
    <row r="3142" spans="1:16" x14ac:dyDescent="0.25">
      <c r="A3142" s="10">
        <v>42269</v>
      </c>
      <c r="B3142">
        <v>3596.057938590297</v>
      </c>
      <c r="C3142">
        <v>1.5360000000000009</v>
      </c>
      <c r="D3142">
        <v>0</v>
      </c>
      <c r="E3142">
        <v>0</v>
      </c>
      <c r="F3142">
        <v>0</v>
      </c>
      <c r="G3142">
        <v>2450.4897281499998</v>
      </c>
      <c r="H3142">
        <v>978.29108744000405</v>
      </c>
      <c r="I3142">
        <v>0</v>
      </c>
      <c r="J3142">
        <v>0</v>
      </c>
      <c r="K3142">
        <v>4.9299632299999994</v>
      </c>
      <c r="L3142">
        <v>0</v>
      </c>
      <c r="M3142">
        <v>0</v>
      </c>
      <c r="N3142">
        <v>0</v>
      </c>
      <c r="O3142">
        <v>160.81115977029319</v>
      </c>
      <c r="P3142">
        <v>535124.69186049013</v>
      </c>
    </row>
    <row r="3143" spans="1:16" x14ac:dyDescent="0.25">
      <c r="A3143" s="10">
        <v>42270</v>
      </c>
      <c r="B3143">
        <v>-4899.2117656499631</v>
      </c>
      <c r="C3143">
        <v>-943.50274999999999</v>
      </c>
      <c r="D3143">
        <v>0</v>
      </c>
      <c r="E3143">
        <v>0</v>
      </c>
      <c r="F3143">
        <v>0</v>
      </c>
      <c r="G3143">
        <v>-628.66075155999999</v>
      </c>
      <c r="H3143">
        <v>-3236.636845730005</v>
      </c>
      <c r="I3143">
        <v>0</v>
      </c>
      <c r="J3143">
        <v>0</v>
      </c>
      <c r="K3143">
        <v>5.1955317299999999</v>
      </c>
      <c r="L3143">
        <v>-204.3</v>
      </c>
      <c r="M3143">
        <v>0</v>
      </c>
      <c r="N3143">
        <v>0</v>
      </c>
      <c r="O3143">
        <v>108.6930499100426</v>
      </c>
      <c r="P3143">
        <v>530225.48009484017</v>
      </c>
    </row>
    <row r="3144" spans="1:16" x14ac:dyDescent="0.25">
      <c r="A3144" s="10">
        <v>42271</v>
      </c>
      <c r="B3144">
        <v>821.50640659977057</v>
      </c>
      <c r="C3144">
        <v>-1105.953</v>
      </c>
      <c r="D3144">
        <v>0</v>
      </c>
      <c r="E3144">
        <v>0</v>
      </c>
      <c r="F3144">
        <v>0</v>
      </c>
      <c r="G3144">
        <v>986.64281726999991</v>
      </c>
      <c r="H3144">
        <v>-283.39304273999733</v>
      </c>
      <c r="I3144">
        <v>0</v>
      </c>
      <c r="J3144">
        <v>0</v>
      </c>
      <c r="K3144">
        <v>5.8556431699999996</v>
      </c>
      <c r="L3144">
        <v>0</v>
      </c>
      <c r="M3144">
        <v>0</v>
      </c>
      <c r="N3144">
        <v>0</v>
      </c>
      <c r="O3144">
        <v>1218.353988899768</v>
      </c>
      <c r="P3144">
        <v>531046.98650143994</v>
      </c>
    </row>
    <row r="3145" spans="1:16" x14ac:dyDescent="0.25">
      <c r="A3145" s="10">
        <v>42272</v>
      </c>
      <c r="B3145">
        <v>-3455.4332660998889</v>
      </c>
      <c r="C3145">
        <v>-1036.3615</v>
      </c>
      <c r="D3145">
        <v>0</v>
      </c>
      <c r="E3145">
        <v>0</v>
      </c>
      <c r="F3145">
        <v>0</v>
      </c>
      <c r="G3145">
        <v>-394.1346848799999</v>
      </c>
      <c r="H3145">
        <v>-3193.6716576800031</v>
      </c>
      <c r="I3145">
        <v>0</v>
      </c>
      <c r="J3145">
        <v>0</v>
      </c>
      <c r="K3145">
        <v>6.6182770099999999</v>
      </c>
      <c r="L3145">
        <v>1084.9000000000001</v>
      </c>
      <c r="M3145">
        <v>0</v>
      </c>
      <c r="N3145">
        <v>0</v>
      </c>
      <c r="O3145">
        <v>77.216299450112189</v>
      </c>
      <c r="P3145">
        <v>527591.55323534005</v>
      </c>
    </row>
    <row r="3146" spans="1:16" x14ac:dyDescent="0.25">
      <c r="A3146" s="10">
        <v>42275</v>
      </c>
      <c r="B3146">
        <v>-7524.4598492200612</v>
      </c>
      <c r="C3146">
        <v>-697.52049999999997</v>
      </c>
      <c r="D3146">
        <v>0</v>
      </c>
      <c r="E3146">
        <v>0</v>
      </c>
      <c r="F3146">
        <v>0</v>
      </c>
      <c r="G3146">
        <v>-594.13970768000013</v>
      </c>
      <c r="H3146">
        <v>-4929.142827579999</v>
      </c>
      <c r="I3146">
        <v>0</v>
      </c>
      <c r="J3146">
        <v>0</v>
      </c>
      <c r="K3146">
        <v>23.14274532</v>
      </c>
      <c r="L3146">
        <v>0</v>
      </c>
      <c r="M3146">
        <v>0</v>
      </c>
      <c r="N3146">
        <v>0</v>
      </c>
      <c r="O3146">
        <v>-1326.799559280063</v>
      </c>
      <c r="P3146">
        <v>520067.09338611999</v>
      </c>
    </row>
    <row r="3147" spans="1:16" x14ac:dyDescent="0.25">
      <c r="A3147" s="10">
        <v>42276</v>
      </c>
      <c r="B3147">
        <v>14007.086004879849</v>
      </c>
      <c r="C3147">
        <v>-1242.0709999999999</v>
      </c>
      <c r="D3147">
        <v>0</v>
      </c>
      <c r="E3147">
        <v>0</v>
      </c>
      <c r="F3147">
        <v>0</v>
      </c>
      <c r="G3147">
        <v>7185.2946221299999</v>
      </c>
      <c r="H3147">
        <v>3765.2042059300002</v>
      </c>
      <c r="I3147">
        <v>0</v>
      </c>
      <c r="J3147">
        <v>0</v>
      </c>
      <c r="K3147">
        <v>9.7120470899999987</v>
      </c>
      <c r="L3147">
        <v>4855.5</v>
      </c>
      <c r="M3147">
        <v>0</v>
      </c>
      <c r="N3147">
        <v>0</v>
      </c>
      <c r="O3147">
        <v>-566.5538702701524</v>
      </c>
      <c r="P3147">
        <v>534074.17939099984</v>
      </c>
    </row>
    <row r="3148" spans="1:16" x14ac:dyDescent="0.25">
      <c r="A3148" s="10">
        <v>42277</v>
      </c>
      <c r="B3148">
        <v>-3939.8182562299739</v>
      </c>
      <c r="C3148">
        <v>-879.58400000000006</v>
      </c>
      <c r="D3148">
        <v>26399</v>
      </c>
      <c r="E3148">
        <v>0</v>
      </c>
      <c r="F3148">
        <v>0</v>
      </c>
      <c r="G3148">
        <v>-26150.17926352999</v>
      </c>
      <c r="H3148">
        <v>-2591.7925721200008</v>
      </c>
      <c r="I3148">
        <v>0</v>
      </c>
      <c r="J3148">
        <v>0</v>
      </c>
      <c r="K3148">
        <v>13.161571410000001</v>
      </c>
      <c r="L3148">
        <v>111.9</v>
      </c>
      <c r="M3148">
        <v>0</v>
      </c>
      <c r="N3148">
        <v>0</v>
      </c>
      <c r="O3148">
        <v>-842.32399198998121</v>
      </c>
      <c r="P3148">
        <v>530134.36113476986</v>
      </c>
    </row>
    <row r="3149" spans="1:16" x14ac:dyDescent="0.25">
      <c r="A3149" s="10">
        <v>42278</v>
      </c>
      <c r="B3149">
        <v>11412.52727436018</v>
      </c>
      <c r="C3149">
        <v>-6084.3940000000002</v>
      </c>
      <c r="D3149">
        <v>0</v>
      </c>
      <c r="E3149">
        <v>0</v>
      </c>
      <c r="F3149">
        <v>0</v>
      </c>
      <c r="G3149">
        <v>101.87292013</v>
      </c>
      <c r="H3149">
        <v>16311.273458170001</v>
      </c>
      <c r="I3149">
        <v>0</v>
      </c>
      <c r="J3149">
        <v>0</v>
      </c>
      <c r="K3149">
        <v>11.30850530999999</v>
      </c>
      <c r="L3149">
        <v>939.8</v>
      </c>
      <c r="M3149">
        <v>0</v>
      </c>
      <c r="N3149">
        <v>0</v>
      </c>
      <c r="O3149">
        <v>132.66639075018031</v>
      </c>
      <c r="P3149">
        <v>541546.88840913004</v>
      </c>
    </row>
    <row r="3150" spans="1:16" x14ac:dyDescent="0.25">
      <c r="A3150" s="10">
        <v>42279</v>
      </c>
      <c r="B3150">
        <v>-2184.627232070196</v>
      </c>
      <c r="C3150">
        <v>-1249.7925</v>
      </c>
      <c r="D3150">
        <v>0</v>
      </c>
      <c r="E3150">
        <v>0</v>
      </c>
      <c r="F3150">
        <v>0</v>
      </c>
      <c r="G3150">
        <v>-1679.6688563499999</v>
      </c>
      <c r="H3150">
        <v>-3310.384109430001</v>
      </c>
      <c r="I3150">
        <v>0</v>
      </c>
      <c r="J3150">
        <v>0</v>
      </c>
      <c r="K3150">
        <v>5.8335280899999997</v>
      </c>
      <c r="L3150">
        <v>2992.9</v>
      </c>
      <c r="M3150">
        <v>0</v>
      </c>
      <c r="N3150">
        <v>0</v>
      </c>
      <c r="O3150">
        <v>1056.4847056198039</v>
      </c>
      <c r="P3150">
        <v>539362.26117705985</v>
      </c>
    </row>
    <row r="3151" spans="1:16" x14ac:dyDescent="0.25">
      <c r="A3151" s="10">
        <v>42282</v>
      </c>
      <c r="B3151">
        <v>7563.7762024701788</v>
      </c>
      <c r="C3151">
        <v>-1416.865</v>
      </c>
      <c r="D3151">
        <v>0</v>
      </c>
      <c r="E3151">
        <v>0</v>
      </c>
      <c r="F3151">
        <v>0</v>
      </c>
      <c r="G3151">
        <v>7826.4454096500049</v>
      </c>
      <c r="H3151">
        <v>1228.017266209999</v>
      </c>
      <c r="I3151">
        <v>0</v>
      </c>
      <c r="J3151">
        <v>0</v>
      </c>
      <c r="K3151">
        <v>10.58202994</v>
      </c>
      <c r="L3151">
        <v>0</v>
      </c>
      <c r="M3151">
        <v>0</v>
      </c>
      <c r="N3151">
        <v>0</v>
      </c>
      <c r="O3151">
        <v>-84.403503329825796</v>
      </c>
      <c r="P3151">
        <v>546926.03737953003</v>
      </c>
    </row>
    <row r="3152" spans="1:16" x14ac:dyDescent="0.25">
      <c r="A3152" s="10">
        <v>42283</v>
      </c>
      <c r="B3152">
        <v>-724.48824212013278</v>
      </c>
      <c r="C3152">
        <v>-1226.7349999999999</v>
      </c>
      <c r="D3152">
        <v>0</v>
      </c>
      <c r="E3152">
        <v>0</v>
      </c>
      <c r="F3152">
        <v>0</v>
      </c>
      <c r="G3152">
        <v>1302.22195358</v>
      </c>
      <c r="H3152">
        <v>-424.21757299000092</v>
      </c>
      <c r="I3152">
        <v>0</v>
      </c>
      <c r="J3152">
        <v>0</v>
      </c>
      <c r="K3152">
        <v>2.5775274600000002</v>
      </c>
      <c r="L3152">
        <v>0</v>
      </c>
      <c r="M3152">
        <v>0</v>
      </c>
      <c r="N3152">
        <v>0</v>
      </c>
      <c r="O3152">
        <v>-378.33515017013161</v>
      </c>
      <c r="P3152">
        <v>546201.54913740989</v>
      </c>
    </row>
    <row r="3153" spans="1:16" x14ac:dyDescent="0.25">
      <c r="A3153" s="10">
        <v>42284</v>
      </c>
      <c r="B3153">
        <v>850.02758808003284</v>
      </c>
      <c r="C3153">
        <v>-1331.347</v>
      </c>
      <c r="D3153">
        <v>0</v>
      </c>
      <c r="E3153">
        <v>0</v>
      </c>
      <c r="F3153">
        <v>0</v>
      </c>
      <c r="G3153">
        <v>670.54427764000002</v>
      </c>
      <c r="H3153">
        <v>-592.40199741999822</v>
      </c>
      <c r="I3153">
        <v>0</v>
      </c>
      <c r="J3153">
        <v>0</v>
      </c>
      <c r="K3153">
        <v>2.8923991500000001</v>
      </c>
      <c r="L3153">
        <v>2010.5</v>
      </c>
      <c r="M3153">
        <v>0</v>
      </c>
      <c r="N3153">
        <v>0</v>
      </c>
      <c r="O3153">
        <v>89.839908710030983</v>
      </c>
      <c r="P3153">
        <v>547051.57672548993</v>
      </c>
    </row>
    <row r="3154" spans="1:16" x14ac:dyDescent="0.25">
      <c r="A3154" s="10">
        <v>42285</v>
      </c>
      <c r="B3154">
        <v>334.34626775001988</v>
      </c>
      <c r="C3154">
        <v>-678.43200000000002</v>
      </c>
      <c r="D3154">
        <v>0</v>
      </c>
      <c r="E3154">
        <v>0</v>
      </c>
      <c r="F3154">
        <v>0</v>
      </c>
      <c r="G3154">
        <v>-284.35338861000042</v>
      </c>
      <c r="H3154">
        <v>266.77898811999688</v>
      </c>
      <c r="I3154">
        <v>0</v>
      </c>
      <c r="J3154">
        <v>-135.30000000000021</v>
      </c>
      <c r="K3154">
        <v>-22.708713939999999</v>
      </c>
      <c r="L3154">
        <v>1006.9</v>
      </c>
      <c r="M3154">
        <v>0</v>
      </c>
      <c r="N3154">
        <v>0</v>
      </c>
      <c r="O3154">
        <v>181.46138218002361</v>
      </c>
      <c r="P3154">
        <v>547385.92299323995</v>
      </c>
    </row>
    <row r="3155" spans="1:16" x14ac:dyDescent="0.25">
      <c r="A3155" s="10">
        <v>42286</v>
      </c>
      <c r="B3155">
        <v>-1619.2805273400161</v>
      </c>
      <c r="C3155">
        <v>-152.059</v>
      </c>
      <c r="D3155">
        <v>0</v>
      </c>
      <c r="E3155">
        <v>0</v>
      </c>
      <c r="F3155">
        <v>0</v>
      </c>
      <c r="G3155">
        <v>-13.545521140000011</v>
      </c>
      <c r="H3155">
        <v>-2565.7438112899999</v>
      </c>
      <c r="I3155">
        <v>0</v>
      </c>
      <c r="J3155">
        <v>0</v>
      </c>
      <c r="K3155">
        <v>3.2470474500000002</v>
      </c>
      <c r="L3155">
        <v>0</v>
      </c>
      <c r="M3155">
        <v>0</v>
      </c>
      <c r="N3155">
        <v>0</v>
      </c>
      <c r="O3155">
        <v>1108.8207576399841</v>
      </c>
      <c r="P3155">
        <v>545766.64246589993</v>
      </c>
    </row>
    <row r="3156" spans="1:16" x14ac:dyDescent="0.25">
      <c r="A3156" s="10">
        <v>42290</v>
      </c>
      <c r="B3156">
        <v>1254.5008122000149</v>
      </c>
      <c r="C3156">
        <v>-1600.384</v>
      </c>
      <c r="D3156">
        <v>0</v>
      </c>
      <c r="E3156">
        <v>0</v>
      </c>
      <c r="F3156">
        <v>0</v>
      </c>
      <c r="G3156">
        <v>-673.46919915000001</v>
      </c>
      <c r="H3156">
        <v>2894.7217404300031</v>
      </c>
      <c r="I3156">
        <v>0</v>
      </c>
      <c r="J3156">
        <v>0</v>
      </c>
      <c r="K3156">
        <v>19.03209859</v>
      </c>
      <c r="L3156">
        <v>0</v>
      </c>
      <c r="M3156">
        <v>0</v>
      </c>
      <c r="N3156">
        <v>0</v>
      </c>
      <c r="O3156">
        <v>614.6001723300119</v>
      </c>
      <c r="P3156">
        <v>547021.14327809995</v>
      </c>
    </row>
    <row r="3157" spans="1:16" x14ac:dyDescent="0.25">
      <c r="A3157" s="10">
        <v>42291</v>
      </c>
      <c r="B3157">
        <v>-4784.392296640086</v>
      </c>
      <c r="C3157">
        <v>-1671.2885000000001</v>
      </c>
      <c r="D3157">
        <v>0</v>
      </c>
      <c r="E3157">
        <v>0</v>
      </c>
      <c r="F3157">
        <v>0</v>
      </c>
      <c r="G3157">
        <v>567.06454411000004</v>
      </c>
      <c r="H3157">
        <v>-3017.0968556900011</v>
      </c>
      <c r="I3157">
        <v>0</v>
      </c>
      <c r="J3157">
        <v>0</v>
      </c>
      <c r="K3157">
        <v>4.1480375600000006</v>
      </c>
      <c r="L3157">
        <v>-591.5</v>
      </c>
      <c r="M3157">
        <v>0</v>
      </c>
      <c r="N3157">
        <v>0</v>
      </c>
      <c r="O3157">
        <v>-75.719522620085442</v>
      </c>
      <c r="P3157">
        <v>542236.75098145986</v>
      </c>
    </row>
    <row r="3158" spans="1:16" x14ac:dyDescent="0.25">
      <c r="A3158" s="10">
        <v>42292</v>
      </c>
      <c r="B3158">
        <v>9625.1260495102033</v>
      </c>
      <c r="C3158">
        <v>-499.13684930000011</v>
      </c>
      <c r="D3158">
        <v>0</v>
      </c>
      <c r="E3158">
        <v>0</v>
      </c>
      <c r="F3158">
        <v>0</v>
      </c>
      <c r="G3158">
        <v>6889.9340344499997</v>
      </c>
      <c r="H3158">
        <v>3384.875251970001</v>
      </c>
      <c r="I3158">
        <v>0</v>
      </c>
      <c r="J3158">
        <v>0</v>
      </c>
      <c r="K3158">
        <v>5.68369708</v>
      </c>
      <c r="L3158">
        <v>0</v>
      </c>
      <c r="M3158">
        <v>0</v>
      </c>
      <c r="N3158">
        <v>0</v>
      </c>
      <c r="O3158">
        <v>-156.23008468979529</v>
      </c>
      <c r="P3158">
        <v>551861.87703097006</v>
      </c>
    </row>
    <row r="3159" spans="1:16" x14ac:dyDescent="0.25">
      <c r="A3159" s="10">
        <v>42293</v>
      </c>
      <c r="B3159">
        <v>-1837.7767890200489</v>
      </c>
      <c r="C3159">
        <v>3.1177689200000032</v>
      </c>
      <c r="D3159">
        <v>0</v>
      </c>
      <c r="E3159">
        <v>0</v>
      </c>
      <c r="F3159">
        <v>0</v>
      </c>
      <c r="G3159">
        <v>-466.48908617000001</v>
      </c>
      <c r="H3159">
        <v>-1392.7766760200011</v>
      </c>
      <c r="I3159">
        <v>0</v>
      </c>
      <c r="J3159">
        <v>0</v>
      </c>
      <c r="K3159">
        <v>4.5037377199999993</v>
      </c>
      <c r="L3159">
        <v>0</v>
      </c>
      <c r="M3159">
        <v>0</v>
      </c>
      <c r="N3159">
        <v>0</v>
      </c>
      <c r="O3159">
        <v>13.86746652995212</v>
      </c>
      <c r="P3159">
        <v>550024.10024195001</v>
      </c>
    </row>
    <row r="3160" spans="1:16" x14ac:dyDescent="0.25">
      <c r="A3160" s="10">
        <v>42296</v>
      </c>
      <c r="B3160">
        <v>-2923.3426433197451</v>
      </c>
      <c r="C3160">
        <v>-1131.6690000000001</v>
      </c>
      <c r="D3160">
        <v>0</v>
      </c>
      <c r="E3160">
        <v>0</v>
      </c>
      <c r="F3160">
        <v>0</v>
      </c>
      <c r="G3160">
        <v>-1663.1635429600001</v>
      </c>
      <c r="H3160">
        <v>-82.011068469999373</v>
      </c>
      <c r="I3160">
        <v>0</v>
      </c>
      <c r="J3160">
        <v>0</v>
      </c>
      <c r="K3160">
        <v>12.99519147</v>
      </c>
      <c r="L3160">
        <v>0</v>
      </c>
      <c r="M3160">
        <v>0</v>
      </c>
      <c r="N3160">
        <v>0</v>
      </c>
      <c r="O3160">
        <v>-59.494223359745767</v>
      </c>
      <c r="P3160">
        <v>547100.75759863027</v>
      </c>
    </row>
    <row r="3161" spans="1:16" x14ac:dyDescent="0.25">
      <c r="A3161" s="10">
        <v>42297</v>
      </c>
      <c r="B3161">
        <v>3588.7651841797629</v>
      </c>
      <c r="C3161">
        <v>-1551.6334999999999</v>
      </c>
      <c r="D3161">
        <v>0</v>
      </c>
      <c r="E3161">
        <v>0</v>
      </c>
      <c r="F3161">
        <v>0</v>
      </c>
      <c r="G3161">
        <v>807.20812806000004</v>
      </c>
      <c r="H3161">
        <v>4365.9027507899991</v>
      </c>
      <c r="I3161">
        <v>0</v>
      </c>
      <c r="J3161">
        <v>0</v>
      </c>
      <c r="K3161">
        <v>4.8467985599999999</v>
      </c>
      <c r="L3161">
        <v>0</v>
      </c>
      <c r="M3161">
        <v>0</v>
      </c>
      <c r="N3161">
        <v>0</v>
      </c>
      <c r="O3161">
        <v>-37.558993230235963</v>
      </c>
      <c r="P3161">
        <v>550689.52278281003</v>
      </c>
    </row>
    <row r="3162" spans="1:16" x14ac:dyDescent="0.25">
      <c r="A3162" s="10">
        <v>42298</v>
      </c>
      <c r="B3162">
        <v>-4122.9221678898903</v>
      </c>
      <c r="C3162">
        <v>-1608.5364</v>
      </c>
      <c r="D3162">
        <v>0</v>
      </c>
      <c r="E3162">
        <v>0</v>
      </c>
      <c r="F3162">
        <v>0</v>
      </c>
      <c r="G3162">
        <v>945.12492011999984</v>
      </c>
      <c r="H3162">
        <v>-3352.250212110001</v>
      </c>
      <c r="I3162">
        <v>0</v>
      </c>
      <c r="J3162">
        <v>9.9999999999909051E-2</v>
      </c>
      <c r="K3162">
        <v>3.0423817199999998</v>
      </c>
      <c r="L3162">
        <v>-197.8</v>
      </c>
      <c r="M3162">
        <v>0</v>
      </c>
      <c r="N3162">
        <v>0</v>
      </c>
      <c r="O3162">
        <v>87.397142380110566</v>
      </c>
      <c r="P3162">
        <v>546566.60061492003</v>
      </c>
    </row>
    <row r="3163" spans="1:16" x14ac:dyDescent="0.25">
      <c r="A3163" s="10">
        <v>42299</v>
      </c>
      <c r="B3163">
        <v>1881.184065139736</v>
      </c>
      <c r="C3163">
        <v>-1035.5472</v>
      </c>
      <c r="D3163">
        <v>0</v>
      </c>
      <c r="E3163">
        <v>0</v>
      </c>
      <c r="F3163">
        <v>0</v>
      </c>
      <c r="G3163">
        <v>734.37854659999982</v>
      </c>
      <c r="H3163">
        <v>455.28351209000181</v>
      </c>
      <c r="I3163">
        <v>0</v>
      </c>
      <c r="J3163">
        <v>0</v>
      </c>
      <c r="K3163">
        <v>4.0581199999999997</v>
      </c>
      <c r="L3163">
        <v>1599.5</v>
      </c>
      <c r="M3163">
        <v>0</v>
      </c>
      <c r="N3163">
        <v>0</v>
      </c>
      <c r="O3163">
        <v>123.51108644973471</v>
      </c>
      <c r="P3163">
        <v>548447.78468005988</v>
      </c>
    </row>
    <row r="3164" spans="1:16" x14ac:dyDescent="0.25">
      <c r="A3164" s="10">
        <v>42300</v>
      </c>
      <c r="B3164">
        <v>-2050.7092817098578</v>
      </c>
      <c r="C3164">
        <v>-354.56900000000002</v>
      </c>
      <c r="D3164">
        <v>0</v>
      </c>
      <c r="E3164">
        <v>0</v>
      </c>
      <c r="F3164">
        <v>0</v>
      </c>
      <c r="G3164">
        <v>46.463083210000029</v>
      </c>
      <c r="H3164">
        <v>-2009.506536810002</v>
      </c>
      <c r="I3164">
        <v>0</v>
      </c>
      <c r="J3164">
        <v>0</v>
      </c>
      <c r="K3164">
        <v>4.6541427100000003</v>
      </c>
      <c r="L3164">
        <v>0</v>
      </c>
      <c r="M3164">
        <v>0</v>
      </c>
      <c r="N3164">
        <v>0</v>
      </c>
      <c r="O3164">
        <v>262.24902918014368</v>
      </c>
      <c r="P3164">
        <v>546397.07539835002</v>
      </c>
    </row>
    <row r="3165" spans="1:16" x14ac:dyDescent="0.25">
      <c r="A3165" s="10">
        <v>42303</v>
      </c>
      <c r="B3165">
        <v>-3449.2389734497988</v>
      </c>
      <c r="C3165">
        <v>-1027.751</v>
      </c>
      <c r="D3165">
        <v>0</v>
      </c>
      <c r="E3165">
        <v>0</v>
      </c>
      <c r="F3165">
        <v>0</v>
      </c>
      <c r="G3165">
        <v>-834.98399563000009</v>
      </c>
      <c r="H3165">
        <v>-1511.5631238599999</v>
      </c>
      <c r="I3165">
        <v>0</v>
      </c>
      <c r="J3165">
        <v>0</v>
      </c>
      <c r="K3165">
        <v>15.85198286</v>
      </c>
      <c r="L3165">
        <v>0</v>
      </c>
      <c r="M3165">
        <v>0</v>
      </c>
      <c r="N3165">
        <v>0</v>
      </c>
      <c r="O3165">
        <v>-90.792836819799589</v>
      </c>
      <c r="P3165">
        <v>542947.83642490022</v>
      </c>
    </row>
    <row r="3166" spans="1:16" x14ac:dyDescent="0.25">
      <c r="A3166" s="10">
        <v>42304</v>
      </c>
      <c r="B3166">
        <v>-1700.543848110131</v>
      </c>
      <c r="C3166">
        <v>-856.36700000000008</v>
      </c>
      <c r="D3166">
        <v>0</v>
      </c>
      <c r="E3166">
        <v>0</v>
      </c>
      <c r="F3166">
        <v>9000</v>
      </c>
      <c r="G3166">
        <v>-8196.3704305600004</v>
      </c>
      <c r="H3166">
        <v>-2751.3548132899959</v>
      </c>
      <c r="I3166">
        <v>0</v>
      </c>
      <c r="J3166">
        <v>0</v>
      </c>
      <c r="K3166">
        <v>5.6207534200000024</v>
      </c>
      <c r="L3166">
        <v>1076.2</v>
      </c>
      <c r="M3166">
        <v>0</v>
      </c>
      <c r="N3166">
        <v>0</v>
      </c>
      <c r="O3166">
        <v>21.727642319866259</v>
      </c>
      <c r="P3166">
        <v>541247.29257679009</v>
      </c>
    </row>
    <row r="3167" spans="1:16" x14ac:dyDescent="0.25">
      <c r="A3167" s="10">
        <v>42305</v>
      </c>
      <c r="B3167">
        <v>-8811.0435576601922</v>
      </c>
      <c r="C3167">
        <v>-220.63200000000001</v>
      </c>
      <c r="D3167">
        <v>0</v>
      </c>
      <c r="E3167">
        <v>0</v>
      </c>
      <c r="F3167">
        <v>0</v>
      </c>
      <c r="G3167">
        <v>179.18703829</v>
      </c>
      <c r="H3167">
        <v>-18067.746662990001</v>
      </c>
      <c r="I3167">
        <v>0</v>
      </c>
      <c r="J3167">
        <v>0</v>
      </c>
      <c r="K3167">
        <v>8.0425890799999991</v>
      </c>
      <c r="L3167">
        <v>-457</v>
      </c>
      <c r="M3167">
        <v>0</v>
      </c>
      <c r="N3167">
        <v>0</v>
      </c>
      <c r="O3167">
        <v>9747.1054779598089</v>
      </c>
      <c r="P3167">
        <v>532436.2490191299</v>
      </c>
    </row>
    <row r="3168" spans="1:16" x14ac:dyDescent="0.25">
      <c r="A3168" s="10">
        <v>42306</v>
      </c>
      <c r="B3168">
        <v>-6710.615166339906</v>
      </c>
      <c r="C3168">
        <v>-547.32099999999991</v>
      </c>
      <c r="D3168">
        <v>0</v>
      </c>
      <c r="E3168">
        <v>0</v>
      </c>
      <c r="F3168">
        <v>0</v>
      </c>
      <c r="G3168">
        <v>-187.30858284999999</v>
      </c>
      <c r="H3168">
        <v>-9707.2030520800035</v>
      </c>
      <c r="I3168">
        <v>0</v>
      </c>
      <c r="J3168">
        <v>0</v>
      </c>
      <c r="K3168">
        <v>17.559036509999999</v>
      </c>
      <c r="L3168">
        <v>0</v>
      </c>
      <c r="M3168">
        <v>0</v>
      </c>
      <c r="N3168">
        <v>0</v>
      </c>
      <c r="O3168">
        <v>3713.658432080098</v>
      </c>
      <c r="P3168">
        <v>525725.63385278999</v>
      </c>
    </row>
    <row r="3169" spans="1:16" x14ac:dyDescent="0.25">
      <c r="A3169" s="10">
        <v>42307</v>
      </c>
      <c r="B3169">
        <v>17475.791657190191</v>
      </c>
      <c r="C3169">
        <v>-998.46760000000006</v>
      </c>
      <c r="D3169">
        <v>0</v>
      </c>
      <c r="E3169">
        <v>0</v>
      </c>
      <c r="F3169">
        <v>0</v>
      </c>
      <c r="G3169">
        <v>-179.71006692</v>
      </c>
      <c r="H3169">
        <v>16974.75860388</v>
      </c>
      <c r="I3169">
        <v>0</v>
      </c>
      <c r="J3169">
        <v>0</v>
      </c>
      <c r="K3169">
        <v>22.189852720000001</v>
      </c>
      <c r="L3169">
        <v>1685.3</v>
      </c>
      <c r="M3169">
        <v>0</v>
      </c>
      <c r="N3169">
        <v>0</v>
      </c>
      <c r="O3169">
        <v>-28.279132489809129</v>
      </c>
      <c r="P3169">
        <v>543201.42550998018</v>
      </c>
    </row>
    <row r="3170" spans="1:16" x14ac:dyDescent="0.25">
      <c r="A3170" s="10">
        <v>42310</v>
      </c>
      <c r="B3170">
        <v>17956.343857399879</v>
      </c>
      <c r="C3170">
        <v>-1610.338</v>
      </c>
      <c r="D3170">
        <v>0</v>
      </c>
      <c r="E3170">
        <v>0</v>
      </c>
      <c r="F3170">
        <v>0</v>
      </c>
      <c r="G3170">
        <v>314.65786546999999</v>
      </c>
      <c r="H3170">
        <v>17051.848947980001</v>
      </c>
      <c r="I3170">
        <v>0</v>
      </c>
      <c r="J3170">
        <v>11.400000000000089</v>
      </c>
      <c r="K3170">
        <v>38.229193189999997</v>
      </c>
      <c r="L3170">
        <v>0</v>
      </c>
      <c r="M3170">
        <v>0</v>
      </c>
      <c r="N3170">
        <v>0</v>
      </c>
      <c r="O3170">
        <v>2150.5458507598778</v>
      </c>
      <c r="P3170">
        <v>561157.76936738007</v>
      </c>
    </row>
    <row r="3171" spans="1:16" x14ac:dyDescent="0.25">
      <c r="A3171" s="10">
        <v>42311</v>
      </c>
      <c r="B3171">
        <v>-565.45124317030491</v>
      </c>
      <c r="C3171">
        <v>-1585.883</v>
      </c>
      <c r="D3171">
        <v>0</v>
      </c>
      <c r="E3171">
        <v>0</v>
      </c>
      <c r="F3171">
        <v>0</v>
      </c>
      <c r="G3171">
        <v>603.28464421000047</v>
      </c>
      <c r="H3171">
        <v>-357.78479377000082</v>
      </c>
      <c r="I3171">
        <v>0</v>
      </c>
      <c r="J3171">
        <v>0</v>
      </c>
      <c r="K3171">
        <v>2.6405995899999999</v>
      </c>
      <c r="L3171">
        <v>0</v>
      </c>
      <c r="M3171">
        <v>0</v>
      </c>
      <c r="N3171">
        <v>0</v>
      </c>
      <c r="O3171">
        <v>772.29130679969535</v>
      </c>
      <c r="P3171">
        <v>560592.31812420976</v>
      </c>
    </row>
    <row r="3172" spans="1:16" x14ac:dyDescent="0.25">
      <c r="A3172" s="10">
        <v>42312</v>
      </c>
      <c r="B3172">
        <v>3342.456631860231</v>
      </c>
      <c r="C3172">
        <v>-1412.548</v>
      </c>
      <c r="D3172">
        <v>0</v>
      </c>
      <c r="E3172">
        <v>0</v>
      </c>
      <c r="F3172">
        <v>0</v>
      </c>
      <c r="G3172">
        <v>2315.1372758799989</v>
      </c>
      <c r="H3172">
        <v>-833.13847342000008</v>
      </c>
      <c r="I3172">
        <v>0</v>
      </c>
      <c r="J3172">
        <v>0</v>
      </c>
      <c r="K3172">
        <v>2.9248631700000001</v>
      </c>
      <c r="L3172">
        <v>-612.40000000000009</v>
      </c>
      <c r="M3172">
        <v>0</v>
      </c>
      <c r="N3172">
        <v>0</v>
      </c>
      <c r="O3172">
        <v>3882.4809662302318</v>
      </c>
      <c r="P3172">
        <v>563934.77475606999</v>
      </c>
    </row>
    <row r="3173" spans="1:16" x14ac:dyDescent="0.25">
      <c r="A3173" s="10">
        <v>42313</v>
      </c>
      <c r="B3173">
        <v>3455.3428119700388</v>
      </c>
      <c r="C3173">
        <v>-1655.8910000000001</v>
      </c>
      <c r="D3173">
        <v>0</v>
      </c>
      <c r="E3173">
        <v>0</v>
      </c>
      <c r="F3173">
        <v>0</v>
      </c>
      <c r="G3173">
        <v>-1272.8498749199989</v>
      </c>
      <c r="H3173">
        <v>1152.9472474400011</v>
      </c>
      <c r="I3173">
        <v>0</v>
      </c>
      <c r="J3173">
        <v>0</v>
      </c>
      <c r="K3173">
        <v>2.9277270299999998</v>
      </c>
      <c r="L3173">
        <v>5189.2</v>
      </c>
      <c r="M3173">
        <v>0</v>
      </c>
      <c r="N3173">
        <v>0</v>
      </c>
      <c r="O3173">
        <v>39.00871242003825</v>
      </c>
      <c r="P3173">
        <v>567390.11756803992</v>
      </c>
    </row>
    <row r="3174" spans="1:16" x14ac:dyDescent="0.25">
      <c r="A3174" s="10">
        <v>42317</v>
      </c>
      <c r="B3174">
        <v>1018.612136259791</v>
      </c>
      <c r="C3174">
        <v>-941.24399999999991</v>
      </c>
      <c r="D3174">
        <v>-2844</v>
      </c>
      <c r="E3174">
        <v>0</v>
      </c>
      <c r="F3174">
        <v>0</v>
      </c>
      <c r="G3174">
        <v>3719.2535322899998</v>
      </c>
      <c r="H3174">
        <v>-3076.4793668200018</v>
      </c>
      <c r="I3174">
        <v>0</v>
      </c>
      <c r="J3174">
        <v>0</v>
      </c>
      <c r="K3174">
        <v>13.06772595</v>
      </c>
      <c r="L3174">
        <v>3828.1</v>
      </c>
      <c r="M3174">
        <v>0</v>
      </c>
      <c r="N3174">
        <v>0</v>
      </c>
      <c r="O3174">
        <v>319.91424483979227</v>
      </c>
      <c r="P3174">
        <v>568408.72970429994</v>
      </c>
    </row>
    <row r="3175" spans="1:16" x14ac:dyDescent="0.25">
      <c r="A3175" s="10">
        <v>42318</v>
      </c>
      <c r="B3175">
        <v>1400.5332101199299</v>
      </c>
      <c r="C3175">
        <v>-1587.904</v>
      </c>
      <c r="D3175">
        <v>0</v>
      </c>
      <c r="E3175">
        <v>0</v>
      </c>
      <c r="F3175">
        <v>0</v>
      </c>
      <c r="G3175">
        <v>1162.0707012099999</v>
      </c>
      <c r="H3175">
        <v>1350.87931153</v>
      </c>
      <c r="I3175">
        <v>0</v>
      </c>
      <c r="J3175">
        <v>-134.80000000000021</v>
      </c>
      <c r="K3175">
        <v>-19.930612579999671</v>
      </c>
      <c r="L3175">
        <v>0</v>
      </c>
      <c r="M3175">
        <v>0</v>
      </c>
      <c r="N3175">
        <v>0</v>
      </c>
      <c r="O3175">
        <v>630.21780995993049</v>
      </c>
      <c r="P3175">
        <v>569809.26291441976</v>
      </c>
    </row>
    <row r="3176" spans="1:16" x14ac:dyDescent="0.25">
      <c r="A3176" s="10">
        <v>42319</v>
      </c>
      <c r="B3176">
        <v>3233.5792530501499</v>
      </c>
      <c r="C3176">
        <v>140.5</v>
      </c>
      <c r="D3176">
        <v>0</v>
      </c>
      <c r="E3176">
        <v>0</v>
      </c>
      <c r="F3176">
        <v>0</v>
      </c>
      <c r="G3176">
        <v>1046.3433705800001</v>
      </c>
      <c r="H3176">
        <v>1555.476288749998</v>
      </c>
      <c r="I3176">
        <v>0</v>
      </c>
      <c r="J3176">
        <v>0</v>
      </c>
      <c r="K3176">
        <v>3.6037395999999999</v>
      </c>
      <c r="L3176">
        <v>-905</v>
      </c>
      <c r="M3176">
        <v>0</v>
      </c>
      <c r="N3176">
        <v>0</v>
      </c>
      <c r="O3176">
        <v>1392.6558541201521</v>
      </c>
      <c r="P3176">
        <v>573042.84216747002</v>
      </c>
    </row>
    <row r="3177" spans="1:16" x14ac:dyDescent="0.25">
      <c r="A3177" s="10">
        <v>42320</v>
      </c>
      <c r="B3177">
        <v>-10605.002165320089</v>
      </c>
      <c r="C3177">
        <v>-1594.961</v>
      </c>
      <c r="D3177">
        <v>0</v>
      </c>
      <c r="E3177">
        <v>-9400</v>
      </c>
      <c r="F3177">
        <v>0</v>
      </c>
      <c r="G3177">
        <v>-842.21107288000064</v>
      </c>
      <c r="H3177">
        <v>-355.6716868099993</v>
      </c>
      <c r="I3177">
        <v>0</v>
      </c>
      <c r="J3177">
        <v>0</v>
      </c>
      <c r="K3177">
        <v>4.3543087500000004</v>
      </c>
      <c r="L3177">
        <v>1038.2</v>
      </c>
      <c r="M3177">
        <v>0</v>
      </c>
      <c r="N3177">
        <v>0</v>
      </c>
      <c r="O3177">
        <v>545.28728561990215</v>
      </c>
      <c r="P3177">
        <v>562437.84000214981</v>
      </c>
    </row>
    <row r="3178" spans="1:16" x14ac:dyDescent="0.25">
      <c r="A3178" s="10">
        <v>42321</v>
      </c>
      <c r="B3178">
        <v>5534.0879573501861</v>
      </c>
      <c r="C3178">
        <v>-1278.329</v>
      </c>
      <c r="D3178">
        <v>0</v>
      </c>
      <c r="E3178">
        <v>9400</v>
      </c>
      <c r="F3178">
        <v>0</v>
      </c>
      <c r="G3178">
        <v>527.86135569000044</v>
      </c>
      <c r="H3178">
        <v>-4427.1715628700003</v>
      </c>
      <c r="I3178">
        <v>0</v>
      </c>
      <c r="J3178">
        <v>0</v>
      </c>
      <c r="K3178">
        <v>4.2006871399999994</v>
      </c>
      <c r="L3178">
        <v>0</v>
      </c>
      <c r="M3178">
        <v>0</v>
      </c>
      <c r="N3178">
        <v>0</v>
      </c>
      <c r="O3178">
        <v>1307.526477390187</v>
      </c>
      <c r="P3178">
        <v>567971.9279595</v>
      </c>
    </row>
    <row r="3179" spans="1:16" x14ac:dyDescent="0.25">
      <c r="A3179" s="10">
        <v>42324</v>
      </c>
      <c r="B3179">
        <v>1418.984209149726</v>
      </c>
      <c r="C3179">
        <v>-1278.663</v>
      </c>
      <c r="D3179">
        <v>-2524</v>
      </c>
      <c r="E3179">
        <v>0</v>
      </c>
      <c r="F3179">
        <v>0</v>
      </c>
      <c r="G3179">
        <v>2210.5514814200001</v>
      </c>
      <c r="H3179">
        <v>-887.11865502999717</v>
      </c>
      <c r="I3179">
        <v>0</v>
      </c>
      <c r="J3179">
        <v>0</v>
      </c>
      <c r="K3179">
        <v>16.527080959999999</v>
      </c>
      <c r="L3179">
        <v>2823.6</v>
      </c>
      <c r="M3179">
        <v>0</v>
      </c>
      <c r="N3179">
        <v>0</v>
      </c>
      <c r="O3179">
        <v>1058.087301799723</v>
      </c>
      <c r="P3179">
        <v>569390.91216864972</v>
      </c>
    </row>
    <row r="3180" spans="1:16" x14ac:dyDescent="0.25">
      <c r="A3180" s="10">
        <v>42325</v>
      </c>
      <c r="B3180">
        <v>-1340.574590160044</v>
      </c>
      <c r="C3180">
        <v>-1416.72</v>
      </c>
      <c r="D3180">
        <v>0</v>
      </c>
      <c r="E3180">
        <v>0</v>
      </c>
      <c r="F3180">
        <v>0</v>
      </c>
      <c r="G3180">
        <v>-1075.5868111699999</v>
      </c>
      <c r="H3180">
        <v>-646.8095911499986</v>
      </c>
      <c r="I3180">
        <v>0</v>
      </c>
      <c r="J3180">
        <v>0</v>
      </c>
      <c r="K3180">
        <v>5.2726048199999997</v>
      </c>
      <c r="L3180">
        <v>0</v>
      </c>
      <c r="M3180">
        <v>0</v>
      </c>
      <c r="N3180">
        <v>0</v>
      </c>
      <c r="O3180">
        <v>1793.2692073399551</v>
      </c>
      <c r="P3180">
        <v>568050.33757848968</v>
      </c>
    </row>
    <row r="3181" spans="1:16" x14ac:dyDescent="0.25">
      <c r="A3181" s="10">
        <v>42326</v>
      </c>
      <c r="B3181">
        <v>-10277.6522659196</v>
      </c>
      <c r="C3181">
        <v>-1257.3240000000001</v>
      </c>
      <c r="D3181">
        <v>0</v>
      </c>
      <c r="E3181">
        <v>0</v>
      </c>
      <c r="F3181">
        <v>0</v>
      </c>
      <c r="G3181">
        <v>-5748.9028628799988</v>
      </c>
      <c r="H3181">
        <v>-3836.289860390003</v>
      </c>
      <c r="I3181">
        <v>0</v>
      </c>
      <c r="J3181">
        <v>0</v>
      </c>
      <c r="K3181">
        <v>6.9497187500000006</v>
      </c>
      <c r="L3181">
        <v>438.4</v>
      </c>
      <c r="M3181">
        <v>0</v>
      </c>
      <c r="N3181">
        <v>0</v>
      </c>
      <c r="O3181">
        <v>119.5147386003995</v>
      </c>
      <c r="P3181">
        <v>557772.68531257007</v>
      </c>
    </row>
    <row r="3182" spans="1:16" x14ac:dyDescent="0.25">
      <c r="A3182" s="10">
        <v>42327</v>
      </c>
      <c r="B3182">
        <v>-5405.8164201203044</v>
      </c>
      <c r="C3182">
        <v>-1470.6</v>
      </c>
      <c r="D3182">
        <v>0</v>
      </c>
      <c r="E3182">
        <v>0</v>
      </c>
      <c r="F3182">
        <v>0</v>
      </c>
      <c r="G3182">
        <v>549.37368325999887</v>
      </c>
      <c r="H3182">
        <v>-6160.3175832099987</v>
      </c>
      <c r="I3182">
        <v>0</v>
      </c>
      <c r="J3182">
        <v>0</v>
      </c>
      <c r="K3182">
        <v>8.1366705599999989</v>
      </c>
      <c r="L3182">
        <v>1537.5</v>
      </c>
      <c r="M3182">
        <v>0</v>
      </c>
      <c r="N3182">
        <v>0</v>
      </c>
      <c r="O3182">
        <v>130.0908092696958</v>
      </c>
      <c r="P3182">
        <v>552366.86889244965</v>
      </c>
    </row>
    <row r="3183" spans="1:16" x14ac:dyDescent="0.25">
      <c r="A3183" s="10">
        <v>42328</v>
      </c>
      <c r="B3183">
        <v>-6195.3423442399389</v>
      </c>
      <c r="C3183">
        <v>-1071.441</v>
      </c>
      <c r="D3183">
        <v>0</v>
      </c>
      <c r="E3183">
        <v>0</v>
      </c>
      <c r="F3183">
        <v>0</v>
      </c>
      <c r="G3183">
        <v>2196.069968190001</v>
      </c>
      <c r="H3183">
        <v>-7355.6851878499947</v>
      </c>
      <c r="I3183">
        <v>0</v>
      </c>
      <c r="J3183">
        <v>0</v>
      </c>
      <c r="K3183">
        <v>12.28644188</v>
      </c>
      <c r="L3183">
        <v>0</v>
      </c>
      <c r="M3183">
        <v>0</v>
      </c>
      <c r="N3183">
        <v>0</v>
      </c>
      <c r="O3183">
        <v>23.427433540055421</v>
      </c>
      <c r="P3183">
        <v>546171.52654820983</v>
      </c>
    </row>
    <row r="3184" spans="1:16" x14ac:dyDescent="0.25">
      <c r="A3184" s="10">
        <v>42331</v>
      </c>
      <c r="B3184">
        <v>8782.4734100004389</v>
      </c>
      <c r="C3184">
        <v>-905.27300000000002</v>
      </c>
      <c r="D3184">
        <v>0</v>
      </c>
      <c r="E3184">
        <v>0</v>
      </c>
      <c r="F3184">
        <v>17624.099999999999</v>
      </c>
      <c r="G3184">
        <v>2496.0060178600011</v>
      </c>
      <c r="H3184">
        <v>1016.031251809996</v>
      </c>
      <c r="I3184">
        <v>0</v>
      </c>
      <c r="J3184">
        <v>0</v>
      </c>
      <c r="K3184">
        <v>42.197417169999987</v>
      </c>
      <c r="L3184">
        <v>0</v>
      </c>
      <c r="M3184">
        <v>0</v>
      </c>
      <c r="N3184">
        <v>0</v>
      </c>
      <c r="O3184">
        <v>-11490.58827683955</v>
      </c>
      <c r="P3184">
        <v>554953.99995821028</v>
      </c>
    </row>
    <row r="3185" spans="1:16" x14ac:dyDescent="0.25">
      <c r="A3185" s="10">
        <v>42332</v>
      </c>
      <c r="B3185">
        <v>-2077.999999850409</v>
      </c>
      <c r="C3185">
        <v>-879.17400000000009</v>
      </c>
      <c r="D3185">
        <v>0</v>
      </c>
      <c r="E3185">
        <v>0</v>
      </c>
      <c r="F3185">
        <v>0</v>
      </c>
      <c r="G3185">
        <v>13298.118513920001</v>
      </c>
      <c r="H3185">
        <v>-14357.88957005</v>
      </c>
      <c r="I3185">
        <v>0</v>
      </c>
      <c r="J3185">
        <v>0</v>
      </c>
      <c r="K3185">
        <v>16.621135150000001</v>
      </c>
      <c r="L3185">
        <v>0</v>
      </c>
      <c r="M3185">
        <v>0</v>
      </c>
      <c r="N3185">
        <v>0</v>
      </c>
      <c r="O3185">
        <v>-155.6760788704087</v>
      </c>
      <c r="P3185">
        <v>552875.99995835987</v>
      </c>
    </row>
    <row r="3186" spans="1:16" x14ac:dyDescent="0.25">
      <c r="A3186" s="10">
        <v>42333</v>
      </c>
      <c r="B3186">
        <v>-2899.6935728400681</v>
      </c>
      <c r="C3186">
        <v>-339.95299999999997</v>
      </c>
      <c r="D3186">
        <v>0</v>
      </c>
      <c r="E3186">
        <v>0</v>
      </c>
      <c r="F3186">
        <v>0</v>
      </c>
      <c r="G3186">
        <v>-1347.008419909999</v>
      </c>
      <c r="H3186">
        <v>138.37758103998931</v>
      </c>
      <c r="I3186">
        <v>0</v>
      </c>
      <c r="J3186">
        <v>0</v>
      </c>
      <c r="K3186">
        <v>28.85293669</v>
      </c>
      <c r="L3186">
        <v>-1352</v>
      </c>
      <c r="M3186">
        <v>0</v>
      </c>
      <c r="N3186">
        <v>0</v>
      </c>
      <c r="O3186">
        <v>-27.962670660057761</v>
      </c>
      <c r="P3186">
        <v>549976.30638551968</v>
      </c>
    </row>
    <row r="3187" spans="1:16" x14ac:dyDescent="0.25">
      <c r="A3187" s="10">
        <v>42334</v>
      </c>
      <c r="B3187">
        <v>8505.3318985602855</v>
      </c>
      <c r="C3187">
        <v>74.400000000000006</v>
      </c>
      <c r="D3187">
        <v>0</v>
      </c>
      <c r="E3187">
        <v>0</v>
      </c>
      <c r="F3187">
        <v>0</v>
      </c>
      <c r="G3187">
        <v>55.281320529999448</v>
      </c>
      <c r="H3187">
        <v>7487.7644772499989</v>
      </c>
      <c r="I3187">
        <v>0</v>
      </c>
      <c r="J3187">
        <v>0</v>
      </c>
      <c r="K3187">
        <v>27.1404478</v>
      </c>
      <c r="L3187">
        <v>-0.90000000000000568</v>
      </c>
      <c r="M3187">
        <v>0</v>
      </c>
      <c r="N3187">
        <v>0</v>
      </c>
      <c r="O3187">
        <v>861.64565298028663</v>
      </c>
      <c r="P3187">
        <v>558481.63828408008</v>
      </c>
    </row>
    <row r="3188" spans="1:16" x14ac:dyDescent="0.25">
      <c r="A3188" s="10">
        <v>42338</v>
      </c>
      <c r="B3188">
        <v>-21720.556301419969</v>
      </c>
      <c r="C3188">
        <v>-383.00400000000002</v>
      </c>
      <c r="D3188">
        <v>0</v>
      </c>
      <c r="E3188">
        <v>8300</v>
      </c>
      <c r="F3188">
        <v>0</v>
      </c>
      <c r="G3188">
        <v>2100.0429412899998</v>
      </c>
      <c r="H3188">
        <v>-31458.030446180001</v>
      </c>
      <c r="I3188">
        <v>0</v>
      </c>
      <c r="J3188">
        <v>0</v>
      </c>
      <c r="K3188">
        <v>77.187271690000003</v>
      </c>
      <c r="L3188">
        <v>0</v>
      </c>
      <c r="M3188">
        <v>0</v>
      </c>
      <c r="N3188">
        <v>0</v>
      </c>
      <c r="O3188">
        <v>-356.75206821996551</v>
      </c>
      <c r="P3188">
        <v>536761.08198266011</v>
      </c>
    </row>
    <row r="3189" spans="1:16" x14ac:dyDescent="0.25">
      <c r="A3189" s="10">
        <v>42339</v>
      </c>
      <c r="B3189">
        <v>74289.349753629998</v>
      </c>
      <c r="C3189">
        <v>-1604.1969999999999</v>
      </c>
      <c r="D3189">
        <v>0</v>
      </c>
      <c r="E3189">
        <v>11200</v>
      </c>
      <c r="F3189">
        <v>0</v>
      </c>
      <c r="G3189">
        <v>-102.8363781800001</v>
      </c>
      <c r="H3189">
        <v>57341.636931870024</v>
      </c>
      <c r="I3189">
        <v>0</v>
      </c>
      <c r="J3189">
        <v>0</v>
      </c>
      <c r="K3189">
        <v>44.859391020000032</v>
      </c>
      <c r="L3189">
        <v>7374.8</v>
      </c>
      <c r="M3189">
        <v>0</v>
      </c>
      <c r="N3189">
        <v>0</v>
      </c>
      <c r="O3189">
        <v>35.086808919976463</v>
      </c>
      <c r="P3189">
        <v>611050.43173629022</v>
      </c>
    </row>
    <row r="3190" spans="1:16" x14ac:dyDescent="0.25">
      <c r="A3190" s="10">
        <v>42340</v>
      </c>
      <c r="B3190">
        <v>-187.94141822028811</v>
      </c>
      <c r="C3190">
        <v>-1662.4970000000001</v>
      </c>
      <c r="D3190">
        <v>0</v>
      </c>
      <c r="E3190">
        <v>2200</v>
      </c>
      <c r="F3190">
        <v>0</v>
      </c>
      <c r="G3190">
        <v>-1381.8618226799999</v>
      </c>
      <c r="H3190">
        <v>-1703.66970219</v>
      </c>
      <c r="I3190">
        <v>0</v>
      </c>
      <c r="J3190">
        <v>0</v>
      </c>
      <c r="K3190">
        <v>6.5786377700000003</v>
      </c>
      <c r="L3190">
        <v>2202.6</v>
      </c>
      <c r="M3190">
        <v>0</v>
      </c>
      <c r="N3190">
        <v>0</v>
      </c>
      <c r="O3190">
        <v>150.9084688797121</v>
      </c>
      <c r="P3190">
        <v>610862.49031806982</v>
      </c>
    </row>
    <row r="3191" spans="1:16" x14ac:dyDescent="0.25">
      <c r="A3191" s="10">
        <v>42341</v>
      </c>
      <c r="B3191">
        <v>7591.6966869703019</v>
      </c>
      <c r="C3191">
        <v>-1860.7550000000001</v>
      </c>
      <c r="D3191">
        <v>0</v>
      </c>
      <c r="E3191">
        <v>0</v>
      </c>
      <c r="F3191">
        <v>0</v>
      </c>
      <c r="G3191">
        <v>-364.30474052999978</v>
      </c>
      <c r="H3191">
        <v>-128.22724709999969</v>
      </c>
      <c r="I3191">
        <v>0</v>
      </c>
      <c r="J3191">
        <v>5.1999999999998181</v>
      </c>
      <c r="K3191">
        <v>6.9601064800000003</v>
      </c>
      <c r="L3191">
        <v>10037.5</v>
      </c>
      <c r="M3191">
        <v>0</v>
      </c>
      <c r="N3191">
        <v>0</v>
      </c>
      <c r="O3191">
        <v>-104.6764318796988</v>
      </c>
      <c r="P3191">
        <v>618454.18700504012</v>
      </c>
    </row>
    <row r="3192" spans="1:16" x14ac:dyDescent="0.25">
      <c r="A3192" s="10">
        <v>42342</v>
      </c>
      <c r="B3192">
        <v>-6137.9389551003687</v>
      </c>
      <c r="C3192">
        <v>-2297.817</v>
      </c>
      <c r="D3192">
        <v>0</v>
      </c>
      <c r="E3192">
        <v>3000</v>
      </c>
      <c r="F3192">
        <v>0</v>
      </c>
      <c r="G3192">
        <v>-5604.4944022200007</v>
      </c>
      <c r="H3192">
        <v>-226.78378811000579</v>
      </c>
      <c r="I3192">
        <v>0</v>
      </c>
      <c r="J3192">
        <v>0</v>
      </c>
      <c r="K3192">
        <v>3.1897762699999999</v>
      </c>
      <c r="L3192">
        <v>0</v>
      </c>
      <c r="M3192">
        <v>0</v>
      </c>
      <c r="N3192">
        <v>0</v>
      </c>
      <c r="O3192">
        <v>-1012.033541040362</v>
      </c>
      <c r="P3192">
        <v>612316.24804993975</v>
      </c>
    </row>
    <row r="3193" spans="1:16" x14ac:dyDescent="0.25">
      <c r="A3193" s="10">
        <v>42347</v>
      </c>
      <c r="B3193">
        <v>16933.171999130169</v>
      </c>
      <c r="C3193">
        <v>-667.40969999999993</v>
      </c>
      <c r="D3193">
        <v>0</v>
      </c>
      <c r="E3193">
        <v>9800</v>
      </c>
      <c r="F3193">
        <v>0</v>
      </c>
      <c r="G3193">
        <v>3730.3630260400009</v>
      </c>
      <c r="H3193">
        <v>-2992.4936820199978</v>
      </c>
      <c r="I3193">
        <v>0</v>
      </c>
      <c r="J3193">
        <v>0</v>
      </c>
      <c r="K3193">
        <v>17.56319667</v>
      </c>
      <c r="L3193">
        <v>7666.3</v>
      </c>
      <c r="M3193">
        <v>0</v>
      </c>
      <c r="N3193">
        <v>0</v>
      </c>
      <c r="O3193">
        <v>-621.15084155983573</v>
      </c>
      <c r="P3193">
        <v>629249.4200490698</v>
      </c>
    </row>
    <row r="3194" spans="1:16" x14ac:dyDescent="0.25">
      <c r="A3194" s="10">
        <v>42348</v>
      </c>
      <c r="B3194">
        <v>-7271.7102590897111</v>
      </c>
      <c r="C3194">
        <v>-1980.3579999999999</v>
      </c>
      <c r="D3194">
        <v>0</v>
      </c>
      <c r="E3194">
        <v>0</v>
      </c>
      <c r="F3194">
        <v>0</v>
      </c>
      <c r="G3194">
        <v>-2742.4812179199998</v>
      </c>
      <c r="H3194">
        <v>-2438.590425949998</v>
      </c>
      <c r="I3194">
        <v>0</v>
      </c>
      <c r="J3194">
        <v>-135.39999999999961</v>
      </c>
      <c r="K3194">
        <v>-17.378744139999821</v>
      </c>
      <c r="L3194">
        <v>0</v>
      </c>
      <c r="M3194">
        <v>0</v>
      </c>
      <c r="N3194">
        <v>0</v>
      </c>
      <c r="O3194">
        <v>42.49812892028676</v>
      </c>
      <c r="P3194">
        <v>621977.70978998009</v>
      </c>
    </row>
    <row r="3195" spans="1:16" x14ac:dyDescent="0.25">
      <c r="A3195" s="10">
        <v>42349</v>
      </c>
      <c r="B3195">
        <v>-4721.0760721903061</v>
      </c>
      <c r="C3195">
        <v>-2143.3946000000001</v>
      </c>
      <c r="D3195">
        <v>0</v>
      </c>
      <c r="E3195">
        <v>0</v>
      </c>
      <c r="F3195">
        <v>0</v>
      </c>
      <c r="G3195">
        <v>-2710.558888850001</v>
      </c>
      <c r="H3195">
        <v>-3148.7340911599999</v>
      </c>
      <c r="I3195">
        <v>0</v>
      </c>
      <c r="J3195">
        <v>0</v>
      </c>
      <c r="K3195">
        <v>8.7295892499999983</v>
      </c>
      <c r="L3195">
        <v>0</v>
      </c>
      <c r="M3195">
        <v>0</v>
      </c>
      <c r="N3195">
        <v>0</v>
      </c>
      <c r="O3195">
        <v>3272.8819185696939</v>
      </c>
      <c r="P3195">
        <v>617256.6337177899</v>
      </c>
    </row>
    <row r="3196" spans="1:16" x14ac:dyDescent="0.25">
      <c r="A3196" s="10">
        <v>42352</v>
      </c>
      <c r="B3196">
        <v>-602.66565138974738</v>
      </c>
      <c r="C3196">
        <v>-1300.7873999999999</v>
      </c>
      <c r="D3196">
        <v>0</v>
      </c>
      <c r="E3196">
        <v>0</v>
      </c>
      <c r="F3196">
        <v>0</v>
      </c>
      <c r="G3196">
        <v>-1279.78459761</v>
      </c>
      <c r="H3196">
        <v>1894.3706542899961</v>
      </c>
      <c r="I3196">
        <v>0</v>
      </c>
      <c r="J3196">
        <v>0</v>
      </c>
      <c r="K3196">
        <v>18.415348560000002</v>
      </c>
      <c r="L3196">
        <v>0</v>
      </c>
      <c r="M3196">
        <v>0</v>
      </c>
      <c r="N3196">
        <v>0</v>
      </c>
      <c r="O3196">
        <v>65.120343370256251</v>
      </c>
      <c r="P3196">
        <v>616653.96806640015</v>
      </c>
    </row>
    <row r="3197" spans="1:16" x14ac:dyDescent="0.25">
      <c r="A3197" s="10">
        <v>42353</v>
      </c>
      <c r="B3197">
        <v>-4253.2759583503921</v>
      </c>
      <c r="C3197">
        <v>-1403.6990000000001</v>
      </c>
      <c r="D3197">
        <v>0</v>
      </c>
      <c r="E3197">
        <v>0</v>
      </c>
      <c r="F3197">
        <v>0</v>
      </c>
      <c r="G3197">
        <v>-1350.772987750001</v>
      </c>
      <c r="H3197">
        <v>-1615.7857913700029</v>
      </c>
      <c r="I3197">
        <v>0</v>
      </c>
      <c r="J3197">
        <v>12</v>
      </c>
      <c r="K3197">
        <v>5.6797810399999999</v>
      </c>
      <c r="L3197">
        <v>0</v>
      </c>
      <c r="M3197">
        <v>0</v>
      </c>
      <c r="N3197">
        <v>0</v>
      </c>
      <c r="O3197">
        <v>99.302039729611536</v>
      </c>
      <c r="P3197">
        <v>612400.69210804987</v>
      </c>
    </row>
    <row r="3198" spans="1:16" x14ac:dyDescent="0.25">
      <c r="A3198" s="10">
        <v>42354</v>
      </c>
      <c r="B3198">
        <v>-6426.2100131597836</v>
      </c>
      <c r="C3198">
        <v>-1674.95605</v>
      </c>
      <c r="D3198">
        <v>0</v>
      </c>
      <c r="E3198">
        <v>0</v>
      </c>
      <c r="F3198">
        <v>0</v>
      </c>
      <c r="G3198">
        <v>295.24301593000018</v>
      </c>
      <c r="H3198">
        <v>-8538.168159159999</v>
      </c>
      <c r="I3198">
        <v>0</v>
      </c>
      <c r="J3198">
        <v>0</v>
      </c>
      <c r="K3198">
        <v>6.6652858999999989</v>
      </c>
      <c r="L3198">
        <v>3332.7</v>
      </c>
      <c r="M3198">
        <v>0</v>
      </c>
      <c r="N3198">
        <v>0</v>
      </c>
      <c r="O3198">
        <v>152.3058941702146</v>
      </c>
      <c r="P3198">
        <v>605974.48209489009</v>
      </c>
    </row>
    <row r="3199" spans="1:16" x14ac:dyDescent="0.25">
      <c r="A3199" s="10">
        <v>42355</v>
      </c>
      <c r="B3199">
        <v>24796.29622813989</v>
      </c>
      <c r="C3199">
        <v>0</v>
      </c>
      <c r="D3199">
        <v>0</v>
      </c>
      <c r="E3199">
        <v>0</v>
      </c>
      <c r="F3199">
        <v>0</v>
      </c>
      <c r="G3199">
        <v>1370.123633749999</v>
      </c>
      <c r="H3199">
        <v>-189.32737472000011</v>
      </c>
      <c r="I3199">
        <v>0</v>
      </c>
      <c r="J3199">
        <v>0</v>
      </c>
      <c r="K3199">
        <v>12.40927984</v>
      </c>
      <c r="L3199">
        <v>0</v>
      </c>
      <c r="M3199">
        <v>0</v>
      </c>
      <c r="N3199">
        <v>0</v>
      </c>
      <c r="O3199">
        <v>23603.090689269891</v>
      </c>
      <c r="P3199">
        <v>630770.77832302987</v>
      </c>
    </row>
    <row r="3200" spans="1:16" x14ac:dyDescent="0.25">
      <c r="A3200" s="10">
        <v>42356</v>
      </c>
      <c r="B3200">
        <v>-1326.771597509972</v>
      </c>
      <c r="C3200">
        <v>147.1</v>
      </c>
      <c r="D3200">
        <v>0</v>
      </c>
      <c r="E3200">
        <v>0</v>
      </c>
      <c r="F3200">
        <v>0</v>
      </c>
      <c r="G3200">
        <v>1432.169397450001</v>
      </c>
      <c r="H3200">
        <v>1332.5554685900061</v>
      </c>
      <c r="I3200">
        <v>0</v>
      </c>
      <c r="J3200">
        <v>0</v>
      </c>
      <c r="K3200">
        <v>14.71403293</v>
      </c>
      <c r="L3200">
        <v>0</v>
      </c>
      <c r="M3200">
        <v>0</v>
      </c>
      <c r="N3200">
        <v>0</v>
      </c>
      <c r="O3200">
        <v>-4253.3104964799804</v>
      </c>
      <c r="P3200">
        <v>629444.0067255199</v>
      </c>
    </row>
    <row r="3201" spans="1:16" x14ac:dyDescent="0.25">
      <c r="A3201" s="10">
        <v>42359</v>
      </c>
      <c r="B3201">
        <v>9184.9270626499801</v>
      </c>
      <c r="C3201">
        <v>1478.85</v>
      </c>
      <c r="D3201">
        <v>0</v>
      </c>
      <c r="E3201">
        <v>0</v>
      </c>
      <c r="F3201">
        <v>0</v>
      </c>
      <c r="G3201">
        <v>5787.9323032100001</v>
      </c>
      <c r="H3201">
        <v>-14080.54353354</v>
      </c>
      <c r="I3201">
        <v>0</v>
      </c>
      <c r="J3201">
        <v>0</v>
      </c>
      <c r="K3201">
        <v>36.169268639999999</v>
      </c>
      <c r="L3201">
        <v>-349.4</v>
      </c>
      <c r="M3201">
        <v>0</v>
      </c>
      <c r="N3201">
        <v>0</v>
      </c>
      <c r="O3201">
        <v>16311.919024339981</v>
      </c>
      <c r="P3201">
        <v>638628.93378816999</v>
      </c>
    </row>
    <row r="3202" spans="1:16" x14ac:dyDescent="0.25">
      <c r="A3202" s="10">
        <v>42360</v>
      </c>
      <c r="B3202">
        <v>1377.596238360044</v>
      </c>
      <c r="C3202">
        <v>72</v>
      </c>
      <c r="D3202">
        <v>0</v>
      </c>
      <c r="E3202">
        <v>0</v>
      </c>
      <c r="F3202">
        <v>0</v>
      </c>
      <c r="G3202">
        <v>1614.1179696500001</v>
      </c>
      <c r="H3202">
        <v>2076.4073585299921</v>
      </c>
      <c r="I3202">
        <v>0</v>
      </c>
      <c r="J3202">
        <v>0</v>
      </c>
      <c r="K3202">
        <v>18.975088079999999</v>
      </c>
      <c r="L3202">
        <v>-392.69999999999987</v>
      </c>
      <c r="M3202">
        <v>0</v>
      </c>
      <c r="N3202">
        <v>0</v>
      </c>
      <c r="O3202">
        <v>-2011.204177899948</v>
      </c>
      <c r="P3202">
        <v>640006.5300265298</v>
      </c>
    </row>
    <row r="3203" spans="1:16" x14ac:dyDescent="0.25">
      <c r="A3203" s="10">
        <v>42361</v>
      </c>
      <c r="B3203">
        <v>-6428.8361959997583</v>
      </c>
      <c r="C3203">
        <v>118</v>
      </c>
      <c r="D3203">
        <v>0</v>
      </c>
      <c r="E3203">
        <v>0</v>
      </c>
      <c r="F3203">
        <v>0</v>
      </c>
      <c r="G3203">
        <v>-254.00708276</v>
      </c>
      <c r="H3203">
        <v>4665.4779730900054</v>
      </c>
      <c r="I3203">
        <v>0</v>
      </c>
      <c r="J3203">
        <v>0</v>
      </c>
      <c r="K3203">
        <v>17.291702000000001</v>
      </c>
      <c r="L3203">
        <v>-16426.3</v>
      </c>
      <c r="M3203">
        <v>0</v>
      </c>
      <c r="N3203">
        <v>0</v>
      </c>
      <c r="O3203">
        <v>5450.7012116702372</v>
      </c>
      <c r="P3203">
        <v>633577.69383053016</v>
      </c>
    </row>
    <row r="3204" spans="1:16" x14ac:dyDescent="0.25">
      <c r="A3204" s="10">
        <v>42362</v>
      </c>
      <c r="B3204">
        <v>-2417.0916988502709</v>
      </c>
      <c r="C3204">
        <v>110.7</v>
      </c>
      <c r="D3204">
        <v>0</v>
      </c>
      <c r="E3204">
        <v>0</v>
      </c>
      <c r="F3204">
        <v>0</v>
      </c>
      <c r="G3204">
        <v>-6.0965436000001318</v>
      </c>
      <c r="H3204">
        <v>-2510.825972029998</v>
      </c>
      <c r="I3204">
        <v>0</v>
      </c>
      <c r="J3204">
        <v>0</v>
      </c>
      <c r="K3204">
        <v>16.152490700000001</v>
      </c>
      <c r="L3204">
        <v>0</v>
      </c>
      <c r="M3204">
        <v>0</v>
      </c>
      <c r="N3204">
        <v>0</v>
      </c>
      <c r="O3204">
        <v>-27.02167392027286</v>
      </c>
      <c r="P3204">
        <v>631160.60213168</v>
      </c>
    </row>
    <row r="3205" spans="1:16" x14ac:dyDescent="0.25">
      <c r="A3205" s="10">
        <v>42366</v>
      </c>
      <c r="B3205">
        <v>-1950.5766117600731</v>
      </c>
      <c r="C3205">
        <v>77</v>
      </c>
      <c r="D3205">
        <v>0</v>
      </c>
      <c r="E3205">
        <v>0</v>
      </c>
      <c r="F3205">
        <v>0</v>
      </c>
      <c r="G3205">
        <v>-2087.5890097699998</v>
      </c>
      <c r="H3205">
        <v>578.13611916999798</v>
      </c>
      <c r="I3205">
        <v>0</v>
      </c>
      <c r="J3205">
        <v>0</v>
      </c>
      <c r="K3205">
        <v>73.038647260000005</v>
      </c>
      <c r="L3205">
        <v>-292.5</v>
      </c>
      <c r="M3205">
        <v>0</v>
      </c>
      <c r="N3205">
        <v>0</v>
      </c>
      <c r="O3205">
        <v>-298.66236842007089</v>
      </c>
      <c r="P3205">
        <v>629210.02551991981</v>
      </c>
    </row>
    <row r="3206" spans="1:16" x14ac:dyDescent="0.25">
      <c r="A3206" s="10">
        <v>42367</v>
      </c>
      <c r="B3206">
        <v>2854.5856372003891</v>
      </c>
      <c r="C3206">
        <v>29</v>
      </c>
      <c r="D3206">
        <v>0</v>
      </c>
      <c r="E3206">
        <v>0</v>
      </c>
      <c r="F3206">
        <v>0</v>
      </c>
      <c r="G3206">
        <v>2761.2842424</v>
      </c>
      <c r="H3206">
        <v>1355.494867040004</v>
      </c>
      <c r="I3206">
        <v>0</v>
      </c>
      <c r="J3206">
        <v>0</v>
      </c>
      <c r="K3206">
        <v>18.776129269999998</v>
      </c>
      <c r="L3206">
        <v>-460.4</v>
      </c>
      <c r="M3206">
        <v>0</v>
      </c>
      <c r="N3206">
        <v>0</v>
      </c>
      <c r="O3206">
        <v>-849.56960150961481</v>
      </c>
      <c r="P3206">
        <v>632064.61115712009</v>
      </c>
    </row>
    <row r="3207" spans="1:16" x14ac:dyDescent="0.25">
      <c r="A3207" s="10">
        <v>42368</v>
      </c>
      <c r="B3207">
        <v>-23023.504221579991</v>
      </c>
      <c r="C3207">
        <v>58.3</v>
      </c>
      <c r="D3207">
        <v>0</v>
      </c>
      <c r="E3207">
        <v>5000</v>
      </c>
      <c r="F3207">
        <v>0</v>
      </c>
      <c r="G3207">
        <v>-1360.1868367</v>
      </c>
      <c r="H3207">
        <v>2376.1897622099932</v>
      </c>
      <c r="I3207">
        <v>0</v>
      </c>
      <c r="J3207">
        <v>0</v>
      </c>
      <c r="K3207">
        <v>21.21733609</v>
      </c>
      <c r="L3207">
        <v>-28183.5</v>
      </c>
      <c r="M3207">
        <v>0</v>
      </c>
      <c r="N3207">
        <v>0</v>
      </c>
      <c r="O3207">
        <v>-935.52448317998426</v>
      </c>
      <c r="P3207">
        <v>609041.10693554021</v>
      </c>
    </row>
    <row r="3208" spans="1:16" x14ac:dyDescent="0.25">
      <c r="A3208" s="10">
        <v>42369</v>
      </c>
      <c r="B3208">
        <v>14848.411115639499</v>
      </c>
      <c r="C3208">
        <v>155.6</v>
      </c>
      <c r="D3208">
        <v>0</v>
      </c>
      <c r="E3208">
        <v>0</v>
      </c>
      <c r="F3208">
        <v>0</v>
      </c>
      <c r="G3208">
        <v>-1032.4000000000001</v>
      </c>
      <c r="H3208">
        <v>15483.81469789</v>
      </c>
      <c r="I3208">
        <v>0</v>
      </c>
      <c r="J3208">
        <v>0</v>
      </c>
      <c r="K3208">
        <v>12.11713262</v>
      </c>
      <c r="L3208">
        <v>0</v>
      </c>
      <c r="M3208">
        <v>0</v>
      </c>
      <c r="N3208">
        <v>0</v>
      </c>
      <c r="O3208">
        <v>229.27928512949441</v>
      </c>
      <c r="P3208">
        <v>623889.51805117971</v>
      </c>
    </row>
    <row r="3209" spans="1:16" x14ac:dyDescent="0.25">
      <c r="A3209" s="10">
        <v>42373</v>
      </c>
      <c r="B3209">
        <v>-3594.2737694500238</v>
      </c>
      <c r="C3209">
        <v>41.3</v>
      </c>
      <c r="D3209">
        <v>0</v>
      </c>
      <c r="E3209">
        <v>0</v>
      </c>
      <c r="F3209">
        <v>0</v>
      </c>
      <c r="G3209">
        <v>760.50437852999983</v>
      </c>
      <c r="H3209">
        <v>-4369.4508065199989</v>
      </c>
      <c r="I3209">
        <v>0</v>
      </c>
      <c r="J3209">
        <v>0</v>
      </c>
      <c r="K3209">
        <v>25.172485949999999</v>
      </c>
      <c r="L3209">
        <v>-156.90000000000009</v>
      </c>
      <c r="M3209">
        <v>0</v>
      </c>
      <c r="N3209">
        <v>0</v>
      </c>
      <c r="O3209">
        <v>105.1001725899756</v>
      </c>
      <c r="P3209">
        <v>620295.24428172968</v>
      </c>
    </row>
    <row r="3210" spans="1:16" x14ac:dyDescent="0.25">
      <c r="A3210" s="10">
        <v>42374</v>
      </c>
      <c r="B3210">
        <v>1773.9987398502419</v>
      </c>
      <c r="C3210">
        <v>131.08167599999999</v>
      </c>
      <c r="D3210">
        <v>0</v>
      </c>
      <c r="E3210">
        <v>0</v>
      </c>
      <c r="F3210">
        <v>0</v>
      </c>
      <c r="G3210">
        <v>408.52322630999998</v>
      </c>
      <c r="H3210">
        <v>529.26837800000067</v>
      </c>
      <c r="I3210">
        <v>0</v>
      </c>
      <c r="J3210">
        <v>0</v>
      </c>
      <c r="K3210">
        <v>10.821017380000001</v>
      </c>
      <c r="L3210">
        <v>-379</v>
      </c>
      <c r="M3210">
        <v>0</v>
      </c>
      <c r="N3210">
        <v>0</v>
      </c>
      <c r="O3210">
        <v>1073.304442160241</v>
      </c>
      <c r="P3210">
        <v>622069.24302157981</v>
      </c>
    </row>
    <row r="3211" spans="1:16" x14ac:dyDescent="0.25">
      <c r="A3211" s="10">
        <v>42375</v>
      </c>
      <c r="B3211">
        <v>-17370.808952350169</v>
      </c>
      <c r="C3211">
        <v>127.8</v>
      </c>
      <c r="D3211">
        <v>0</v>
      </c>
      <c r="E3211">
        <v>0</v>
      </c>
      <c r="F3211">
        <v>0</v>
      </c>
      <c r="G3211">
        <v>107.84498480000001</v>
      </c>
      <c r="H3211">
        <v>1579.9119682999949</v>
      </c>
      <c r="I3211">
        <v>0</v>
      </c>
      <c r="J3211">
        <v>0</v>
      </c>
      <c r="K3211">
        <v>7.9397242699999993</v>
      </c>
      <c r="L3211">
        <v>-22805.1</v>
      </c>
      <c r="M3211">
        <v>0</v>
      </c>
      <c r="N3211">
        <v>0</v>
      </c>
      <c r="O3211">
        <v>3610.794370279837</v>
      </c>
      <c r="P3211">
        <v>604698.43406922987</v>
      </c>
    </row>
    <row r="3212" spans="1:16" x14ac:dyDescent="0.25">
      <c r="A3212" s="10">
        <v>42376</v>
      </c>
      <c r="B3212">
        <v>2041.382534850273</v>
      </c>
      <c r="C3212">
        <v>52.9</v>
      </c>
      <c r="D3212">
        <v>0</v>
      </c>
      <c r="E3212">
        <v>0</v>
      </c>
      <c r="F3212">
        <v>0</v>
      </c>
      <c r="G3212">
        <v>-936.67650248999996</v>
      </c>
      <c r="H3212">
        <v>-989.75242022999737</v>
      </c>
      <c r="I3212">
        <v>0</v>
      </c>
      <c r="J3212">
        <v>0</v>
      </c>
      <c r="K3212">
        <v>12.31996148</v>
      </c>
      <c r="L3212">
        <v>-167.3</v>
      </c>
      <c r="M3212">
        <v>0</v>
      </c>
      <c r="N3212">
        <v>0</v>
      </c>
      <c r="O3212">
        <v>4069.8914960902698</v>
      </c>
      <c r="P3212">
        <v>606739.81660408003</v>
      </c>
    </row>
    <row r="3213" spans="1:16" x14ac:dyDescent="0.25">
      <c r="A3213" s="10">
        <v>42377</v>
      </c>
      <c r="B3213">
        <v>5644.4021363497013</v>
      </c>
      <c r="C3213">
        <v>118.2</v>
      </c>
      <c r="D3213">
        <v>0</v>
      </c>
      <c r="E3213">
        <v>0</v>
      </c>
      <c r="F3213">
        <v>0</v>
      </c>
      <c r="G3213">
        <v>811.25591703999999</v>
      </c>
      <c r="H3213">
        <v>1921.0928094799999</v>
      </c>
      <c r="I3213">
        <v>0</v>
      </c>
      <c r="J3213">
        <v>0</v>
      </c>
      <c r="K3213">
        <v>7.7641250799999977</v>
      </c>
      <c r="L3213">
        <v>0</v>
      </c>
      <c r="M3213">
        <v>0</v>
      </c>
      <c r="N3213">
        <v>0</v>
      </c>
      <c r="O3213">
        <v>2786.0892847497012</v>
      </c>
      <c r="P3213">
        <v>612384.21874042985</v>
      </c>
    </row>
    <row r="3214" spans="1:16" x14ac:dyDescent="0.25">
      <c r="A3214" s="10">
        <v>42380</v>
      </c>
      <c r="B3214">
        <v>8221.9288317802129</v>
      </c>
      <c r="C3214">
        <v>99.8</v>
      </c>
      <c r="D3214">
        <v>0</v>
      </c>
      <c r="E3214">
        <v>0</v>
      </c>
      <c r="F3214">
        <v>0</v>
      </c>
      <c r="G3214">
        <v>501.78322386000002</v>
      </c>
      <c r="H3214">
        <v>7925.8966324499997</v>
      </c>
      <c r="I3214">
        <v>0</v>
      </c>
      <c r="J3214">
        <v>-137.89999999999961</v>
      </c>
      <c r="K3214">
        <v>3.4753399800000011</v>
      </c>
      <c r="L3214">
        <v>0</v>
      </c>
      <c r="M3214">
        <v>0</v>
      </c>
      <c r="N3214">
        <v>0</v>
      </c>
      <c r="O3214">
        <v>-171.12636450978641</v>
      </c>
      <c r="P3214">
        <v>620606.14757220994</v>
      </c>
    </row>
    <row r="3215" spans="1:16" x14ac:dyDescent="0.25">
      <c r="A3215" s="10">
        <v>42381</v>
      </c>
      <c r="B3215">
        <v>-430.87276338017659</v>
      </c>
      <c r="C3215">
        <v>110.6</v>
      </c>
      <c r="D3215">
        <v>0</v>
      </c>
      <c r="E3215">
        <v>0</v>
      </c>
      <c r="F3215">
        <v>0</v>
      </c>
      <c r="G3215">
        <v>-415.37021834000012</v>
      </c>
      <c r="H3215">
        <v>1638.407171299998</v>
      </c>
      <c r="I3215">
        <v>0</v>
      </c>
      <c r="J3215">
        <v>0</v>
      </c>
      <c r="K3215">
        <v>6.807704300000001</v>
      </c>
      <c r="L3215">
        <v>0</v>
      </c>
      <c r="M3215">
        <v>0</v>
      </c>
      <c r="N3215">
        <v>0</v>
      </c>
      <c r="O3215">
        <v>-1771.3174206401741</v>
      </c>
      <c r="P3215">
        <v>620175.27480882977</v>
      </c>
    </row>
    <row r="3216" spans="1:16" x14ac:dyDescent="0.25">
      <c r="A3216" s="10">
        <v>42382</v>
      </c>
      <c r="B3216">
        <v>-17652.424728879709</v>
      </c>
      <c r="C3216">
        <v>157</v>
      </c>
      <c r="D3216">
        <v>0</v>
      </c>
      <c r="E3216">
        <v>0</v>
      </c>
      <c r="F3216">
        <v>0</v>
      </c>
      <c r="G3216">
        <v>-93.083915019999949</v>
      </c>
      <c r="H3216">
        <v>4174.3148043800011</v>
      </c>
      <c r="I3216">
        <v>0</v>
      </c>
      <c r="J3216">
        <v>0</v>
      </c>
      <c r="K3216">
        <v>6.9136222300000014</v>
      </c>
      <c r="L3216">
        <v>-20496.2</v>
      </c>
      <c r="M3216">
        <v>0</v>
      </c>
      <c r="N3216">
        <v>0</v>
      </c>
      <c r="O3216">
        <v>-1401.3692404697049</v>
      </c>
      <c r="P3216">
        <v>602522.85007995006</v>
      </c>
    </row>
    <row r="3217" spans="1:16" x14ac:dyDescent="0.25">
      <c r="A3217" s="10">
        <v>42383</v>
      </c>
      <c r="B3217">
        <v>384.31492074008452</v>
      </c>
      <c r="C3217">
        <v>104.4</v>
      </c>
      <c r="D3217">
        <v>0</v>
      </c>
      <c r="E3217">
        <v>0</v>
      </c>
      <c r="F3217">
        <v>0</v>
      </c>
      <c r="G3217">
        <v>-47.152029589999977</v>
      </c>
      <c r="H3217">
        <v>2033.783716689999</v>
      </c>
      <c r="I3217">
        <v>0</v>
      </c>
      <c r="J3217">
        <v>0</v>
      </c>
      <c r="K3217">
        <v>5.0049597799999992</v>
      </c>
      <c r="L3217">
        <v>-309.60000000000002</v>
      </c>
      <c r="M3217">
        <v>0</v>
      </c>
      <c r="N3217">
        <v>0</v>
      </c>
      <c r="O3217">
        <v>-1402.121726139914</v>
      </c>
      <c r="P3217">
        <v>602907.16500069015</v>
      </c>
    </row>
    <row r="3218" spans="1:16" x14ac:dyDescent="0.25">
      <c r="A3218" s="10">
        <v>42384</v>
      </c>
      <c r="B3218">
        <v>-1911.858489780104</v>
      </c>
      <c r="C3218">
        <v>172.7</v>
      </c>
      <c r="D3218">
        <v>0</v>
      </c>
      <c r="E3218">
        <v>0</v>
      </c>
      <c r="F3218">
        <v>0</v>
      </c>
      <c r="G3218">
        <v>498.16734736000001</v>
      </c>
      <c r="H3218">
        <v>-885.71595951999916</v>
      </c>
      <c r="I3218">
        <v>0</v>
      </c>
      <c r="J3218">
        <v>0</v>
      </c>
      <c r="K3218">
        <v>4.2588426799999999</v>
      </c>
      <c r="L3218">
        <v>0</v>
      </c>
      <c r="M3218">
        <v>0</v>
      </c>
      <c r="N3218">
        <v>0</v>
      </c>
      <c r="O3218">
        <v>-1701.2687203001051</v>
      </c>
      <c r="P3218">
        <v>600995.30651091004</v>
      </c>
    </row>
    <row r="3219" spans="1:16" x14ac:dyDescent="0.25">
      <c r="A3219" s="10">
        <v>42387</v>
      </c>
      <c r="B3219">
        <v>-11677.26970222988</v>
      </c>
      <c r="C3219">
        <v>83.2</v>
      </c>
      <c r="D3219">
        <v>0</v>
      </c>
      <c r="E3219">
        <v>0</v>
      </c>
      <c r="F3219">
        <v>0</v>
      </c>
      <c r="G3219">
        <v>-2423.0559882299999</v>
      </c>
      <c r="H3219">
        <v>-9138.3549766300002</v>
      </c>
      <c r="I3219">
        <v>0</v>
      </c>
      <c r="J3219">
        <v>0</v>
      </c>
      <c r="K3219">
        <v>10.20654573</v>
      </c>
      <c r="L3219">
        <v>0</v>
      </c>
      <c r="M3219">
        <v>0</v>
      </c>
      <c r="N3219">
        <v>0</v>
      </c>
      <c r="O3219">
        <v>-209.2652830998835</v>
      </c>
      <c r="P3219">
        <v>589318.03680868016</v>
      </c>
    </row>
    <row r="3220" spans="1:16" x14ac:dyDescent="0.25">
      <c r="A3220" s="10">
        <v>42388</v>
      </c>
      <c r="B3220">
        <v>621.3063660898481</v>
      </c>
      <c r="C3220">
        <v>63.3</v>
      </c>
      <c r="D3220">
        <v>0</v>
      </c>
      <c r="E3220">
        <v>0</v>
      </c>
      <c r="F3220">
        <v>0</v>
      </c>
      <c r="G3220">
        <v>1125.0442319000001</v>
      </c>
      <c r="H3220">
        <v>-1011.593031539996</v>
      </c>
      <c r="I3220">
        <v>0</v>
      </c>
      <c r="J3220">
        <v>0</v>
      </c>
      <c r="K3220">
        <v>7.0197022500000008</v>
      </c>
      <c r="L3220">
        <v>40.499999999999972</v>
      </c>
      <c r="M3220">
        <v>0</v>
      </c>
      <c r="N3220">
        <v>0</v>
      </c>
      <c r="O3220">
        <v>397.03546347984462</v>
      </c>
      <c r="P3220">
        <v>589939.34317477001</v>
      </c>
    </row>
    <row r="3221" spans="1:16" x14ac:dyDescent="0.25">
      <c r="A3221" s="10">
        <v>42389</v>
      </c>
      <c r="B3221">
        <v>478.39392846019359</v>
      </c>
      <c r="C3221">
        <v>296.10000000000002</v>
      </c>
      <c r="D3221">
        <v>0</v>
      </c>
      <c r="E3221">
        <v>0</v>
      </c>
      <c r="F3221">
        <v>0</v>
      </c>
      <c r="G3221">
        <v>1204.89659056</v>
      </c>
      <c r="H3221">
        <v>2503.025083149998</v>
      </c>
      <c r="I3221">
        <v>0</v>
      </c>
      <c r="J3221">
        <v>0</v>
      </c>
      <c r="K3221">
        <v>9.1684410399999994</v>
      </c>
      <c r="L3221">
        <v>-2490.6999999999998</v>
      </c>
      <c r="M3221">
        <v>0</v>
      </c>
      <c r="N3221">
        <v>0</v>
      </c>
      <c r="O3221">
        <v>-1044.0961862898041</v>
      </c>
      <c r="P3221">
        <v>590417.7371032302</v>
      </c>
    </row>
    <row r="3222" spans="1:16" x14ac:dyDescent="0.25">
      <c r="A3222" s="10">
        <v>42390</v>
      </c>
      <c r="B3222">
        <v>2823.5130470897989</v>
      </c>
      <c r="C3222">
        <v>117.9</v>
      </c>
      <c r="D3222">
        <v>0</v>
      </c>
      <c r="E3222">
        <v>0</v>
      </c>
      <c r="F3222">
        <v>0</v>
      </c>
      <c r="G3222">
        <v>-243.10357516999991</v>
      </c>
      <c r="H3222">
        <v>1966.4563641800009</v>
      </c>
      <c r="I3222">
        <v>0</v>
      </c>
      <c r="J3222">
        <v>0</v>
      </c>
      <c r="K3222">
        <v>6.6154798300000008</v>
      </c>
      <c r="L3222">
        <v>67.900000000000006</v>
      </c>
      <c r="M3222">
        <v>0</v>
      </c>
      <c r="N3222">
        <v>0</v>
      </c>
      <c r="O3222">
        <v>907.74477824979738</v>
      </c>
      <c r="P3222">
        <v>593241.25015031989</v>
      </c>
    </row>
    <row r="3223" spans="1:16" x14ac:dyDescent="0.25">
      <c r="A3223" s="10">
        <v>42391</v>
      </c>
      <c r="B3223">
        <v>-66.680146029918433</v>
      </c>
      <c r="C3223">
        <v>116.6</v>
      </c>
      <c r="D3223">
        <v>0</v>
      </c>
      <c r="E3223">
        <v>0</v>
      </c>
      <c r="F3223">
        <v>0</v>
      </c>
      <c r="G3223">
        <v>-1236.85394471</v>
      </c>
      <c r="H3223">
        <v>-19.009433680002989</v>
      </c>
      <c r="I3223">
        <v>0</v>
      </c>
      <c r="J3223">
        <v>0</v>
      </c>
      <c r="K3223">
        <v>6.472236989999999</v>
      </c>
      <c r="L3223">
        <v>0</v>
      </c>
      <c r="M3223">
        <v>0</v>
      </c>
      <c r="N3223">
        <v>0</v>
      </c>
      <c r="O3223">
        <v>1066.110995370085</v>
      </c>
      <c r="P3223">
        <v>593174.57000429009</v>
      </c>
    </row>
    <row r="3224" spans="1:16" x14ac:dyDescent="0.25">
      <c r="A3224" s="10">
        <v>42394</v>
      </c>
      <c r="B3224">
        <v>-1083.7196015099751</v>
      </c>
      <c r="C3224">
        <v>76.7</v>
      </c>
      <c r="D3224">
        <v>0</v>
      </c>
      <c r="E3224">
        <v>0</v>
      </c>
      <c r="F3224">
        <v>0</v>
      </c>
      <c r="G3224">
        <v>1153.0442650099999</v>
      </c>
      <c r="H3224">
        <v>-3531.7100125000002</v>
      </c>
      <c r="I3224">
        <v>0</v>
      </c>
      <c r="J3224">
        <v>0</v>
      </c>
      <c r="K3224">
        <v>20.116868020000009</v>
      </c>
      <c r="L3224">
        <v>0</v>
      </c>
      <c r="M3224">
        <v>0</v>
      </c>
      <c r="N3224">
        <v>0</v>
      </c>
      <c r="O3224">
        <v>1198.129277960024</v>
      </c>
      <c r="P3224">
        <v>592090.85040278011</v>
      </c>
    </row>
    <row r="3225" spans="1:16" x14ac:dyDescent="0.25">
      <c r="A3225" s="10">
        <v>42395</v>
      </c>
      <c r="B3225">
        <v>5602.6209800000079</v>
      </c>
      <c r="C3225">
        <v>0</v>
      </c>
      <c r="D3225">
        <v>0</v>
      </c>
      <c r="E3225">
        <v>0</v>
      </c>
      <c r="F3225">
        <v>0</v>
      </c>
      <c r="G3225">
        <v>-114.06487708</v>
      </c>
      <c r="H3225">
        <v>4399.6811995699973</v>
      </c>
      <c r="I3225">
        <v>0</v>
      </c>
      <c r="J3225">
        <v>0</v>
      </c>
      <c r="K3225">
        <v>8.0185026799999974</v>
      </c>
      <c r="L3225">
        <v>69.399999999999977</v>
      </c>
      <c r="M3225">
        <v>0</v>
      </c>
      <c r="N3225">
        <v>0</v>
      </c>
      <c r="O3225">
        <v>1239.5861548300111</v>
      </c>
      <c r="P3225">
        <v>597693.47138278012</v>
      </c>
    </row>
    <row r="3226" spans="1:16" x14ac:dyDescent="0.25">
      <c r="A3226" s="10">
        <v>42396</v>
      </c>
      <c r="B3226">
        <v>-6973.1510685400572</v>
      </c>
      <c r="C3226">
        <v>249.8</v>
      </c>
      <c r="D3226">
        <v>0</v>
      </c>
      <c r="E3226">
        <v>0</v>
      </c>
      <c r="F3226">
        <v>0</v>
      </c>
      <c r="G3226">
        <v>-729.45467557999973</v>
      </c>
      <c r="H3226">
        <v>-4455.6858817099956</v>
      </c>
      <c r="I3226">
        <v>0</v>
      </c>
      <c r="J3226">
        <v>0</v>
      </c>
      <c r="K3226">
        <v>5.4163097199999992</v>
      </c>
      <c r="L3226">
        <v>-2242.1999999999998</v>
      </c>
      <c r="M3226">
        <v>0</v>
      </c>
      <c r="N3226">
        <v>0</v>
      </c>
      <c r="O3226">
        <v>198.9731790299391</v>
      </c>
      <c r="P3226">
        <v>590720.32031424006</v>
      </c>
    </row>
    <row r="3227" spans="1:16" x14ac:dyDescent="0.25">
      <c r="A3227" s="10">
        <v>42397</v>
      </c>
      <c r="B3227">
        <v>220.72286327974871</v>
      </c>
      <c r="C3227">
        <v>92.5</v>
      </c>
      <c r="D3227">
        <v>0</v>
      </c>
      <c r="E3227">
        <v>0</v>
      </c>
      <c r="F3227">
        <v>0</v>
      </c>
      <c r="G3227">
        <v>891.7735769799998</v>
      </c>
      <c r="H3227">
        <v>-950.61887384000147</v>
      </c>
      <c r="I3227">
        <v>0</v>
      </c>
      <c r="J3227">
        <v>0</v>
      </c>
      <c r="K3227">
        <v>5.2773479600000002</v>
      </c>
      <c r="L3227">
        <v>0</v>
      </c>
      <c r="M3227">
        <v>0</v>
      </c>
      <c r="N3227">
        <v>0</v>
      </c>
      <c r="O3227">
        <v>181.7908121797503</v>
      </c>
      <c r="P3227">
        <v>590941.04317751992</v>
      </c>
    </row>
    <row r="3228" spans="1:16" x14ac:dyDescent="0.25">
      <c r="A3228" s="10">
        <v>42398</v>
      </c>
      <c r="B3228">
        <v>-2608.1642129298998</v>
      </c>
      <c r="C3228">
        <v>98.6</v>
      </c>
      <c r="D3228">
        <v>0</v>
      </c>
      <c r="E3228">
        <v>0</v>
      </c>
      <c r="F3228">
        <v>0</v>
      </c>
      <c r="G3228">
        <v>-1037.9205342400001</v>
      </c>
      <c r="H3228">
        <v>-1615.8094555500029</v>
      </c>
      <c r="I3228">
        <v>0</v>
      </c>
      <c r="J3228">
        <v>0</v>
      </c>
      <c r="K3228">
        <v>4.9467829600000002</v>
      </c>
      <c r="L3228">
        <v>0</v>
      </c>
      <c r="M3228">
        <v>0</v>
      </c>
      <c r="N3228">
        <v>0</v>
      </c>
      <c r="O3228">
        <v>-57.981006099897243</v>
      </c>
      <c r="P3228">
        <v>588332.87896458991</v>
      </c>
    </row>
    <row r="3229" spans="1:16" x14ac:dyDescent="0.25">
      <c r="A3229" s="10">
        <v>42401</v>
      </c>
      <c r="B3229">
        <v>-1299.4387976701839</v>
      </c>
      <c r="C3229">
        <v>72.2</v>
      </c>
      <c r="D3229">
        <v>0</v>
      </c>
      <c r="E3229">
        <v>0</v>
      </c>
      <c r="F3229">
        <v>0</v>
      </c>
      <c r="G3229">
        <v>827.19533627999999</v>
      </c>
      <c r="H3229">
        <v>-3279.9664703799972</v>
      </c>
      <c r="I3229">
        <v>0</v>
      </c>
      <c r="J3229">
        <v>0</v>
      </c>
      <c r="K3229">
        <v>20.174595499999999</v>
      </c>
      <c r="L3229">
        <v>0</v>
      </c>
      <c r="M3229">
        <v>0</v>
      </c>
      <c r="N3229">
        <v>0</v>
      </c>
      <c r="O3229">
        <v>1060.9577409298131</v>
      </c>
      <c r="P3229">
        <v>587033.44016691973</v>
      </c>
    </row>
    <row r="3230" spans="1:16" x14ac:dyDescent="0.25">
      <c r="A3230" s="10">
        <v>42402</v>
      </c>
      <c r="B3230">
        <v>104.3548850403165</v>
      </c>
      <c r="C3230">
        <v>71.7</v>
      </c>
      <c r="D3230">
        <v>-1000</v>
      </c>
      <c r="E3230">
        <v>0</v>
      </c>
      <c r="F3230">
        <v>0</v>
      </c>
      <c r="G3230">
        <v>211.48892034999989</v>
      </c>
      <c r="H3230">
        <v>-493.03443628999958</v>
      </c>
      <c r="I3230">
        <v>0</v>
      </c>
      <c r="J3230">
        <v>0</v>
      </c>
      <c r="K3230">
        <v>8.2414077100000007</v>
      </c>
      <c r="L3230">
        <v>0</v>
      </c>
      <c r="M3230">
        <v>0</v>
      </c>
      <c r="N3230">
        <v>0</v>
      </c>
      <c r="O3230">
        <v>1305.9589932703159</v>
      </c>
      <c r="P3230">
        <v>587137.79505196016</v>
      </c>
    </row>
    <row r="3231" spans="1:16" x14ac:dyDescent="0.25">
      <c r="A3231" s="10">
        <v>42403</v>
      </c>
      <c r="B3231">
        <v>-4701.1819533198141</v>
      </c>
      <c r="C3231">
        <v>40</v>
      </c>
      <c r="D3231">
        <v>0</v>
      </c>
      <c r="E3231">
        <v>0</v>
      </c>
      <c r="F3231">
        <v>0</v>
      </c>
      <c r="G3231">
        <v>-41.575119330000007</v>
      </c>
      <c r="H3231">
        <v>7887.0688020999987</v>
      </c>
      <c r="I3231">
        <v>0</v>
      </c>
      <c r="J3231">
        <v>0</v>
      </c>
      <c r="K3231">
        <v>11.748048300000001</v>
      </c>
      <c r="L3231">
        <v>-12998.8</v>
      </c>
      <c r="M3231">
        <v>0</v>
      </c>
      <c r="N3231">
        <v>0</v>
      </c>
      <c r="O3231">
        <v>400.37631561018702</v>
      </c>
      <c r="P3231">
        <v>582436.61309864023</v>
      </c>
    </row>
    <row r="3232" spans="1:16" x14ac:dyDescent="0.25">
      <c r="A3232" s="10">
        <v>42404</v>
      </c>
      <c r="B3232">
        <v>-7506.2979100304647</v>
      </c>
      <c r="C3232">
        <v>120.2</v>
      </c>
      <c r="D3232">
        <v>0</v>
      </c>
      <c r="E3232">
        <v>0</v>
      </c>
      <c r="F3232">
        <v>0</v>
      </c>
      <c r="G3232">
        <v>-418.13422480000003</v>
      </c>
      <c r="H3232">
        <v>-7046.8969059200026</v>
      </c>
      <c r="I3232">
        <v>0</v>
      </c>
      <c r="J3232">
        <v>0</v>
      </c>
      <c r="K3232">
        <v>7.6457733499999989</v>
      </c>
      <c r="L3232">
        <v>0</v>
      </c>
      <c r="M3232">
        <v>0</v>
      </c>
      <c r="N3232">
        <v>0</v>
      </c>
      <c r="O3232">
        <v>-169.1125526604616</v>
      </c>
      <c r="P3232">
        <v>574930.31518860988</v>
      </c>
    </row>
    <row r="3233" spans="1:16" x14ac:dyDescent="0.25">
      <c r="A3233" s="10">
        <v>42405</v>
      </c>
      <c r="B3233">
        <v>-5377.4508771597211</v>
      </c>
      <c r="C3233">
        <v>147.6</v>
      </c>
      <c r="D3233">
        <v>0</v>
      </c>
      <c r="E3233">
        <v>-1300</v>
      </c>
      <c r="F3233">
        <v>0</v>
      </c>
      <c r="G3233">
        <v>441.12324955000003</v>
      </c>
      <c r="H3233">
        <v>-7527.9076665399989</v>
      </c>
      <c r="I3233">
        <v>0</v>
      </c>
      <c r="J3233">
        <v>0</v>
      </c>
      <c r="K3233">
        <v>11.04505048</v>
      </c>
      <c r="L3233">
        <v>2000</v>
      </c>
      <c r="M3233">
        <v>0</v>
      </c>
      <c r="N3233">
        <v>0</v>
      </c>
      <c r="O3233">
        <v>850.68848935027927</v>
      </c>
      <c r="P3233">
        <v>569552.86431144993</v>
      </c>
    </row>
    <row r="3234" spans="1:16" x14ac:dyDescent="0.25">
      <c r="A3234" s="10">
        <v>42410</v>
      </c>
      <c r="B3234">
        <v>-5852.4863605600531</v>
      </c>
      <c r="C3234">
        <v>68</v>
      </c>
      <c r="D3234">
        <v>0</v>
      </c>
      <c r="E3234">
        <v>0</v>
      </c>
      <c r="F3234">
        <v>0</v>
      </c>
      <c r="G3234">
        <v>-212.79900112000001</v>
      </c>
      <c r="H3234">
        <v>6192.3981087200054</v>
      </c>
      <c r="I3234">
        <v>0</v>
      </c>
      <c r="J3234">
        <v>-135.19999999999979</v>
      </c>
      <c r="K3234">
        <v>35.142069680000183</v>
      </c>
      <c r="L3234">
        <v>-13284.85</v>
      </c>
      <c r="M3234">
        <v>0</v>
      </c>
      <c r="N3234">
        <v>0</v>
      </c>
      <c r="O3234">
        <v>1484.822462159942</v>
      </c>
      <c r="P3234">
        <v>563700.37795088999</v>
      </c>
    </row>
    <row r="3235" spans="1:16" x14ac:dyDescent="0.25">
      <c r="A3235" s="10">
        <v>42411</v>
      </c>
      <c r="B3235">
        <v>8830.9809381301748</v>
      </c>
      <c r="C3235">
        <v>48.1</v>
      </c>
      <c r="D3235">
        <v>0</v>
      </c>
      <c r="E3235">
        <v>0</v>
      </c>
      <c r="F3235">
        <v>0</v>
      </c>
      <c r="G3235">
        <v>260.00285364000001</v>
      </c>
      <c r="H3235">
        <v>6512.477150009996</v>
      </c>
      <c r="I3235">
        <v>0</v>
      </c>
      <c r="J3235">
        <v>0</v>
      </c>
      <c r="K3235">
        <v>10.04026386</v>
      </c>
      <c r="L3235">
        <v>0</v>
      </c>
      <c r="M3235">
        <v>0</v>
      </c>
      <c r="N3235">
        <v>0</v>
      </c>
      <c r="O3235">
        <v>2000.3606706201799</v>
      </c>
      <c r="P3235">
        <v>572531.35888902005</v>
      </c>
    </row>
    <row r="3236" spans="1:16" x14ac:dyDescent="0.25">
      <c r="A3236" s="10">
        <v>42412</v>
      </c>
      <c r="B3236">
        <v>560.40394540992725</v>
      </c>
      <c r="C3236">
        <v>122.4</v>
      </c>
      <c r="D3236">
        <v>-1200</v>
      </c>
      <c r="E3236">
        <v>0</v>
      </c>
      <c r="F3236">
        <v>0</v>
      </c>
      <c r="G3236">
        <v>-5.0355668899999273</v>
      </c>
      <c r="H3236">
        <v>284.34351644000338</v>
      </c>
      <c r="I3236">
        <v>0</v>
      </c>
      <c r="J3236">
        <v>0</v>
      </c>
      <c r="K3236">
        <v>15.102559810000001</v>
      </c>
      <c r="L3236">
        <v>0</v>
      </c>
      <c r="M3236">
        <v>0</v>
      </c>
      <c r="N3236">
        <v>0</v>
      </c>
      <c r="O3236">
        <v>1343.5934360499241</v>
      </c>
      <c r="P3236">
        <v>573091.76283442997</v>
      </c>
    </row>
    <row r="3237" spans="1:16" x14ac:dyDescent="0.25">
      <c r="A3237" s="10">
        <v>42415</v>
      </c>
      <c r="B3237">
        <v>1648.6990256796139</v>
      </c>
      <c r="C3237">
        <v>49.6</v>
      </c>
      <c r="D3237">
        <v>0</v>
      </c>
      <c r="E3237">
        <v>0</v>
      </c>
      <c r="F3237">
        <v>0</v>
      </c>
      <c r="G3237">
        <v>-201.17252857000011</v>
      </c>
      <c r="H3237">
        <v>687.62803184999939</v>
      </c>
      <c r="I3237">
        <v>0</v>
      </c>
      <c r="J3237">
        <v>0</v>
      </c>
      <c r="K3237">
        <v>23.899292140000011</v>
      </c>
      <c r="L3237">
        <v>0</v>
      </c>
      <c r="M3237">
        <v>0</v>
      </c>
      <c r="N3237">
        <v>0</v>
      </c>
      <c r="O3237">
        <v>1088.7442302596151</v>
      </c>
      <c r="P3237">
        <v>574740.4618601097</v>
      </c>
    </row>
    <row r="3238" spans="1:16" x14ac:dyDescent="0.25">
      <c r="A3238" s="10">
        <v>42416</v>
      </c>
      <c r="B3238">
        <v>-12821.46142656996</v>
      </c>
      <c r="C3238">
        <v>94.3</v>
      </c>
      <c r="D3238">
        <v>0</v>
      </c>
      <c r="E3238">
        <v>0</v>
      </c>
      <c r="F3238">
        <v>0</v>
      </c>
      <c r="G3238">
        <v>-38.894139079999832</v>
      </c>
      <c r="H3238">
        <v>-13379.35975668</v>
      </c>
      <c r="I3238">
        <v>0</v>
      </c>
      <c r="J3238">
        <v>0</v>
      </c>
      <c r="K3238">
        <v>7.4749763099999988</v>
      </c>
      <c r="L3238">
        <v>0</v>
      </c>
      <c r="M3238">
        <v>0</v>
      </c>
      <c r="N3238">
        <v>0</v>
      </c>
      <c r="O3238">
        <v>495.01749288004032</v>
      </c>
      <c r="P3238">
        <v>561919.00043353974</v>
      </c>
    </row>
    <row r="3239" spans="1:16" x14ac:dyDescent="0.25">
      <c r="A3239" s="10">
        <v>42417</v>
      </c>
      <c r="B3239">
        <v>-9675.2329752496444</v>
      </c>
      <c r="C3239">
        <v>93</v>
      </c>
      <c r="D3239">
        <v>0</v>
      </c>
      <c r="E3239">
        <v>0</v>
      </c>
      <c r="F3239">
        <v>0</v>
      </c>
      <c r="G3239">
        <v>-322.61314111000002</v>
      </c>
      <c r="H3239">
        <v>3130.2375588800019</v>
      </c>
      <c r="I3239">
        <v>0</v>
      </c>
      <c r="J3239">
        <v>0</v>
      </c>
      <c r="K3239">
        <v>14.142976190000001</v>
      </c>
      <c r="L3239">
        <v>-11496.3</v>
      </c>
      <c r="M3239">
        <v>0</v>
      </c>
      <c r="N3239">
        <v>0</v>
      </c>
      <c r="O3239">
        <v>-1093.700369209648</v>
      </c>
      <c r="P3239">
        <v>552243.76745829009</v>
      </c>
    </row>
    <row r="3240" spans="1:16" x14ac:dyDescent="0.25">
      <c r="A3240" s="10">
        <v>42418</v>
      </c>
      <c r="B3240">
        <v>-2094.1170565101788</v>
      </c>
      <c r="C3240">
        <v>-542.70150000000001</v>
      </c>
      <c r="D3240">
        <v>-1000</v>
      </c>
      <c r="E3240">
        <v>0</v>
      </c>
      <c r="F3240">
        <v>0</v>
      </c>
      <c r="G3240">
        <v>227.41821118999999</v>
      </c>
      <c r="H3240">
        <v>-1957.0572569199981</v>
      </c>
      <c r="I3240">
        <v>0</v>
      </c>
      <c r="J3240">
        <v>0</v>
      </c>
      <c r="K3240">
        <v>12.048000800000001</v>
      </c>
      <c r="L3240">
        <v>0</v>
      </c>
      <c r="M3240">
        <v>0</v>
      </c>
      <c r="N3240">
        <v>0</v>
      </c>
      <c r="O3240">
        <v>1166.1754884198181</v>
      </c>
      <c r="P3240">
        <v>550149.65040177992</v>
      </c>
    </row>
    <row r="3241" spans="1:16" x14ac:dyDescent="0.25">
      <c r="A3241" s="10">
        <v>42419</v>
      </c>
      <c r="B3241">
        <v>130.67183096008489</v>
      </c>
      <c r="C3241">
        <v>257.3</v>
      </c>
      <c r="D3241">
        <v>0</v>
      </c>
      <c r="E3241">
        <v>-700</v>
      </c>
      <c r="F3241">
        <v>0</v>
      </c>
      <c r="G3241">
        <v>-219.06768052999999</v>
      </c>
      <c r="H3241">
        <v>946.56165356999918</v>
      </c>
      <c r="I3241">
        <v>0</v>
      </c>
      <c r="J3241">
        <v>0</v>
      </c>
      <c r="K3241">
        <v>14.899627949999999</v>
      </c>
      <c r="L3241">
        <v>0</v>
      </c>
      <c r="M3241">
        <v>0</v>
      </c>
      <c r="N3241">
        <v>0</v>
      </c>
      <c r="O3241">
        <v>-169.02177002991431</v>
      </c>
      <c r="P3241">
        <v>550280.32223274</v>
      </c>
    </row>
    <row r="3242" spans="1:16" x14ac:dyDescent="0.25">
      <c r="A3242" s="10">
        <v>42422</v>
      </c>
      <c r="B3242">
        <v>-2836.2959906202759</v>
      </c>
      <c r="C3242">
        <v>122.2</v>
      </c>
      <c r="D3242">
        <v>0</v>
      </c>
      <c r="E3242">
        <v>0</v>
      </c>
      <c r="F3242">
        <v>0</v>
      </c>
      <c r="G3242">
        <v>457.98764332999991</v>
      </c>
      <c r="H3242">
        <v>-4095.742868689998</v>
      </c>
      <c r="I3242">
        <v>0</v>
      </c>
      <c r="J3242">
        <v>0</v>
      </c>
      <c r="K3242">
        <v>41.575750029999988</v>
      </c>
      <c r="L3242">
        <v>0</v>
      </c>
      <c r="M3242">
        <v>0</v>
      </c>
      <c r="N3242">
        <v>0</v>
      </c>
      <c r="O3242">
        <v>637.68348470972228</v>
      </c>
      <c r="P3242">
        <v>547444.02624211973</v>
      </c>
    </row>
    <row r="3243" spans="1:16" x14ac:dyDescent="0.25">
      <c r="A3243" s="10">
        <v>42423</v>
      </c>
      <c r="B3243">
        <v>2763.2206929801059</v>
      </c>
      <c r="C3243">
        <v>-1788.75</v>
      </c>
      <c r="D3243">
        <v>0</v>
      </c>
      <c r="E3243">
        <v>0</v>
      </c>
      <c r="F3243">
        <v>0</v>
      </c>
      <c r="G3243">
        <v>112.8411029200001</v>
      </c>
      <c r="H3243">
        <v>1511.638164819997</v>
      </c>
      <c r="I3243">
        <v>0</v>
      </c>
      <c r="J3243">
        <v>0</v>
      </c>
      <c r="K3243">
        <v>14.385437899999999</v>
      </c>
      <c r="L3243">
        <v>0</v>
      </c>
      <c r="M3243">
        <v>0</v>
      </c>
      <c r="N3243">
        <v>0</v>
      </c>
      <c r="O3243">
        <v>2913.10598734011</v>
      </c>
      <c r="P3243">
        <v>550207.24693509983</v>
      </c>
    </row>
    <row r="3244" spans="1:16" x14ac:dyDescent="0.25">
      <c r="A3244" s="10">
        <v>42424</v>
      </c>
      <c r="B3244">
        <v>2303.5643460800661</v>
      </c>
      <c r="C3244">
        <v>-134.80699999999999</v>
      </c>
      <c r="D3244">
        <v>-1200</v>
      </c>
      <c r="E3244">
        <v>0</v>
      </c>
      <c r="F3244">
        <v>0</v>
      </c>
      <c r="G3244">
        <v>117.6335850400001</v>
      </c>
      <c r="H3244">
        <v>-2806.912082079994</v>
      </c>
      <c r="I3244">
        <v>0</v>
      </c>
      <c r="J3244">
        <v>0</v>
      </c>
      <c r="K3244">
        <v>13.72153243</v>
      </c>
      <c r="L3244">
        <v>5162.7</v>
      </c>
      <c r="M3244">
        <v>0</v>
      </c>
      <c r="N3244">
        <v>0</v>
      </c>
      <c r="O3244">
        <v>1151.22831069006</v>
      </c>
      <c r="P3244">
        <v>552510.81128117989</v>
      </c>
    </row>
    <row r="3245" spans="1:16" x14ac:dyDescent="0.25">
      <c r="A3245" s="10">
        <v>42425</v>
      </c>
      <c r="B3245">
        <v>78.548502589926954</v>
      </c>
      <c r="C3245">
        <v>-822.029</v>
      </c>
      <c r="D3245">
        <v>0</v>
      </c>
      <c r="E3245">
        <v>0</v>
      </c>
      <c r="F3245">
        <v>0</v>
      </c>
      <c r="G3245">
        <v>-559.51336575999994</v>
      </c>
      <c r="H3245">
        <v>1629.013058809993</v>
      </c>
      <c r="I3245">
        <v>0</v>
      </c>
      <c r="J3245">
        <v>0</v>
      </c>
      <c r="K3245">
        <v>15.64108897</v>
      </c>
      <c r="L3245">
        <v>0</v>
      </c>
      <c r="M3245">
        <v>0</v>
      </c>
      <c r="N3245">
        <v>0</v>
      </c>
      <c r="O3245">
        <v>-184.5632794300659</v>
      </c>
      <c r="P3245">
        <v>552589.35978376982</v>
      </c>
    </row>
    <row r="3246" spans="1:16" x14ac:dyDescent="0.25">
      <c r="A3246" s="10">
        <v>42426</v>
      </c>
      <c r="B3246">
        <v>-1343.2986436098599</v>
      </c>
      <c r="C3246">
        <v>-1630.8575000000001</v>
      </c>
      <c r="D3246">
        <v>0</v>
      </c>
      <c r="E3246">
        <v>-2300</v>
      </c>
      <c r="F3246">
        <v>0</v>
      </c>
      <c r="G3246">
        <v>361.65538990000022</v>
      </c>
      <c r="H3246">
        <v>816.71515381000791</v>
      </c>
      <c r="I3246">
        <v>0</v>
      </c>
      <c r="J3246">
        <v>0</v>
      </c>
      <c r="K3246">
        <v>15.395460300000011</v>
      </c>
      <c r="L3246">
        <v>0</v>
      </c>
      <c r="M3246">
        <v>0</v>
      </c>
      <c r="N3246">
        <v>0</v>
      </c>
      <c r="O3246">
        <v>1393.792852380132</v>
      </c>
      <c r="P3246">
        <v>551246.06114016008</v>
      </c>
    </row>
    <row r="3247" spans="1:16" x14ac:dyDescent="0.25">
      <c r="A3247" s="10">
        <v>42429</v>
      </c>
      <c r="B3247">
        <v>7891.8318299701223</v>
      </c>
      <c r="C3247">
        <v>-2505.0749999999998</v>
      </c>
      <c r="D3247">
        <v>0</v>
      </c>
      <c r="E3247">
        <v>0</v>
      </c>
      <c r="F3247">
        <v>0</v>
      </c>
      <c r="G3247">
        <v>-297.69957701000021</v>
      </c>
      <c r="H3247">
        <v>7250.2149253600001</v>
      </c>
      <c r="I3247">
        <v>0</v>
      </c>
      <c r="J3247">
        <v>0</v>
      </c>
      <c r="K3247">
        <v>47.320438000000003</v>
      </c>
      <c r="L3247">
        <v>0</v>
      </c>
      <c r="M3247">
        <v>0</v>
      </c>
      <c r="N3247">
        <v>0</v>
      </c>
      <c r="O3247">
        <v>3397.071043620123</v>
      </c>
      <c r="P3247">
        <v>559137.89297013008</v>
      </c>
    </row>
    <row r="3248" spans="1:16" x14ac:dyDescent="0.25">
      <c r="A3248" s="10">
        <v>42430</v>
      </c>
      <c r="B3248">
        <v>20037.613321190121</v>
      </c>
      <c r="C3248">
        <v>-3700.3015</v>
      </c>
      <c r="D3248">
        <v>0</v>
      </c>
      <c r="E3248">
        <v>0</v>
      </c>
      <c r="F3248">
        <v>0</v>
      </c>
      <c r="G3248">
        <v>361.11598776000022</v>
      </c>
      <c r="H3248">
        <v>18199.241585259999</v>
      </c>
      <c r="I3248">
        <v>0</v>
      </c>
      <c r="J3248">
        <v>0</v>
      </c>
      <c r="K3248">
        <v>15.669305</v>
      </c>
      <c r="L3248">
        <v>0.5</v>
      </c>
      <c r="M3248">
        <v>0</v>
      </c>
      <c r="N3248">
        <v>0</v>
      </c>
      <c r="O3248">
        <v>5161.3879431701152</v>
      </c>
      <c r="P3248">
        <v>579175.5062913202</v>
      </c>
    </row>
    <row r="3249" spans="1:16" x14ac:dyDescent="0.25">
      <c r="A3249" s="10">
        <v>42431</v>
      </c>
      <c r="B3249">
        <v>10552.68364236993</v>
      </c>
      <c r="C3249">
        <v>80.599999999999994</v>
      </c>
      <c r="D3249">
        <v>0</v>
      </c>
      <c r="E3249">
        <v>0</v>
      </c>
      <c r="F3249">
        <v>0</v>
      </c>
      <c r="G3249">
        <v>-5.105967660000033</v>
      </c>
      <c r="H3249">
        <v>-815.08295190000172</v>
      </c>
      <c r="I3249">
        <v>0</v>
      </c>
      <c r="J3249">
        <v>0</v>
      </c>
      <c r="K3249">
        <v>4.2871237999999998</v>
      </c>
      <c r="L3249">
        <v>12745.4</v>
      </c>
      <c r="M3249">
        <v>0</v>
      </c>
      <c r="N3249">
        <v>0</v>
      </c>
      <c r="O3249">
        <v>-1457.4145618700711</v>
      </c>
      <c r="P3249">
        <v>589728.18993369013</v>
      </c>
    </row>
    <row r="3250" spans="1:16" x14ac:dyDescent="0.25">
      <c r="A3250" s="10">
        <v>42432</v>
      </c>
      <c r="B3250">
        <v>7788.8032729796832</v>
      </c>
      <c r="C3250">
        <v>171.3</v>
      </c>
      <c r="D3250">
        <v>0</v>
      </c>
      <c r="E3250">
        <v>0</v>
      </c>
      <c r="F3250">
        <v>0</v>
      </c>
      <c r="G3250">
        <v>-345.17231822999997</v>
      </c>
      <c r="H3250">
        <v>2349.1374804700008</v>
      </c>
      <c r="I3250">
        <v>0</v>
      </c>
      <c r="J3250">
        <v>0</v>
      </c>
      <c r="K3250">
        <v>6.5738628000000006</v>
      </c>
      <c r="L3250">
        <v>9458.6999999999989</v>
      </c>
      <c r="M3250">
        <v>0</v>
      </c>
      <c r="N3250">
        <v>0</v>
      </c>
      <c r="O3250">
        <v>-3851.7357520603168</v>
      </c>
      <c r="P3250">
        <v>597516.99320666993</v>
      </c>
    </row>
    <row r="3251" spans="1:16" x14ac:dyDescent="0.25">
      <c r="A3251" s="10">
        <v>42433</v>
      </c>
      <c r="B3251">
        <v>-3963.967580139637</v>
      </c>
      <c r="C3251">
        <v>122.1</v>
      </c>
      <c r="D3251">
        <v>0</v>
      </c>
      <c r="E3251">
        <v>0</v>
      </c>
      <c r="F3251">
        <v>0</v>
      </c>
      <c r="G3251">
        <v>-214.30354761999999</v>
      </c>
      <c r="H3251">
        <v>867.42243039999994</v>
      </c>
      <c r="I3251">
        <v>0</v>
      </c>
      <c r="J3251">
        <v>0</v>
      </c>
      <c r="K3251">
        <v>6.1515719600000001</v>
      </c>
      <c r="L3251">
        <v>0</v>
      </c>
      <c r="M3251">
        <v>0</v>
      </c>
      <c r="N3251">
        <v>0</v>
      </c>
      <c r="O3251">
        <v>-4745.3380348796363</v>
      </c>
      <c r="P3251">
        <v>593553.02562653017</v>
      </c>
    </row>
    <row r="3252" spans="1:16" x14ac:dyDescent="0.25">
      <c r="A3252" s="10">
        <v>42436</v>
      </c>
      <c r="B3252">
        <v>-121.51593396044321</v>
      </c>
      <c r="C3252">
        <v>70</v>
      </c>
      <c r="D3252">
        <v>0</v>
      </c>
      <c r="E3252">
        <v>0</v>
      </c>
      <c r="F3252">
        <v>0</v>
      </c>
      <c r="G3252">
        <v>252.44851659000011</v>
      </c>
      <c r="H3252">
        <v>-366.36055042000231</v>
      </c>
      <c r="I3252">
        <v>0</v>
      </c>
      <c r="J3252">
        <v>0</v>
      </c>
      <c r="K3252">
        <v>18.107197209999999</v>
      </c>
      <c r="L3252">
        <v>0</v>
      </c>
      <c r="M3252">
        <v>0</v>
      </c>
      <c r="N3252">
        <v>0</v>
      </c>
      <c r="O3252">
        <v>-95.711097340441029</v>
      </c>
      <c r="P3252">
        <v>593431.50969256985</v>
      </c>
    </row>
    <row r="3253" spans="1:16" x14ac:dyDescent="0.25">
      <c r="A3253" s="10">
        <v>42437</v>
      </c>
      <c r="B3253">
        <v>-2275.988623409648</v>
      </c>
      <c r="C3253">
        <v>43.4</v>
      </c>
      <c r="D3253">
        <v>0</v>
      </c>
      <c r="E3253">
        <v>0</v>
      </c>
      <c r="F3253">
        <v>0</v>
      </c>
      <c r="G3253">
        <v>-664.15358590000017</v>
      </c>
      <c r="H3253">
        <v>-1637.924602679999</v>
      </c>
      <c r="I3253">
        <v>0</v>
      </c>
      <c r="J3253">
        <v>-147.5</v>
      </c>
      <c r="K3253">
        <v>-35.829475559999821</v>
      </c>
      <c r="L3253">
        <v>-2078.3000000000002</v>
      </c>
      <c r="M3253">
        <v>0</v>
      </c>
      <c r="N3253">
        <v>0</v>
      </c>
      <c r="O3253">
        <v>2244.3190407303518</v>
      </c>
      <c r="P3253">
        <v>591155.52106916008</v>
      </c>
    </row>
    <row r="3254" spans="1:16" x14ac:dyDescent="0.25">
      <c r="A3254" s="10">
        <v>42438</v>
      </c>
      <c r="B3254">
        <v>-1261.2448456300181</v>
      </c>
      <c r="C3254">
        <v>74.5</v>
      </c>
      <c r="D3254">
        <v>0</v>
      </c>
      <c r="E3254">
        <v>0</v>
      </c>
      <c r="F3254">
        <v>0</v>
      </c>
      <c r="G3254">
        <v>886.51131463000013</v>
      </c>
      <c r="H3254">
        <v>3488.7159380399989</v>
      </c>
      <c r="I3254">
        <v>0</v>
      </c>
      <c r="J3254">
        <v>0</v>
      </c>
      <c r="K3254">
        <v>5.7275418499999997</v>
      </c>
      <c r="L3254">
        <v>-6366.0328799999997</v>
      </c>
      <c r="M3254">
        <v>0</v>
      </c>
      <c r="N3254">
        <v>0</v>
      </c>
      <c r="O3254">
        <v>649.33323984998276</v>
      </c>
      <c r="P3254">
        <v>589894.27622353006</v>
      </c>
    </row>
    <row r="3255" spans="1:16" x14ac:dyDescent="0.25">
      <c r="A3255" s="10">
        <v>42439</v>
      </c>
      <c r="B3255">
        <v>-1716.851191940367</v>
      </c>
      <c r="C3255">
        <v>3.3</v>
      </c>
      <c r="D3255">
        <v>0</v>
      </c>
      <c r="E3255">
        <v>0</v>
      </c>
      <c r="F3255">
        <v>0</v>
      </c>
      <c r="G3255">
        <v>-132.81597546</v>
      </c>
      <c r="H3255">
        <v>14.558653419999249</v>
      </c>
      <c r="I3255">
        <v>0</v>
      </c>
      <c r="J3255">
        <v>0</v>
      </c>
      <c r="K3255">
        <v>4.0019828300000002</v>
      </c>
      <c r="L3255">
        <v>-901.7</v>
      </c>
      <c r="M3255">
        <v>0</v>
      </c>
      <c r="N3255">
        <v>0</v>
      </c>
      <c r="O3255">
        <v>-704.19585273036648</v>
      </c>
      <c r="P3255">
        <v>588177.42503158969</v>
      </c>
    </row>
    <row r="3256" spans="1:16" x14ac:dyDescent="0.25">
      <c r="A3256" s="10">
        <v>42440</v>
      </c>
      <c r="B3256">
        <v>-4448.6300341699989</v>
      </c>
      <c r="C3256">
        <v>105.4</v>
      </c>
      <c r="D3256">
        <v>0</v>
      </c>
      <c r="E3256">
        <v>0</v>
      </c>
      <c r="F3256">
        <v>0</v>
      </c>
      <c r="G3256">
        <v>-215.306445</v>
      </c>
      <c r="H3256">
        <v>-1656.5914979300001</v>
      </c>
      <c r="I3256">
        <v>0</v>
      </c>
      <c r="J3256">
        <v>0</v>
      </c>
      <c r="K3256">
        <v>4.3416255699999997</v>
      </c>
      <c r="L3256">
        <v>-273.10000000000002</v>
      </c>
      <c r="M3256">
        <v>0</v>
      </c>
      <c r="N3256">
        <v>0</v>
      </c>
      <c r="O3256">
        <v>-2413.3737168099992</v>
      </c>
      <c r="P3256">
        <v>583728.79499741981</v>
      </c>
    </row>
    <row r="3257" spans="1:16" x14ac:dyDescent="0.25">
      <c r="A3257" s="10">
        <v>42443</v>
      </c>
      <c r="B3257">
        <v>-8979.8644767499063</v>
      </c>
      <c r="C3257">
        <v>29.4</v>
      </c>
      <c r="D3257">
        <v>-3000</v>
      </c>
      <c r="E3257">
        <v>0</v>
      </c>
      <c r="F3257">
        <v>0</v>
      </c>
      <c r="G3257">
        <v>-208.5055625</v>
      </c>
      <c r="H3257">
        <v>-1719.3814061900009</v>
      </c>
      <c r="I3257">
        <v>0</v>
      </c>
      <c r="J3257">
        <v>0</v>
      </c>
      <c r="K3257">
        <v>14.909010520000001</v>
      </c>
      <c r="L3257">
        <v>-63.799999999999947</v>
      </c>
      <c r="M3257">
        <v>0</v>
      </c>
      <c r="N3257">
        <v>0</v>
      </c>
      <c r="O3257">
        <v>-4032.4865185799049</v>
      </c>
      <c r="P3257">
        <v>574748.93052066979</v>
      </c>
    </row>
    <row r="3258" spans="1:16" x14ac:dyDescent="0.25">
      <c r="A3258" s="10">
        <v>42444</v>
      </c>
      <c r="B3258">
        <v>-1715.147598950075</v>
      </c>
      <c r="C3258">
        <v>45.5</v>
      </c>
      <c r="D3258">
        <v>0</v>
      </c>
      <c r="E3258">
        <v>0</v>
      </c>
      <c r="F3258">
        <v>0</v>
      </c>
      <c r="G3258">
        <v>314.48025953000018</v>
      </c>
      <c r="H3258">
        <v>-453.14220588999711</v>
      </c>
      <c r="I3258">
        <v>0</v>
      </c>
      <c r="J3258">
        <v>0</v>
      </c>
      <c r="K3258">
        <v>-14.97175496</v>
      </c>
      <c r="L3258">
        <v>79.900000000000006</v>
      </c>
      <c r="M3258">
        <v>0</v>
      </c>
      <c r="N3258">
        <v>0</v>
      </c>
      <c r="O3258">
        <v>-1686.9138976300781</v>
      </c>
      <c r="P3258">
        <v>573033.78292171983</v>
      </c>
    </row>
    <row r="3259" spans="1:16" x14ac:dyDescent="0.25">
      <c r="A3259" s="10">
        <v>42445</v>
      </c>
      <c r="B3259">
        <v>7666.8848623801041</v>
      </c>
      <c r="C3259">
        <v>7283.8834812756713</v>
      </c>
      <c r="D3259">
        <v>0</v>
      </c>
      <c r="E3259">
        <v>0</v>
      </c>
      <c r="F3259">
        <v>0</v>
      </c>
      <c r="G3259">
        <v>-776.40771548000009</v>
      </c>
      <c r="H3259">
        <v>-4452.9420417200017</v>
      </c>
      <c r="I3259">
        <v>0</v>
      </c>
      <c r="J3259">
        <v>0</v>
      </c>
      <c r="K3259">
        <v>6.2875055199999998</v>
      </c>
      <c r="L3259">
        <v>7132</v>
      </c>
      <c r="M3259">
        <v>0</v>
      </c>
      <c r="N3259">
        <v>0</v>
      </c>
      <c r="O3259">
        <v>-1525.936367215565</v>
      </c>
      <c r="P3259">
        <v>580700.66778409982</v>
      </c>
    </row>
    <row r="3260" spans="1:16" x14ac:dyDescent="0.25">
      <c r="A3260" s="10">
        <v>42446</v>
      </c>
      <c r="B3260">
        <v>7452.3251443000036</v>
      </c>
      <c r="C3260">
        <v>22.6</v>
      </c>
      <c r="D3260">
        <v>0</v>
      </c>
      <c r="E3260">
        <v>5000</v>
      </c>
      <c r="F3260">
        <v>0</v>
      </c>
      <c r="G3260">
        <v>372.28719760999979</v>
      </c>
      <c r="H3260">
        <v>1044.5974642299991</v>
      </c>
      <c r="I3260">
        <v>0</v>
      </c>
      <c r="J3260">
        <v>0</v>
      </c>
      <c r="K3260">
        <v>9.0403992100000004</v>
      </c>
      <c r="L3260">
        <v>0</v>
      </c>
      <c r="M3260">
        <v>0</v>
      </c>
      <c r="N3260">
        <v>0</v>
      </c>
      <c r="O3260">
        <v>1003.8000832500049</v>
      </c>
      <c r="P3260">
        <v>588152.99292839982</v>
      </c>
    </row>
    <row r="3261" spans="1:16" x14ac:dyDescent="0.25">
      <c r="A3261" s="10">
        <v>42447</v>
      </c>
      <c r="B3261">
        <v>946.50733653002089</v>
      </c>
      <c r="C3261">
        <v>54.1</v>
      </c>
      <c r="D3261">
        <v>0</v>
      </c>
      <c r="E3261">
        <v>5300</v>
      </c>
      <c r="F3261">
        <v>0</v>
      </c>
      <c r="G3261">
        <v>-448.58297029999977</v>
      </c>
      <c r="H3261">
        <v>-5487.5244413799956</v>
      </c>
      <c r="I3261">
        <v>0</v>
      </c>
      <c r="J3261">
        <v>0</v>
      </c>
      <c r="K3261">
        <v>8.7549105799999989</v>
      </c>
      <c r="L3261">
        <v>-978.3</v>
      </c>
      <c r="M3261">
        <v>0</v>
      </c>
      <c r="N3261">
        <v>0</v>
      </c>
      <c r="O3261">
        <v>2498.0598376300159</v>
      </c>
      <c r="P3261">
        <v>589099.50026492984</v>
      </c>
    </row>
    <row r="3262" spans="1:16" x14ac:dyDescent="0.25">
      <c r="A3262" s="10">
        <v>42450</v>
      </c>
      <c r="B3262">
        <v>2108.1017786900061</v>
      </c>
      <c r="C3262">
        <v>37.1</v>
      </c>
      <c r="D3262">
        <v>0</v>
      </c>
      <c r="E3262">
        <v>0</v>
      </c>
      <c r="F3262">
        <v>0</v>
      </c>
      <c r="G3262">
        <v>-7810.2791099599999</v>
      </c>
      <c r="H3262">
        <v>11837.24146315</v>
      </c>
      <c r="I3262">
        <v>0</v>
      </c>
      <c r="J3262">
        <v>0</v>
      </c>
      <c r="K3262">
        <v>33.874761599999999</v>
      </c>
      <c r="L3262">
        <v>-1854.7</v>
      </c>
      <c r="M3262">
        <v>0</v>
      </c>
      <c r="N3262">
        <v>0</v>
      </c>
      <c r="O3262">
        <v>-135.1353360999947</v>
      </c>
      <c r="P3262">
        <v>591207.60204361985</v>
      </c>
    </row>
    <row r="3263" spans="1:16" x14ac:dyDescent="0.25">
      <c r="A3263" s="10">
        <v>42451</v>
      </c>
      <c r="B3263">
        <v>-8421.965537519658</v>
      </c>
      <c r="C3263">
        <v>30.1</v>
      </c>
      <c r="D3263">
        <v>-2000</v>
      </c>
      <c r="E3263">
        <v>0</v>
      </c>
      <c r="F3263">
        <v>0</v>
      </c>
      <c r="G3263">
        <v>8371.7348653252338</v>
      </c>
      <c r="H3263">
        <v>-8890.1456785299997</v>
      </c>
      <c r="I3263">
        <v>0</v>
      </c>
      <c r="J3263">
        <v>0</v>
      </c>
      <c r="K3263">
        <v>-19.586072949999998</v>
      </c>
      <c r="L3263">
        <v>-1465.1</v>
      </c>
      <c r="M3263">
        <v>0</v>
      </c>
      <c r="N3263">
        <v>0</v>
      </c>
      <c r="O3263">
        <v>-4448.9686513648921</v>
      </c>
      <c r="P3263">
        <v>582785.63650610019</v>
      </c>
    </row>
    <row r="3264" spans="1:16" x14ac:dyDescent="0.25">
      <c r="A3264" s="10">
        <v>42452</v>
      </c>
      <c r="B3264">
        <v>11457.42678518</v>
      </c>
      <c r="C3264">
        <v>-7.3</v>
      </c>
      <c r="D3264">
        <v>0</v>
      </c>
      <c r="E3264">
        <v>0</v>
      </c>
      <c r="F3264">
        <v>15000</v>
      </c>
      <c r="G3264">
        <v>-242.73062297000001</v>
      </c>
      <c r="H3264">
        <v>-13555.947816149999</v>
      </c>
      <c r="I3264">
        <v>0</v>
      </c>
      <c r="J3264">
        <v>0</v>
      </c>
      <c r="K3264">
        <v>8.3836131999999992</v>
      </c>
      <c r="L3264">
        <v>10561.02</v>
      </c>
      <c r="M3264">
        <v>0</v>
      </c>
      <c r="N3264">
        <v>0</v>
      </c>
      <c r="O3264">
        <v>-305.99838890000677</v>
      </c>
      <c r="P3264">
        <v>594243.06329128006</v>
      </c>
    </row>
    <row r="3265" spans="1:16" x14ac:dyDescent="0.25">
      <c r="A3265" s="10">
        <v>42457</v>
      </c>
      <c r="B3265">
        <v>-10295.84822560986</v>
      </c>
      <c r="C3265">
        <v>39.200000000000003</v>
      </c>
      <c r="D3265">
        <v>0</v>
      </c>
      <c r="E3265">
        <v>0</v>
      </c>
      <c r="F3265">
        <v>0</v>
      </c>
      <c r="G3265">
        <v>534.91864260999989</v>
      </c>
      <c r="H3265">
        <v>-10096.969479299991</v>
      </c>
      <c r="I3265">
        <v>0</v>
      </c>
      <c r="J3265">
        <v>0</v>
      </c>
      <c r="K3265">
        <v>102.03908158</v>
      </c>
      <c r="L3265">
        <v>-2093.599999999999</v>
      </c>
      <c r="M3265">
        <v>0</v>
      </c>
      <c r="N3265">
        <v>0</v>
      </c>
      <c r="O3265">
        <v>1218.563529500133</v>
      </c>
      <c r="P3265">
        <v>583947.2150656702</v>
      </c>
    </row>
    <row r="3266" spans="1:16" x14ac:dyDescent="0.25">
      <c r="A3266" s="10">
        <v>42458</v>
      </c>
      <c r="B3266">
        <v>-660.50522560009085</v>
      </c>
      <c r="C3266">
        <v>22</v>
      </c>
      <c r="D3266">
        <v>0</v>
      </c>
      <c r="E3266">
        <v>0</v>
      </c>
      <c r="F3266">
        <v>0</v>
      </c>
      <c r="G3266">
        <v>-197.20657793000001</v>
      </c>
      <c r="H3266">
        <v>651.13235598999745</v>
      </c>
      <c r="I3266">
        <v>0</v>
      </c>
      <c r="J3266">
        <v>0</v>
      </c>
      <c r="K3266">
        <v>24.27178687</v>
      </c>
      <c r="L3266">
        <v>-3160.4</v>
      </c>
      <c r="M3266">
        <v>0</v>
      </c>
      <c r="N3266">
        <v>0</v>
      </c>
      <c r="O3266">
        <v>1999.697209469912</v>
      </c>
      <c r="P3266">
        <v>583286.70984007022</v>
      </c>
    </row>
    <row r="3267" spans="1:16" x14ac:dyDescent="0.25">
      <c r="A3267" s="10">
        <v>42459</v>
      </c>
      <c r="B3267">
        <v>-20359.04773145029</v>
      </c>
      <c r="C3267">
        <v>36.4</v>
      </c>
      <c r="D3267">
        <v>-3000</v>
      </c>
      <c r="E3267">
        <v>0</v>
      </c>
      <c r="F3267">
        <v>0</v>
      </c>
      <c r="G3267">
        <v>-356.2715285700001</v>
      </c>
      <c r="H3267">
        <v>-8769.2879325399917</v>
      </c>
      <c r="I3267">
        <v>0</v>
      </c>
      <c r="J3267">
        <v>0</v>
      </c>
      <c r="K3267">
        <v>25.913833080000011</v>
      </c>
      <c r="L3267">
        <v>-6402.1</v>
      </c>
      <c r="M3267">
        <v>0</v>
      </c>
      <c r="N3267">
        <v>0</v>
      </c>
      <c r="O3267">
        <v>-1893.7021034203001</v>
      </c>
      <c r="P3267">
        <v>562927.66210861993</v>
      </c>
    </row>
    <row r="3268" spans="1:16" x14ac:dyDescent="0.25">
      <c r="A3268" s="10">
        <v>42460</v>
      </c>
      <c r="B3268">
        <v>10091.78297277994</v>
      </c>
      <c r="C3268">
        <v>-3068.5026800000001</v>
      </c>
      <c r="D3268">
        <v>0</v>
      </c>
      <c r="E3268">
        <v>0</v>
      </c>
      <c r="F3268">
        <v>15000</v>
      </c>
      <c r="G3268">
        <v>-1401.041835479999</v>
      </c>
      <c r="H3268">
        <v>521.5645349999977</v>
      </c>
      <c r="I3268">
        <v>0</v>
      </c>
      <c r="J3268">
        <v>0</v>
      </c>
      <c r="K3268">
        <v>34.811681900000004</v>
      </c>
      <c r="L3268">
        <v>-1459.7</v>
      </c>
      <c r="M3268">
        <v>0</v>
      </c>
      <c r="N3268">
        <v>0</v>
      </c>
      <c r="O3268">
        <v>464.65127135994408</v>
      </c>
      <c r="P3268">
        <v>573019.44508139975</v>
      </c>
    </row>
    <row r="3269" spans="1:16" x14ac:dyDescent="0.25">
      <c r="A3269" s="10">
        <v>42461</v>
      </c>
      <c r="B3269">
        <v>36991.101839729818</v>
      </c>
      <c r="C3269">
        <v>206.6</v>
      </c>
      <c r="D3269">
        <v>0</v>
      </c>
      <c r="E3269">
        <v>0</v>
      </c>
      <c r="F3269">
        <v>0</v>
      </c>
      <c r="G3269">
        <v>-325.10824602999998</v>
      </c>
      <c r="H3269">
        <v>35383.457164659987</v>
      </c>
      <c r="I3269">
        <v>0</v>
      </c>
      <c r="J3269">
        <v>0</v>
      </c>
      <c r="K3269">
        <v>34.177200679999977</v>
      </c>
      <c r="L3269">
        <v>420.3</v>
      </c>
      <c r="M3269">
        <v>0</v>
      </c>
      <c r="N3269">
        <v>0</v>
      </c>
      <c r="O3269">
        <v>1271.6757204198179</v>
      </c>
      <c r="P3269">
        <v>610010.5469211298</v>
      </c>
    </row>
    <row r="3270" spans="1:16" x14ac:dyDescent="0.25">
      <c r="A3270" s="10">
        <v>42464</v>
      </c>
      <c r="B3270">
        <v>-5087.4916388896509</v>
      </c>
      <c r="C3270">
        <v>394.86127491678701</v>
      </c>
      <c r="D3270">
        <v>0</v>
      </c>
      <c r="E3270">
        <v>0</v>
      </c>
      <c r="F3270">
        <v>0</v>
      </c>
      <c r="G3270">
        <v>-285.86177821000001</v>
      </c>
      <c r="H3270">
        <v>-2217.9175531499991</v>
      </c>
      <c r="I3270">
        <v>0</v>
      </c>
      <c r="J3270">
        <v>0</v>
      </c>
      <c r="K3270">
        <v>14.29276177</v>
      </c>
      <c r="L3270">
        <v>-2845.5</v>
      </c>
      <c r="M3270">
        <v>0</v>
      </c>
      <c r="N3270">
        <v>0</v>
      </c>
      <c r="O3270">
        <v>-147.36634421643981</v>
      </c>
      <c r="P3270">
        <v>604923.05528224004</v>
      </c>
    </row>
    <row r="3271" spans="1:16" x14ac:dyDescent="0.25">
      <c r="A3271" s="10">
        <v>42465</v>
      </c>
      <c r="B3271">
        <v>-3934.7644754701741</v>
      </c>
      <c r="C3271">
        <v>1165.2</v>
      </c>
      <c r="D3271">
        <v>0</v>
      </c>
      <c r="E3271">
        <v>0</v>
      </c>
      <c r="F3271">
        <v>0</v>
      </c>
      <c r="G3271">
        <v>-159.59108198000001</v>
      </c>
      <c r="H3271">
        <v>386.43163761999682</v>
      </c>
      <c r="I3271">
        <v>0</v>
      </c>
      <c r="J3271">
        <v>0</v>
      </c>
      <c r="K3271">
        <v>7.5452709499999999</v>
      </c>
      <c r="L3271">
        <v>-4453.2</v>
      </c>
      <c r="M3271">
        <v>0</v>
      </c>
      <c r="N3271">
        <v>0</v>
      </c>
      <c r="O3271">
        <v>-881.1503020601715</v>
      </c>
      <c r="P3271">
        <v>600988.29080676998</v>
      </c>
    </row>
    <row r="3272" spans="1:16" x14ac:dyDescent="0.25">
      <c r="A3272" s="10">
        <v>42466</v>
      </c>
      <c r="B3272">
        <v>-12513.069341000049</v>
      </c>
      <c r="C3272">
        <v>24.6</v>
      </c>
      <c r="D3272">
        <v>0</v>
      </c>
      <c r="E3272">
        <v>0</v>
      </c>
      <c r="F3272">
        <v>0</v>
      </c>
      <c r="G3272">
        <v>410.8814069</v>
      </c>
      <c r="H3272">
        <v>-560.42199955999604</v>
      </c>
      <c r="I3272">
        <v>0</v>
      </c>
      <c r="J3272">
        <v>0</v>
      </c>
      <c r="K3272">
        <v>7.8708431399999998</v>
      </c>
      <c r="L3272">
        <v>-13501.3</v>
      </c>
      <c r="M3272">
        <v>0</v>
      </c>
      <c r="N3272">
        <v>0</v>
      </c>
      <c r="O3272">
        <v>1105.3004085199409</v>
      </c>
      <c r="P3272">
        <v>588475.22146576992</v>
      </c>
    </row>
    <row r="3273" spans="1:16" x14ac:dyDescent="0.25">
      <c r="A3273" s="10">
        <v>42467</v>
      </c>
      <c r="B3273">
        <v>1759.6599135199799</v>
      </c>
      <c r="C3273">
        <v>19</v>
      </c>
      <c r="D3273">
        <v>0</v>
      </c>
      <c r="E3273">
        <v>0</v>
      </c>
      <c r="F3273">
        <v>0</v>
      </c>
      <c r="G3273">
        <v>-45.149372640000038</v>
      </c>
      <c r="H3273">
        <v>2468.505868960001</v>
      </c>
      <c r="I3273">
        <v>0</v>
      </c>
      <c r="J3273">
        <v>0</v>
      </c>
      <c r="K3273">
        <v>8.3382969500000002</v>
      </c>
      <c r="L3273">
        <v>-421.6</v>
      </c>
      <c r="M3273">
        <v>0</v>
      </c>
      <c r="N3273">
        <v>0</v>
      </c>
      <c r="O3273">
        <v>-269.43487975002131</v>
      </c>
      <c r="P3273">
        <v>590234.8813792899</v>
      </c>
    </row>
    <row r="3274" spans="1:16" x14ac:dyDescent="0.25">
      <c r="A3274" s="10">
        <v>42468</v>
      </c>
      <c r="B3274">
        <v>-6711.6699068400794</v>
      </c>
      <c r="C3274">
        <v>39.799999999999997</v>
      </c>
      <c r="D3274">
        <v>-2400</v>
      </c>
      <c r="E3274">
        <v>0</v>
      </c>
      <c r="F3274">
        <v>0</v>
      </c>
      <c r="G3274">
        <v>175.13132773999999</v>
      </c>
      <c r="H3274">
        <v>-2237.6454574700001</v>
      </c>
      <c r="I3274">
        <v>0</v>
      </c>
      <c r="J3274">
        <v>-163.60000000000039</v>
      </c>
      <c r="K3274">
        <v>6.7762715699999996</v>
      </c>
      <c r="L3274">
        <v>-1373.4</v>
      </c>
      <c r="M3274">
        <v>0</v>
      </c>
      <c r="N3274">
        <v>0</v>
      </c>
      <c r="O3274">
        <v>-758.73204868007701</v>
      </c>
      <c r="P3274">
        <v>583523.21147244982</v>
      </c>
    </row>
    <row r="3275" spans="1:16" x14ac:dyDescent="0.25">
      <c r="A3275" s="10">
        <v>42471</v>
      </c>
      <c r="B3275">
        <v>386.06424705032231</v>
      </c>
      <c r="C3275">
        <v>36.299999999999997</v>
      </c>
      <c r="D3275">
        <v>0</v>
      </c>
      <c r="E3275">
        <v>0</v>
      </c>
      <c r="F3275">
        <v>0</v>
      </c>
      <c r="G3275">
        <v>-134.83907116000009</v>
      </c>
      <c r="H3275">
        <v>1455.4227211299999</v>
      </c>
      <c r="I3275">
        <v>0</v>
      </c>
      <c r="J3275">
        <v>0</v>
      </c>
      <c r="K3275">
        <v>6.5674747599999996</v>
      </c>
      <c r="L3275">
        <v>-799.3</v>
      </c>
      <c r="M3275">
        <v>0</v>
      </c>
      <c r="N3275">
        <v>0</v>
      </c>
      <c r="O3275">
        <v>-178.0868776796782</v>
      </c>
      <c r="P3275">
        <v>583909.27571950015</v>
      </c>
    </row>
    <row r="3276" spans="1:16" x14ac:dyDescent="0.25">
      <c r="A3276" s="10">
        <v>42472</v>
      </c>
      <c r="B3276">
        <v>2242.4300397597249</v>
      </c>
      <c r="C3276">
        <v>877.08</v>
      </c>
      <c r="D3276">
        <v>0</v>
      </c>
      <c r="E3276">
        <v>0</v>
      </c>
      <c r="F3276">
        <v>0</v>
      </c>
      <c r="G3276">
        <v>-173.47646824</v>
      </c>
      <c r="H3276">
        <v>2809.6326206899989</v>
      </c>
      <c r="I3276">
        <v>0</v>
      </c>
      <c r="J3276">
        <v>0</v>
      </c>
      <c r="K3276">
        <v>6.5644793299999993</v>
      </c>
      <c r="L3276">
        <v>-1262.4000000000001</v>
      </c>
      <c r="M3276">
        <v>0</v>
      </c>
      <c r="N3276">
        <v>0</v>
      </c>
      <c r="O3276">
        <v>-14.970592020273489</v>
      </c>
      <c r="P3276">
        <v>586151.70575925976</v>
      </c>
    </row>
    <row r="3277" spans="1:16" x14ac:dyDescent="0.25">
      <c r="A3277" s="10">
        <v>42473</v>
      </c>
      <c r="B3277">
        <v>695.72703785030023</v>
      </c>
      <c r="C3277">
        <v>1391.4593</v>
      </c>
      <c r="D3277">
        <v>0</v>
      </c>
      <c r="E3277">
        <v>0</v>
      </c>
      <c r="F3277">
        <v>0</v>
      </c>
      <c r="G3277">
        <v>157.88608505999991</v>
      </c>
      <c r="H3277">
        <v>-5134.9407956899977</v>
      </c>
      <c r="I3277">
        <v>0</v>
      </c>
      <c r="J3277">
        <v>0</v>
      </c>
      <c r="K3277">
        <v>5.9347517300000003</v>
      </c>
      <c r="L3277">
        <v>4583.1000000000004</v>
      </c>
      <c r="M3277">
        <v>0</v>
      </c>
      <c r="N3277">
        <v>0</v>
      </c>
      <c r="O3277">
        <v>-307.71230324970207</v>
      </c>
      <c r="P3277">
        <v>586847.43279711006</v>
      </c>
    </row>
    <row r="3278" spans="1:16" x14ac:dyDescent="0.25">
      <c r="A3278" s="10">
        <v>42474</v>
      </c>
      <c r="B3278">
        <v>1198.753617259792</v>
      </c>
      <c r="C3278">
        <v>12.2</v>
      </c>
      <c r="D3278">
        <v>0</v>
      </c>
      <c r="E3278">
        <v>3600</v>
      </c>
      <c r="F3278">
        <v>0</v>
      </c>
      <c r="G3278">
        <v>-54.853583640000188</v>
      </c>
      <c r="H3278">
        <v>301.93981976999572</v>
      </c>
      <c r="I3278">
        <v>0</v>
      </c>
      <c r="J3278">
        <v>0</v>
      </c>
      <c r="K3278">
        <v>9.3657836000000003</v>
      </c>
      <c r="L3278">
        <v>-1835.1</v>
      </c>
      <c r="M3278">
        <v>0</v>
      </c>
      <c r="N3278">
        <v>0</v>
      </c>
      <c r="O3278">
        <v>-834.79840247020354</v>
      </c>
      <c r="P3278">
        <v>588046.18641436996</v>
      </c>
    </row>
    <row r="3279" spans="1:16" x14ac:dyDescent="0.25">
      <c r="A3279" s="10">
        <v>42475</v>
      </c>
      <c r="B3279">
        <v>-9580.1088528798409</v>
      </c>
      <c r="C3279">
        <v>1727.2360000000001</v>
      </c>
      <c r="D3279">
        <v>-6600</v>
      </c>
      <c r="E3279">
        <v>0</v>
      </c>
      <c r="F3279">
        <v>0</v>
      </c>
      <c r="G3279">
        <v>-603.13597580999976</v>
      </c>
      <c r="H3279">
        <v>-2087.8404586200008</v>
      </c>
      <c r="I3279">
        <v>0</v>
      </c>
      <c r="J3279">
        <v>0</v>
      </c>
      <c r="K3279">
        <v>11.75534564</v>
      </c>
      <c r="L3279">
        <v>-1024.9000000000001</v>
      </c>
      <c r="M3279">
        <v>0</v>
      </c>
      <c r="N3279">
        <v>0</v>
      </c>
      <c r="O3279">
        <v>-1003.223764089841</v>
      </c>
      <c r="P3279">
        <v>578466.07756149</v>
      </c>
    </row>
    <row r="3280" spans="1:16" x14ac:dyDescent="0.25">
      <c r="A3280" s="10">
        <v>42478</v>
      </c>
      <c r="B3280">
        <v>-6085.2434621199482</v>
      </c>
      <c r="C3280">
        <v>1674.2436</v>
      </c>
      <c r="D3280">
        <v>0</v>
      </c>
      <c r="E3280">
        <v>0</v>
      </c>
      <c r="F3280">
        <v>0</v>
      </c>
      <c r="G3280">
        <v>251.53048937999981</v>
      </c>
      <c r="H3280">
        <v>-6592.3005924999961</v>
      </c>
      <c r="I3280">
        <v>0</v>
      </c>
      <c r="J3280">
        <v>0</v>
      </c>
      <c r="K3280">
        <v>16.474943450000001</v>
      </c>
      <c r="L3280">
        <v>-186.10000000000011</v>
      </c>
      <c r="M3280">
        <v>0</v>
      </c>
      <c r="N3280">
        <v>0</v>
      </c>
      <c r="O3280">
        <v>-1249.091902449951</v>
      </c>
      <c r="P3280">
        <v>572380.83409937005</v>
      </c>
    </row>
    <row r="3281" spans="1:16" x14ac:dyDescent="0.25">
      <c r="A3281" s="10">
        <v>42479</v>
      </c>
      <c r="B3281">
        <v>8563.49178235</v>
      </c>
      <c r="C3281">
        <v>1637.5161000000001</v>
      </c>
      <c r="D3281">
        <v>0</v>
      </c>
      <c r="E3281">
        <v>0</v>
      </c>
      <c r="F3281">
        <v>0</v>
      </c>
      <c r="G3281">
        <v>-85.739239779999991</v>
      </c>
      <c r="H3281">
        <v>6172.9107479799968</v>
      </c>
      <c r="I3281">
        <v>0</v>
      </c>
      <c r="J3281">
        <v>0</v>
      </c>
      <c r="K3281">
        <v>16.53723609</v>
      </c>
      <c r="L3281">
        <v>534.70000000000005</v>
      </c>
      <c r="M3281">
        <v>0</v>
      </c>
      <c r="N3281">
        <v>0</v>
      </c>
      <c r="O3281">
        <v>287.56693806000288</v>
      </c>
      <c r="P3281">
        <v>580944.32588172005</v>
      </c>
    </row>
    <row r="3282" spans="1:16" x14ac:dyDescent="0.25">
      <c r="A3282" s="10">
        <v>42480</v>
      </c>
      <c r="B3282">
        <v>-1191.948854400079</v>
      </c>
      <c r="C3282">
        <v>9.8000000000000007</v>
      </c>
      <c r="D3282">
        <v>-4200</v>
      </c>
      <c r="E3282">
        <v>0</v>
      </c>
      <c r="F3282">
        <v>0</v>
      </c>
      <c r="G3282">
        <v>-14.119178459999601</v>
      </c>
      <c r="H3282">
        <v>2921.8075727800019</v>
      </c>
      <c r="I3282">
        <v>0</v>
      </c>
      <c r="J3282">
        <v>0</v>
      </c>
      <c r="K3282">
        <v>10.95029068</v>
      </c>
      <c r="L3282">
        <v>-246.5</v>
      </c>
      <c r="M3282">
        <v>0</v>
      </c>
      <c r="N3282">
        <v>0</v>
      </c>
      <c r="O3282">
        <v>326.11246059991851</v>
      </c>
      <c r="P3282">
        <v>579752.37702731998</v>
      </c>
    </row>
    <row r="3283" spans="1:16" x14ac:dyDescent="0.25">
      <c r="A3283" s="10">
        <v>42481</v>
      </c>
      <c r="B3283">
        <v>-13777.75900849002</v>
      </c>
      <c r="C3283">
        <v>13.4</v>
      </c>
      <c r="D3283">
        <v>4200.7</v>
      </c>
      <c r="E3283">
        <v>0</v>
      </c>
      <c r="F3283">
        <v>0</v>
      </c>
      <c r="G3283">
        <v>425.63724943000028</v>
      </c>
      <c r="H3283">
        <v>-18828.449875810002</v>
      </c>
      <c r="I3283">
        <v>0</v>
      </c>
      <c r="J3283">
        <v>0</v>
      </c>
      <c r="K3283">
        <v>10.00891682</v>
      </c>
      <c r="L3283">
        <v>-130.19999999999999</v>
      </c>
      <c r="M3283">
        <v>0</v>
      </c>
      <c r="N3283">
        <v>0</v>
      </c>
      <c r="O3283">
        <v>531.14470106998124</v>
      </c>
      <c r="P3283">
        <v>565974.61801882996</v>
      </c>
    </row>
    <row r="3284" spans="1:16" x14ac:dyDescent="0.25">
      <c r="A3284" s="10">
        <v>42482</v>
      </c>
      <c r="B3284">
        <v>-597.92341107024538</v>
      </c>
      <c r="C3284">
        <v>34.9</v>
      </c>
      <c r="D3284">
        <v>0</v>
      </c>
      <c r="E3284">
        <v>-100</v>
      </c>
      <c r="F3284">
        <v>0</v>
      </c>
      <c r="G3284">
        <v>9.5165073599928292</v>
      </c>
      <c r="H3284">
        <v>228.09904714000001</v>
      </c>
      <c r="I3284">
        <v>0</v>
      </c>
      <c r="J3284">
        <v>0</v>
      </c>
      <c r="K3284">
        <v>25.640683460000009</v>
      </c>
      <c r="L3284">
        <v>-234.2</v>
      </c>
      <c r="M3284">
        <v>0</v>
      </c>
      <c r="N3284">
        <v>0</v>
      </c>
      <c r="O3284">
        <v>-561.87964903023828</v>
      </c>
      <c r="P3284">
        <v>565376.69460775983</v>
      </c>
    </row>
    <row r="3285" spans="1:16" x14ac:dyDescent="0.25">
      <c r="A3285" s="10">
        <v>42485</v>
      </c>
      <c r="B3285">
        <v>-807.38210209959414</v>
      </c>
      <c r="C3285">
        <v>53</v>
      </c>
      <c r="D3285">
        <v>0</v>
      </c>
      <c r="E3285">
        <v>0</v>
      </c>
      <c r="F3285">
        <v>0</v>
      </c>
      <c r="G3285">
        <v>-225.77365008000001</v>
      </c>
      <c r="H3285">
        <v>-758.40995691999706</v>
      </c>
      <c r="I3285">
        <v>0</v>
      </c>
      <c r="J3285">
        <v>37</v>
      </c>
      <c r="K3285">
        <v>55.630344409999978</v>
      </c>
      <c r="L3285">
        <v>32.399999999999856</v>
      </c>
      <c r="M3285">
        <v>0</v>
      </c>
      <c r="N3285">
        <v>0</v>
      </c>
      <c r="O3285">
        <v>-1.228840509596921</v>
      </c>
      <c r="P3285">
        <v>564569.31250566011</v>
      </c>
    </row>
    <row r="3286" spans="1:16" x14ac:dyDescent="0.25">
      <c r="A3286" s="10">
        <v>42486</v>
      </c>
      <c r="B3286">
        <v>5430.1473353100009</v>
      </c>
      <c r="C3286">
        <v>950.43115</v>
      </c>
      <c r="D3286">
        <v>0</v>
      </c>
      <c r="E3286">
        <v>0</v>
      </c>
      <c r="F3286">
        <v>0</v>
      </c>
      <c r="G3286">
        <v>-80.6775942700001</v>
      </c>
      <c r="H3286">
        <v>5518.8716285800001</v>
      </c>
      <c r="I3286">
        <v>0</v>
      </c>
      <c r="J3286">
        <v>0</v>
      </c>
      <c r="K3286">
        <v>22.374182009999998</v>
      </c>
      <c r="L3286">
        <v>-1031</v>
      </c>
      <c r="M3286">
        <v>0</v>
      </c>
      <c r="N3286">
        <v>0</v>
      </c>
      <c r="O3286">
        <v>50.147968990000301</v>
      </c>
      <c r="P3286">
        <v>569999.45984097011</v>
      </c>
    </row>
    <row r="3287" spans="1:16" x14ac:dyDescent="0.25">
      <c r="A3287" s="10">
        <v>42487</v>
      </c>
      <c r="B3287">
        <v>6339.2880871999096</v>
      </c>
      <c r="C3287">
        <v>14.1</v>
      </c>
      <c r="D3287">
        <v>0</v>
      </c>
      <c r="E3287">
        <v>0</v>
      </c>
      <c r="F3287">
        <v>0</v>
      </c>
      <c r="G3287">
        <v>350.39043987999997</v>
      </c>
      <c r="H3287">
        <v>4970.3725962100034</v>
      </c>
      <c r="I3287">
        <v>0</v>
      </c>
      <c r="J3287">
        <v>0</v>
      </c>
      <c r="K3287">
        <v>16.729598499999991</v>
      </c>
      <c r="L3287">
        <v>1278.4000000000001</v>
      </c>
      <c r="M3287">
        <v>0</v>
      </c>
      <c r="N3287">
        <v>0</v>
      </c>
      <c r="O3287">
        <v>-290.7045473900933</v>
      </c>
      <c r="P3287">
        <v>576338.74792817002</v>
      </c>
    </row>
    <row r="3288" spans="1:16" x14ac:dyDescent="0.25">
      <c r="A3288" s="10">
        <v>42488</v>
      </c>
      <c r="B3288">
        <v>-3466.542158249882</v>
      </c>
      <c r="C3288">
        <v>13.7</v>
      </c>
      <c r="D3288">
        <v>5696</v>
      </c>
      <c r="E3288">
        <v>0</v>
      </c>
      <c r="F3288">
        <v>0</v>
      </c>
      <c r="G3288">
        <v>28.756444579999879</v>
      </c>
      <c r="H3288">
        <v>-6869.5923922199981</v>
      </c>
      <c r="I3288">
        <v>0</v>
      </c>
      <c r="J3288">
        <v>0</v>
      </c>
      <c r="K3288">
        <v>14.256793269999999</v>
      </c>
      <c r="L3288">
        <v>-1656.3</v>
      </c>
      <c r="M3288">
        <v>0</v>
      </c>
      <c r="N3288">
        <v>0</v>
      </c>
      <c r="O3288">
        <v>-693.36300387988399</v>
      </c>
      <c r="P3288">
        <v>572872.20576992002</v>
      </c>
    </row>
    <row r="3289" spans="1:16" x14ac:dyDescent="0.25">
      <c r="A3289" s="10">
        <v>42489</v>
      </c>
      <c r="B3289">
        <v>-304.61453316011642</v>
      </c>
      <c r="C3289">
        <v>-6035.3040000000001</v>
      </c>
      <c r="D3289">
        <v>8502</v>
      </c>
      <c r="E3289">
        <v>2300</v>
      </c>
      <c r="F3289">
        <v>0</v>
      </c>
      <c r="G3289">
        <v>-92.679656370000885</v>
      </c>
      <c r="H3289">
        <v>-4494.9823596399983</v>
      </c>
      <c r="I3289">
        <v>0</v>
      </c>
      <c r="J3289">
        <v>0</v>
      </c>
      <c r="K3289">
        <v>20.0779371</v>
      </c>
      <c r="L3289">
        <v>-1131.4000000000001</v>
      </c>
      <c r="M3289">
        <v>0</v>
      </c>
      <c r="N3289">
        <v>0</v>
      </c>
      <c r="O3289">
        <v>627.67354574988303</v>
      </c>
      <c r="P3289">
        <v>572567.59123676002</v>
      </c>
    </row>
    <row r="3290" spans="1:16" x14ac:dyDescent="0.25">
      <c r="A3290" s="10">
        <v>42492</v>
      </c>
      <c r="B3290">
        <v>26267.612989349869</v>
      </c>
      <c r="C3290">
        <v>-22.152852724441999</v>
      </c>
      <c r="D3290">
        <v>7129</v>
      </c>
      <c r="E3290">
        <v>0</v>
      </c>
      <c r="F3290">
        <v>0</v>
      </c>
      <c r="G3290">
        <v>115.4173799600003</v>
      </c>
      <c r="H3290">
        <v>19509.90077402</v>
      </c>
      <c r="I3290">
        <v>0</v>
      </c>
      <c r="J3290">
        <v>0</v>
      </c>
      <c r="K3290">
        <v>70.736876769999981</v>
      </c>
      <c r="L3290">
        <v>-326.5</v>
      </c>
      <c r="M3290">
        <v>0</v>
      </c>
      <c r="N3290">
        <v>0</v>
      </c>
      <c r="O3290">
        <v>-208.7891886756814</v>
      </c>
      <c r="P3290">
        <v>598835.20422611001</v>
      </c>
    </row>
    <row r="3291" spans="1:16" x14ac:dyDescent="0.25">
      <c r="A3291" s="10">
        <v>42493</v>
      </c>
      <c r="B3291">
        <v>-1867.98062781978</v>
      </c>
      <c r="C3291">
        <v>18.7</v>
      </c>
      <c r="D3291">
        <v>0</v>
      </c>
      <c r="E3291">
        <v>0</v>
      </c>
      <c r="F3291">
        <v>0</v>
      </c>
      <c r="G3291">
        <v>73.038833060000059</v>
      </c>
      <c r="H3291">
        <v>-1589.348438220002</v>
      </c>
      <c r="I3291">
        <v>0</v>
      </c>
      <c r="J3291">
        <v>0</v>
      </c>
      <c r="K3291">
        <v>6.7935174399999996</v>
      </c>
      <c r="L3291">
        <v>-147.69999999999999</v>
      </c>
      <c r="M3291">
        <v>0</v>
      </c>
      <c r="N3291">
        <v>0</v>
      </c>
      <c r="O3291">
        <v>-229.46454009977799</v>
      </c>
      <c r="P3291">
        <v>596967.22359829012</v>
      </c>
    </row>
    <row r="3292" spans="1:16" x14ac:dyDescent="0.25">
      <c r="A3292" s="10">
        <v>42494</v>
      </c>
      <c r="B3292">
        <v>2113.0711121200579</v>
      </c>
      <c r="C3292">
        <v>564.09500000000003</v>
      </c>
      <c r="D3292">
        <v>0</v>
      </c>
      <c r="E3292">
        <v>0</v>
      </c>
      <c r="F3292">
        <v>0</v>
      </c>
      <c r="G3292">
        <v>-313.17119579000428</v>
      </c>
      <c r="H3292">
        <v>2412.7610925000008</v>
      </c>
      <c r="I3292">
        <v>0</v>
      </c>
      <c r="J3292">
        <v>0</v>
      </c>
      <c r="K3292">
        <v>8.1429334799999999</v>
      </c>
      <c r="L3292">
        <v>-23</v>
      </c>
      <c r="M3292">
        <v>0</v>
      </c>
      <c r="N3292">
        <v>0</v>
      </c>
      <c r="O3292">
        <v>-535.75671806993876</v>
      </c>
      <c r="P3292">
        <v>599080.29471041018</v>
      </c>
    </row>
    <row r="3293" spans="1:16" x14ac:dyDescent="0.25">
      <c r="A3293" s="10">
        <v>42495</v>
      </c>
      <c r="B3293">
        <v>304.28726759995283</v>
      </c>
      <c r="C3293">
        <v>21.2</v>
      </c>
      <c r="D3293">
        <v>0</v>
      </c>
      <c r="E3293">
        <v>0</v>
      </c>
      <c r="F3293">
        <v>0</v>
      </c>
      <c r="G3293">
        <v>38.355287959999941</v>
      </c>
      <c r="H3293">
        <v>651.73659984000005</v>
      </c>
      <c r="I3293">
        <v>0</v>
      </c>
      <c r="J3293">
        <v>0</v>
      </c>
      <c r="K3293">
        <v>7.169615789999999</v>
      </c>
      <c r="L3293">
        <v>-511</v>
      </c>
      <c r="M3293">
        <v>0</v>
      </c>
      <c r="N3293">
        <v>0</v>
      </c>
      <c r="O3293">
        <v>96.825764009952735</v>
      </c>
      <c r="P3293">
        <v>599384.58197801025</v>
      </c>
    </row>
    <row r="3294" spans="1:16" x14ac:dyDescent="0.25">
      <c r="A3294" s="10">
        <v>42496</v>
      </c>
      <c r="B3294">
        <v>-7017.8702439999888</v>
      </c>
      <c r="C3294">
        <v>37.6</v>
      </c>
      <c r="D3294">
        <v>0</v>
      </c>
      <c r="E3294">
        <v>100</v>
      </c>
      <c r="F3294">
        <v>0</v>
      </c>
      <c r="G3294">
        <v>-333.66307712999998</v>
      </c>
      <c r="H3294">
        <v>-5959.7100038599983</v>
      </c>
      <c r="I3294">
        <v>0</v>
      </c>
      <c r="J3294">
        <v>0</v>
      </c>
      <c r="K3294">
        <v>6.4054560199999999</v>
      </c>
      <c r="L3294">
        <v>-679.2</v>
      </c>
      <c r="M3294">
        <v>0</v>
      </c>
      <c r="N3294">
        <v>0</v>
      </c>
      <c r="O3294">
        <v>-189.30261902999081</v>
      </c>
      <c r="P3294">
        <v>592366.71173401014</v>
      </c>
    </row>
    <row r="3295" spans="1:16" x14ac:dyDescent="0.25">
      <c r="A3295" s="10">
        <v>42499</v>
      </c>
      <c r="B3295">
        <v>6860.6489282196853</v>
      </c>
      <c r="C3295">
        <v>798.98399999999992</v>
      </c>
      <c r="D3295">
        <v>6850.1225999999997</v>
      </c>
      <c r="E3295">
        <v>0</v>
      </c>
      <c r="F3295">
        <v>0</v>
      </c>
      <c r="G3295">
        <v>-3483.6674372799989</v>
      </c>
      <c r="H3295">
        <v>1507.03556746</v>
      </c>
      <c r="I3295">
        <v>0</v>
      </c>
      <c r="J3295">
        <v>-142.39999999999961</v>
      </c>
      <c r="K3295">
        <v>15.105363270000179</v>
      </c>
      <c r="L3295">
        <v>1.200000000000045</v>
      </c>
      <c r="M3295">
        <v>0</v>
      </c>
      <c r="N3295">
        <v>0</v>
      </c>
      <c r="O3295">
        <v>1314.2688347696851</v>
      </c>
      <c r="P3295">
        <v>599227.36066222994</v>
      </c>
    </row>
    <row r="3296" spans="1:16" x14ac:dyDescent="0.25">
      <c r="A3296" s="10">
        <v>42500</v>
      </c>
      <c r="B3296">
        <v>-9981.2360564700793</v>
      </c>
      <c r="C3296">
        <v>13.7</v>
      </c>
      <c r="D3296">
        <v>0</v>
      </c>
      <c r="E3296">
        <v>0</v>
      </c>
      <c r="F3296">
        <v>0</v>
      </c>
      <c r="G3296">
        <v>276.53070125999989</v>
      </c>
      <c r="H3296">
        <v>-8411.2906387800031</v>
      </c>
      <c r="I3296">
        <v>0</v>
      </c>
      <c r="J3296">
        <v>0</v>
      </c>
      <c r="K3296">
        <v>10.095430090000001</v>
      </c>
      <c r="L3296">
        <v>-1859.6</v>
      </c>
      <c r="M3296">
        <v>0</v>
      </c>
      <c r="N3296">
        <v>0</v>
      </c>
      <c r="O3296">
        <v>-10.67154904007621</v>
      </c>
      <c r="P3296">
        <v>589246.12460575975</v>
      </c>
    </row>
    <row r="3297" spans="1:16" x14ac:dyDescent="0.25">
      <c r="A3297" s="10">
        <v>42501</v>
      </c>
      <c r="B3297">
        <v>695.5777894802161</v>
      </c>
      <c r="C3297">
        <v>1533.8526999999999</v>
      </c>
      <c r="D3297">
        <v>0</v>
      </c>
      <c r="E3297">
        <v>0</v>
      </c>
      <c r="F3297">
        <v>0</v>
      </c>
      <c r="G3297">
        <v>470.44477477999999</v>
      </c>
      <c r="H3297">
        <v>5201.0414414400038</v>
      </c>
      <c r="I3297">
        <v>0</v>
      </c>
      <c r="J3297">
        <v>0</v>
      </c>
      <c r="K3297">
        <v>16.809408120000001</v>
      </c>
      <c r="L3297">
        <v>-6450.7</v>
      </c>
      <c r="M3297">
        <v>0</v>
      </c>
      <c r="N3297">
        <v>0</v>
      </c>
      <c r="O3297">
        <v>-75.870534859787583</v>
      </c>
      <c r="P3297">
        <v>589941.70239523996</v>
      </c>
    </row>
    <row r="3298" spans="1:16" x14ac:dyDescent="0.25">
      <c r="A3298" s="10">
        <v>42502</v>
      </c>
      <c r="B3298">
        <v>-9439.497359070112</v>
      </c>
      <c r="C3298">
        <v>1005.24175</v>
      </c>
      <c r="D3298">
        <v>0</v>
      </c>
      <c r="E3298">
        <v>0</v>
      </c>
      <c r="F3298">
        <v>0</v>
      </c>
      <c r="G3298">
        <v>52.024492950000017</v>
      </c>
      <c r="H3298">
        <v>-5262.1591981400052</v>
      </c>
      <c r="I3298">
        <v>0</v>
      </c>
      <c r="J3298">
        <v>0</v>
      </c>
      <c r="K3298">
        <v>14.501915090000001</v>
      </c>
      <c r="L3298">
        <v>-4980.6000000000004</v>
      </c>
      <c r="M3298">
        <v>0</v>
      </c>
      <c r="N3298">
        <v>0</v>
      </c>
      <c r="O3298">
        <v>-268.50631897010652</v>
      </c>
      <c r="P3298">
        <v>580502.20503616997</v>
      </c>
    </row>
    <row r="3299" spans="1:16" x14ac:dyDescent="0.25">
      <c r="A3299" s="10">
        <v>42503</v>
      </c>
      <c r="B3299">
        <v>3381.7097658303101</v>
      </c>
      <c r="C3299">
        <v>2752.03728</v>
      </c>
      <c r="D3299">
        <v>0</v>
      </c>
      <c r="E3299">
        <v>12300</v>
      </c>
      <c r="F3299">
        <v>0</v>
      </c>
      <c r="G3299">
        <v>-215.04378346999971</v>
      </c>
      <c r="H3299">
        <v>-11556.35865869</v>
      </c>
      <c r="I3299">
        <v>0</v>
      </c>
      <c r="J3299">
        <v>0</v>
      </c>
      <c r="K3299">
        <v>17.311547780000001</v>
      </c>
      <c r="L3299">
        <v>387.1</v>
      </c>
      <c r="M3299">
        <v>0</v>
      </c>
      <c r="N3299">
        <v>0</v>
      </c>
      <c r="O3299">
        <v>-303.33661978969337</v>
      </c>
      <c r="P3299">
        <v>583883.91480200016</v>
      </c>
    </row>
    <row r="3300" spans="1:16" x14ac:dyDescent="0.25">
      <c r="A3300" s="10">
        <v>42506</v>
      </c>
      <c r="B3300">
        <v>-934.60581418033848</v>
      </c>
      <c r="C3300">
        <v>829.96999999999991</v>
      </c>
      <c r="D3300">
        <v>4956.7700000000004</v>
      </c>
      <c r="E3300">
        <v>200</v>
      </c>
      <c r="F3300">
        <v>0</v>
      </c>
      <c r="G3300">
        <v>-46.102056790000461</v>
      </c>
      <c r="H3300">
        <v>-3535.149490970005</v>
      </c>
      <c r="I3300">
        <v>0</v>
      </c>
      <c r="J3300">
        <v>0</v>
      </c>
      <c r="K3300">
        <v>78.828221519999971</v>
      </c>
      <c r="L3300">
        <v>-3069.8</v>
      </c>
      <c r="M3300">
        <v>0</v>
      </c>
      <c r="N3300">
        <v>0</v>
      </c>
      <c r="O3300">
        <v>-349.12248794033371</v>
      </c>
      <c r="P3300">
        <v>582949.30898781994</v>
      </c>
    </row>
    <row r="3301" spans="1:16" x14ac:dyDescent="0.25">
      <c r="A3301" s="10">
        <v>42507</v>
      </c>
      <c r="B3301">
        <v>5580.2867910902714</v>
      </c>
      <c r="C3301">
        <v>3719.7272240000002</v>
      </c>
      <c r="D3301">
        <v>0</v>
      </c>
      <c r="E3301">
        <v>0</v>
      </c>
      <c r="F3301">
        <v>0</v>
      </c>
      <c r="G3301">
        <v>-151.89196762</v>
      </c>
      <c r="H3301">
        <v>6170.8896487899983</v>
      </c>
      <c r="I3301">
        <v>0</v>
      </c>
      <c r="J3301">
        <v>0</v>
      </c>
      <c r="K3301">
        <v>29.84914603</v>
      </c>
      <c r="L3301">
        <v>-3916.6</v>
      </c>
      <c r="M3301">
        <v>0</v>
      </c>
      <c r="N3301">
        <v>0</v>
      </c>
      <c r="O3301">
        <v>-271.68726010972529</v>
      </c>
      <c r="P3301">
        <v>588529.59577891021</v>
      </c>
    </row>
    <row r="3302" spans="1:16" x14ac:dyDescent="0.25">
      <c r="A3302" s="10">
        <v>42508</v>
      </c>
      <c r="B3302">
        <v>-6852.1506170701487</v>
      </c>
      <c r="C3302">
        <v>3011.646072</v>
      </c>
      <c r="D3302">
        <v>0</v>
      </c>
      <c r="E3302">
        <v>0</v>
      </c>
      <c r="F3302">
        <v>0</v>
      </c>
      <c r="G3302">
        <v>473.94894440000002</v>
      </c>
      <c r="H3302">
        <v>-4145.9932948400019</v>
      </c>
      <c r="I3302">
        <v>0</v>
      </c>
      <c r="J3302">
        <v>0</v>
      </c>
      <c r="K3302">
        <v>25.808384570000001</v>
      </c>
      <c r="L3302">
        <v>-5689.2999999999993</v>
      </c>
      <c r="M3302">
        <v>0</v>
      </c>
      <c r="N3302">
        <v>0</v>
      </c>
      <c r="O3302">
        <v>-528.26072320014771</v>
      </c>
      <c r="P3302">
        <v>581677.44516183995</v>
      </c>
    </row>
    <row r="3303" spans="1:16" x14ac:dyDescent="0.25">
      <c r="A3303" s="10">
        <v>42509</v>
      </c>
      <c r="B3303">
        <v>-5083.5469753998304</v>
      </c>
      <c r="C3303">
        <v>-135.43109999999999</v>
      </c>
      <c r="D3303">
        <v>0</v>
      </c>
      <c r="E3303">
        <v>0</v>
      </c>
      <c r="F3303">
        <v>0</v>
      </c>
      <c r="G3303">
        <v>-16.00065318999992</v>
      </c>
      <c r="H3303">
        <v>1665.636362129997</v>
      </c>
      <c r="I3303">
        <v>0</v>
      </c>
      <c r="J3303">
        <v>0</v>
      </c>
      <c r="K3303">
        <v>27.46177161</v>
      </c>
      <c r="L3303">
        <v>-6524.7</v>
      </c>
      <c r="M3303">
        <v>0</v>
      </c>
      <c r="N3303">
        <v>0</v>
      </c>
      <c r="O3303">
        <v>-100.5133559498274</v>
      </c>
      <c r="P3303">
        <v>576593.89818644011</v>
      </c>
    </row>
    <row r="3304" spans="1:16" x14ac:dyDescent="0.25">
      <c r="A3304" s="10">
        <v>42510</v>
      </c>
      <c r="B3304">
        <v>5927.1952752197431</v>
      </c>
      <c r="C3304">
        <v>1413.6247000000001</v>
      </c>
      <c r="D3304">
        <v>0</v>
      </c>
      <c r="E3304">
        <v>-200</v>
      </c>
      <c r="F3304">
        <v>0</v>
      </c>
      <c r="G3304">
        <v>-150.14426479000011</v>
      </c>
      <c r="H3304">
        <v>4964.654507170002</v>
      </c>
      <c r="I3304">
        <v>0</v>
      </c>
      <c r="J3304">
        <v>0</v>
      </c>
      <c r="K3304">
        <v>25.9061263</v>
      </c>
      <c r="L3304">
        <v>52.200000000000053</v>
      </c>
      <c r="M3304">
        <v>0</v>
      </c>
      <c r="N3304">
        <v>0</v>
      </c>
      <c r="O3304">
        <v>-179.04579346025929</v>
      </c>
      <c r="P3304">
        <v>582521.09346165985</v>
      </c>
    </row>
    <row r="3305" spans="1:16" x14ac:dyDescent="0.25">
      <c r="A3305" s="10">
        <v>42513</v>
      </c>
      <c r="B3305">
        <v>-1738.119403689984</v>
      </c>
      <c r="C3305">
        <v>3735.9701599999999</v>
      </c>
      <c r="D3305">
        <v>0</v>
      </c>
      <c r="E3305">
        <v>0</v>
      </c>
      <c r="F3305">
        <v>0</v>
      </c>
      <c r="G3305">
        <v>298.04308692999979</v>
      </c>
      <c r="H3305">
        <v>-425.56116253000067</v>
      </c>
      <c r="I3305">
        <v>0</v>
      </c>
      <c r="J3305">
        <v>0</v>
      </c>
      <c r="K3305">
        <v>71.085008800000026</v>
      </c>
      <c r="L3305">
        <v>-5063.7</v>
      </c>
      <c r="M3305">
        <v>0</v>
      </c>
      <c r="N3305">
        <v>0</v>
      </c>
      <c r="O3305">
        <v>-353.95649688998418</v>
      </c>
      <c r="P3305">
        <v>580782.97405796987</v>
      </c>
    </row>
    <row r="3306" spans="1:16" x14ac:dyDescent="0.25">
      <c r="A3306" s="10">
        <v>42514</v>
      </c>
      <c r="B3306">
        <v>-810.02425240003504</v>
      </c>
      <c r="C3306">
        <v>2.9</v>
      </c>
      <c r="D3306">
        <v>6305.5</v>
      </c>
      <c r="E3306">
        <v>0</v>
      </c>
      <c r="F3306">
        <v>0</v>
      </c>
      <c r="G3306">
        <v>-31.514173609998579</v>
      </c>
      <c r="H3306">
        <v>-5762.1223390099995</v>
      </c>
      <c r="I3306">
        <v>0</v>
      </c>
      <c r="J3306">
        <v>0</v>
      </c>
      <c r="K3306">
        <v>23.190886630000001</v>
      </c>
      <c r="L3306">
        <v>-1388.9</v>
      </c>
      <c r="M3306">
        <v>0</v>
      </c>
      <c r="N3306">
        <v>0</v>
      </c>
      <c r="O3306">
        <v>40.921373589962528</v>
      </c>
      <c r="P3306">
        <v>579972.94980556984</v>
      </c>
    </row>
    <row r="3307" spans="1:16" x14ac:dyDescent="0.25">
      <c r="A3307" s="10">
        <v>42516</v>
      </c>
      <c r="B3307">
        <v>-9237.4721688497812</v>
      </c>
      <c r="C3307">
        <v>166.89099999999999</v>
      </c>
      <c r="D3307">
        <v>6310.5</v>
      </c>
      <c r="E3307">
        <v>0</v>
      </c>
      <c r="F3307">
        <v>0</v>
      </c>
      <c r="G3307">
        <v>-253.07771492000029</v>
      </c>
      <c r="H3307">
        <v>-24003.985272220001</v>
      </c>
      <c r="I3307">
        <v>0</v>
      </c>
      <c r="J3307">
        <v>0</v>
      </c>
      <c r="K3307">
        <v>56.551901170000008</v>
      </c>
      <c r="L3307">
        <v>9917.9</v>
      </c>
      <c r="M3307">
        <v>0</v>
      </c>
      <c r="N3307">
        <v>0</v>
      </c>
      <c r="O3307">
        <v>-1432.252082879781</v>
      </c>
      <c r="P3307">
        <v>570735.47763672005</v>
      </c>
    </row>
    <row r="3308" spans="1:16" x14ac:dyDescent="0.25">
      <c r="A3308" s="10">
        <v>42517</v>
      </c>
      <c r="B3308">
        <v>1354.038925200116</v>
      </c>
      <c r="C3308">
        <v>1643.1012499999999</v>
      </c>
      <c r="D3308">
        <v>6339.375</v>
      </c>
      <c r="E3308">
        <v>0</v>
      </c>
      <c r="F3308">
        <v>0</v>
      </c>
      <c r="G3308">
        <v>264.51786469000041</v>
      </c>
      <c r="H3308">
        <v>9169.0196588199979</v>
      </c>
      <c r="I3308">
        <v>0</v>
      </c>
      <c r="J3308">
        <v>0</v>
      </c>
      <c r="K3308">
        <v>45.751582650000003</v>
      </c>
      <c r="L3308">
        <v>-15836.2</v>
      </c>
      <c r="M3308">
        <v>0</v>
      </c>
      <c r="N3308">
        <v>0</v>
      </c>
      <c r="O3308">
        <v>-271.52643095988168</v>
      </c>
      <c r="P3308">
        <v>572089.51656192017</v>
      </c>
    </row>
    <row r="3309" spans="1:16" x14ac:dyDescent="0.25">
      <c r="A3309" s="10">
        <v>42520</v>
      </c>
      <c r="B3309">
        <v>1556.0710359098141</v>
      </c>
      <c r="C3309">
        <v>18</v>
      </c>
      <c r="D3309">
        <v>0</v>
      </c>
      <c r="E3309">
        <v>0</v>
      </c>
      <c r="F3309">
        <v>0</v>
      </c>
      <c r="G3309">
        <v>12.61923601000035</v>
      </c>
      <c r="H3309">
        <v>4121.3005804599961</v>
      </c>
      <c r="I3309">
        <v>0</v>
      </c>
      <c r="J3309">
        <v>0</v>
      </c>
      <c r="K3309">
        <v>119.9504469</v>
      </c>
      <c r="L3309">
        <v>-2628.5</v>
      </c>
      <c r="M3309">
        <v>0</v>
      </c>
      <c r="N3309">
        <v>0</v>
      </c>
      <c r="O3309">
        <v>-87.299227460183189</v>
      </c>
      <c r="P3309">
        <v>573645.58759782999</v>
      </c>
    </row>
    <row r="3310" spans="1:16" x14ac:dyDescent="0.25">
      <c r="A3310" s="10">
        <v>42521</v>
      </c>
      <c r="B3310">
        <v>2510.1902716199411</v>
      </c>
      <c r="C3310">
        <v>12.1</v>
      </c>
      <c r="D3310">
        <v>0</v>
      </c>
      <c r="E3310">
        <v>0</v>
      </c>
      <c r="F3310">
        <v>0</v>
      </c>
      <c r="G3310">
        <v>-220.02035980000011</v>
      </c>
      <c r="H3310">
        <v>6060.2683094700042</v>
      </c>
      <c r="I3310">
        <v>0</v>
      </c>
      <c r="J3310">
        <v>0</v>
      </c>
      <c r="K3310">
        <v>36.8104418</v>
      </c>
      <c r="L3310">
        <v>-3403.1</v>
      </c>
      <c r="M3310">
        <v>0</v>
      </c>
      <c r="N3310">
        <v>0</v>
      </c>
      <c r="O3310">
        <v>24.131880149936389</v>
      </c>
      <c r="P3310">
        <v>576155.77786944993</v>
      </c>
    </row>
    <row r="3311" spans="1:16" x14ac:dyDescent="0.25">
      <c r="A3311" s="10">
        <v>42522</v>
      </c>
      <c r="B3311">
        <v>36136.066642850172</v>
      </c>
      <c r="C3311">
        <v>9</v>
      </c>
      <c r="D3311">
        <v>0</v>
      </c>
      <c r="E3311">
        <v>0</v>
      </c>
      <c r="F3311">
        <v>0</v>
      </c>
      <c r="G3311">
        <v>-108.0685483500001</v>
      </c>
      <c r="H3311">
        <v>31646.121685860009</v>
      </c>
      <c r="I3311">
        <v>0</v>
      </c>
      <c r="J3311">
        <v>0</v>
      </c>
      <c r="K3311">
        <v>32.550568120000001</v>
      </c>
      <c r="L3311">
        <v>3149.8</v>
      </c>
      <c r="M3311">
        <v>0</v>
      </c>
      <c r="N3311">
        <v>0</v>
      </c>
      <c r="O3311">
        <v>1406.6629372201601</v>
      </c>
      <c r="P3311">
        <v>612291.8445123001</v>
      </c>
    </row>
    <row r="3312" spans="1:16" x14ac:dyDescent="0.25">
      <c r="A3312" s="10">
        <v>42523</v>
      </c>
      <c r="B3312">
        <v>-2682.1781463301741</v>
      </c>
      <c r="C3312">
        <v>626.01699999999994</v>
      </c>
      <c r="D3312">
        <v>0</v>
      </c>
      <c r="E3312">
        <v>0</v>
      </c>
      <c r="F3312">
        <v>0</v>
      </c>
      <c r="G3312">
        <v>418.01342591000002</v>
      </c>
      <c r="H3312">
        <v>-3637.1092148900011</v>
      </c>
      <c r="I3312">
        <v>0</v>
      </c>
      <c r="J3312">
        <v>5.1000000000003638</v>
      </c>
      <c r="K3312">
        <v>5.1630586800000007</v>
      </c>
      <c r="L3312">
        <v>-102.4999999999999</v>
      </c>
      <c r="M3312">
        <v>0</v>
      </c>
      <c r="N3312">
        <v>0</v>
      </c>
      <c r="O3312">
        <v>3.1375839698260251</v>
      </c>
      <c r="P3312">
        <v>609609.66636596993</v>
      </c>
    </row>
    <row r="3313" spans="1:16" x14ac:dyDescent="0.25">
      <c r="A3313" s="10">
        <v>42524</v>
      </c>
      <c r="B3313">
        <v>1760.392359419958</v>
      </c>
      <c r="C3313">
        <v>2824.3172</v>
      </c>
      <c r="D3313">
        <v>0</v>
      </c>
      <c r="E3313">
        <v>2700</v>
      </c>
      <c r="F3313">
        <v>0</v>
      </c>
      <c r="G3313">
        <v>-18.25847287000002</v>
      </c>
      <c r="H3313">
        <v>-3300.2370104899978</v>
      </c>
      <c r="I3313">
        <v>0</v>
      </c>
      <c r="J3313">
        <v>0</v>
      </c>
      <c r="K3313">
        <v>7.2721233299999994</v>
      </c>
      <c r="L3313">
        <v>-257.2</v>
      </c>
      <c r="M3313">
        <v>0</v>
      </c>
      <c r="N3313">
        <v>0</v>
      </c>
      <c r="O3313">
        <v>-195.50148055004311</v>
      </c>
      <c r="P3313">
        <v>611370.05872538977</v>
      </c>
    </row>
    <row r="3314" spans="1:16" x14ac:dyDescent="0.25">
      <c r="A3314" s="10">
        <v>42527</v>
      </c>
      <c r="B3314">
        <v>510.55260541010642</v>
      </c>
      <c r="C3314">
        <v>426.35</v>
      </c>
      <c r="D3314">
        <v>0</v>
      </c>
      <c r="E3314">
        <v>0</v>
      </c>
      <c r="F3314">
        <v>0</v>
      </c>
      <c r="G3314">
        <v>-394.28216184999928</v>
      </c>
      <c r="H3314">
        <v>1742.4234918</v>
      </c>
      <c r="I3314">
        <v>0</v>
      </c>
      <c r="J3314">
        <v>0</v>
      </c>
      <c r="K3314">
        <v>34.610078110000003</v>
      </c>
      <c r="L3314">
        <v>-1184.4000000000001</v>
      </c>
      <c r="M3314">
        <v>0</v>
      </c>
      <c r="N3314">
        <v>0</v>
      </c>
      <c r="O3314">
        <v>-114.14880264989419</v>
      </c>
      <c r="P3314">
        <v>611880.61133079987</v>
      </c>
    </row>
    <row r="3315" spans="1:16" x14ac:dyDescent="0.25">
      <c r="A3315" s="10">
        <v>42528</v>
      </c>
      <c r="B3315">
        <v>-2113.97915378993</v>
      </c>
      <c r="C3315">
        <v>0.8</v>
      </c>
      <c r="D3315">
        <v>0</v>
      </c>
      <c r="E3315">
        <v>0</v>
      </c>
      <c r="F3315">
        <v>0</v>
      </c>
      <c r="G3315">
        <v>-41.337375789999953</v>
      </c>
      <c r="H3315">
        <v>2638.8627293300001</v>
      </c>
      <c r="I3315">
        <v>0</v>
      </c>
      <c r="J3315">
        <v>0</v>
      </c>
      <c r="K3315">
        <v>10.0204343</v>
      </c>
      <c r="L3315">
        <v>-4540.1000000000004</v>
      </c>
      <c r="M3315">
        <v>0</v>
      </c>
      <c r="N3315">
        <v>0</v>
      </c>
      <c r="O3315">
        <v>-182.22494162992879</v>
      </c>
      <c r="P3315">
        <v>609766.63217701006</v>
      </c>
    </row>
    <row r="3316" spans="1:16" x14ac:dyDescent="0.25">
      <c r="A3316" s="10">
        <v>42529</v>
      </c>
      <c r="B3316">
        <v>12405.985733639911</v>
      </c>
      <c r="C3316">
        <v>432.84</v>
      </c>
      <c r="D3316">
        <v>0</v>
      </c>
      <c r="E3316">
        <v>0</v>
      </c>
      <c r="F3316">
        <v>0</v>
      </c>
      <c r="G3316">
        <v>-177.78723407999999</v>
      </c>
      <c r="H3316">
        <v>-3920.9144235299991</v>
      </c>
      <c r="I3316">
        <v>0</v>
      </c>
      <c r="J3316">
        <v>-136.89999999999961</v>
      </c>
      <c r="K3316">
        <v>-9.8593578700003626</v>
      </c>
      <c r="L3316">
        <v>16210.1</v>
      </c>
      <c r="M3316">
        <v>0</v>
      </c>
      <c r="N3316">
        <v>0</v>
      </c>
      <c r="O3316">
        <v>8.50674911991009</v>
      </c>
      <c r="P3316">
        <v>622172.61791064998</v>
      </c>
    </row>
    <row r="3317" spans="1:16" x14ac:dyDescent="0.25">
      <c r="A3317" s="10">
        <v>42530</v>
      </c>
      <c r="B3317">
        <v>-1464.36366715026</v>
      </c>
      <c r="C3317">
        <v>134.32499999999999</v>
      </c>
      <c r="D3317">
        <v>0</v>
      </c>
      <c r="E3317">
        <v>0</v>
      </c>
      <c r="F3317">
        <v>0</v>
      </c>
      <c r="G3317">
        <v>68.799000119999974</v>
      </c>
      <c r="H3317">
        <v>609.69275297000058</v>
      </c>
      <c r="I3317">
        <v>0</v>
      </c>
      <c r="J3317">
        <v>0</v>
      </c>
      <c r="K3317">
        <v>11.134566019999999</v>
      </c>
      <c r="L3317">
        <v>-2488.9</v>
      </c>
      <c r="M3317">
        <v>0</v>
      </c>
      <c r="N3317">
        <v>0</v>
      </c>
      <c r="O3317">
        <v>200.58501373974011</v>
      </c>
      <c r="P3317">
        <v>620708.25424349983</v>
      </c>
    </row>
    <row r="3318" spans="1:16" x14ac:dyDescent="0.25">
      <c r="A3318" s="10">
        <v>42531</v>
      </c>
      <c r="B3318">
        <v>1361.874034250503</v>
      </c>
      <c r="C3318">
        <v>163.63999999999999</v>
      </c>
      <c r="D3318">
        <v>0</v>
      </c>
      <c r="E3318">
        <v>5000</v>
      </c>
      <c r="F3318">
        <v>0</v>
      </c>
      <c r="G3318">
        <v>124.84160181999979</v>
      </c>
      <c r="H3318">
        <v>-466.96387072000289</v>
      </c>
      <c r="I3318">
        <v>0</v>
      </c>
      <c r="J3318">
        <v>0</v>
      </c>
      <c r="K3318">
        <v>10.455093740000001</v>
      </c>
      <c r="L3318">
        <v>-3394.3</v>
      </c>
      <c r="M3318">
        <v>0</v>
      </c>
      <c r="N3318">
        <v>0</v>
      </c>
      <c r="O3318">
        <v>-75.798790589493905</v>
      </c>
      <c r="P3318">
        <v>622070.12827775034</v>
      </c>
    </row>
    <row r="3319" spans="1:16" x14ac:dyDescent="0.25">
      <c r="A3319" s="10">
        <v>42534</v>
      </c>
      <c r="B3319">
        <v>-3658.5175134704909</v>
      </c>
      <c r="C3319">
        <v>4.9000000000000004</v>
      </c>
      <c r="D3319">
        <v>0</v>
      </c>
      <c r="E3319">
        <v>0</v>
      </c>
      <c r="F3319">
        <v>0</v>
      </c>
      <c r="G3319">
        <v>-429.48446661000008</v>
      </c>
      <c r="H3319">
        <v>-664.78184232999774</v>
      </c>
      <c r="I3319">
        <v>0</v>
      </c>
      <c r="J3319">
        <v>0</v>
      </c>
      <c r="K3319">
        <v>34.836196539999989</v>
      </c>
      <c r="L3319">
        <v>-1974.6</v>
      </c>
      <c r="M3319">
        <v>0</v>
      </c>
      <c r="N3319">
        <v>0</v>
      </c>
      <c r="O3319">
        <v>-629.3874010704933</v>
      </c>
      <c r="P3319">
        <v>618411.61076427985</v>
      </c>
    </row>
    <row r="3320" spans="1:16" x14ac:dyDescent="0.25">
      <c r="A3320" s="10">
        <v>42535</v>
      </c>
      <c r="B3320">
        <v>-5869.7190372995083</v>
      </c>
      <c r="C3320">
        <v>1284.6959999999999</v>
      </c>
      <c r="D3320">
        <v>0</v>
      </c>
      <c r="E3320">
        <v>0</v>
      </c>
      <c r="F3320">
        <v>0</v>
      </c>
      <c r="G3320">
        <v>6.9303348100000903</v>
      </c>
      <c r="H3320">
        <v>-2656.7818243200022</v>
      </c>
      <c r="I3320">
        <v>0</v>
      </c>
      <c r="J3320">
        <v>0</v>
      </c>
      <c r="K3320">
        <v>11.44502411</v>
      </c>
      <c r="L3320">
        <v>-4363.8</v>
      </c>
      <c r="M3320">
        <v>0</v>
      </c>
      <c r="N3320">
        <v>0</v>
      </c>
      <c r="O3320">
        <v>-152.20857189950689</v>
      </c>
      <c r="P3320">
        <v>612541.89172698022</v>
      </c>
    </row>
    <row r="3321" spans="1:16" x14ac:dyDescent="0.25">
      <c r="A3321" s="10">
        <v>42536</v>
      </c>
      <c r="B3321">
        <v>14002.372970629831</v>
      </c>
      <c r="C3321">
        <v>2437.5805</v>
      </c>
      <c r="D3321">
        <v>0</v>
      </c>
      <c r="E3321">
        <v>0</v>
      </c>
      <c r="F3321">
        <v>0</v>
      </c>
      <c r="G3321">
        <v>-25.29621464000002</v>
      </c>
      <c r="H3321">
        <v>-7638.4125815799962</v>
      </c>
      <c r="I3321">
        <v>0</v>
      </c>
      <c r="J3321">
        <v>0</v>
      </c>
      <c r="K3321">
        <v>10.129208309999999</v>
      </c>
      <c r="L3321">
        <v>18683.900000000001</v>
      </c>
      <c r="M3321">
        <v>0</v>
      </c>
      <c r="N3321">
        <v>0</v>
      </c>
      <c r="O3321">
        <v>534.47205853982598</v>
      </c>
      <c r="P3321">
        <v>626544.26469761017</v>
      </c>
    </row>
    <row r="3322" spans="1:16" x14ac:dyDescent="0.25">
      <c r="A3322" s="10">
        <v>42537</v>
      </c>
      <c r="B3322">
        <v>-12672.72825096035</v>
      </c>
      <c r="C3322">
        <v>1988.7255</v>
      </c>
      <c r="D3322">
        <v>0</v>
      </c>
      <c r="E3322">
        <v>0</v>
      </c>
      <c r="F3322">
        <v>0</v>
      </c>
      <c r="G3322">
        <v>-2831.78052187</v>
      </c>
      <c r="H3322">
        <v>-11211.762895919999</v>
      </c>
      <c r="I3322">
        <v>0</v>
      </c>
      <c r="J3322">
        <v>0</v>
      </c>
      <c r="K3322">
        <v>13.90512405</v>
      </c>
      <c r="L3322">
        <v>-862.9</v>
      </c>
      <c r="M3322">
        <v>0</v>
      </c>
      <c r="N3322">
        <v>0</v>
      </c>
      <c r="O3322">
        <v>231.08454277965251</v>
      </c>
      <c r="P3322">
        <v>613871.53644664981</v>
      </c>
    </row>
    <row r="3323" spans="1:16" x14ac:dyDescent="0.25">
      <c r="A3323" s="10">
        <v>42542</v>
      </c>
      <c r="B3323">
        <v>6772.7489952701117</v>
      </c>
      <c r="C3323">
        <v>0.8</v>
      </c>
      <c r="D3323">
        <v>17931.599999999999</v>
      </c>
      <c r="E3323">
        <v>0</v>
      </c>
      <c r="F3323">
        <v>0</v>
      </c>
      <c r="G3323">
        <v>2868.29764148</v>
      </c>
      <c r="H3323">
        <v>4635.2608963000021</v>
      </c>
      <c r="I3323">
        <v>0</v>
      </c>
      <c r="J3323">
        <v>0</v>
      </c>
      <c r="K3323">
        <v>138.50520954000001</v>
      </c>
      <c r="L3323">
        <v>-18759.900000000001</v>
      </c>
      <c r="M3323">
        <v>0</v>
      </c>
      <c r="N3323">
        <v>0</v>
      </c>
      <c r="O3323">
        <v>-41.814752049888916</v>
      </c>
      <c r="P3323">
        <v>620644.28544191981</v>
      </c>
    </row>
    <row r="3324" spans="1:16" x14ac:dyDescent="0.25">
      <c r="A3324" s="10">
        <v>42543</v>
      </c>
      <c r="B3324">
        <v>21490.7240889204</v>
      </c>
      <c r="C3324">
        <v>9.4</v>
      </c>
      <c r="D3324">
        <v>0</v>
      </c>
      <c r="E3324">
        <v>0</v>
      </c>
      <c r="F3324">
        <v>0</v>
      </c>
      <c r="G3324">
        <v>332.49919828000009</v>
      </c>
      <c r="H3324">
        <v>-10237.5082029</v>
      </c>
      <c r="I3324">
        <v>0</v>
      </c>
      <c r="J3324">
        <v>0</v>
      </c>
      <c r="K3324">
        <v>24.01743029</v>
      </c>
      <c r="L3324">
        <v>31356.7</v>
      </c>
      <c r="M3324">
        <v>0</v>
      </c>
      <c r="N3324">
        <v>0</v>
      </c>
      <c r="O3324">
        <v>5.6156632503960253</v>
      </c>
      <c r="P3324">
        <v>642135.00953084021</v>
      </c>
    </row>
    <row r="3325" spans="1:16" x14ac:dyDescent="0.25">
      <c r="A3325" s="10">
        <v>42544</v>
      </c>
      <c r="B3325">
        <v>-12213.61264916021</v>
      </c>
      <c r="C3325">
        <v>843.13599999999997</v>
      </c>
      <c r="D3325">
        <v>0</v>
      </c>
      <c r="E3325">
        <v>0</v>
      </c>
      <c r="F3325">
        <v>0</v>
      </c>
      <c r="G3325">
        <v>-193.99927212</v>
      </c>
      <c r="H3325">
        <v>-8528.6510407400056</v>
      </c>
      <c r="I3325">
        <v>0</v>
      </c>
      <c r="J3325">
        <v>0</v>
      </c>
      <c r="K3325">
        <v>29.213355409999998</v>
      </c>
      <c r="L3325">
        <v>-5068.7999999999993</v>
      </c>
      <c r="M3325">
        <v>0</v>
      </c>
      <c r="N3325">
        <v>0</v>
      </c>
      <c r="O3325">
        <v>705.48830828979919</v>
      </c>
      <c r="P3325">
        <v>629921.39688168012</v>
      </c>
    </row>
    <row r="3326" spans="1:16" x14ac:dyDescent="0.25">
      <c r="A3326" s="10">
        <v>42545</v>
      </c>
      <c r="B3326">
        <v>-9814.127128910035</v>
      </c>
      <c r="C3326">
        <v>18.900000000000091</v>
      </c>
      <c r="D3326">
        <v>0</v>
      </c>
      <c r="E3326">
        <v>0</v>
      </c>
      <c r="F3326">
        <v>0</v>
      </c>
      <c r="G3326">
        <v>14.71553752</v>
      </c>
      <c r="H3326">
        <v>-6113.7448042899923</v>
      </c>
      <c r="I3326">
        <v>0</v>
      </c>
      <c r="J3326">
        <v>0</v>
      </c>
      <c r="K3326">
        <v>33.471942589999998</v>
      </c>
      <c r="L3326">
        <v>-3945.8</v>
      </c>
      <c r="M3326">
        <v>0</v>
      </c>
      <c r="N3326">
        <v>0</v>
      </c>
      <c r="O3326">
        <v>178.33019526995591</v>
      </c>
      <c r="P3326">
        <v>620107.26975276996</v>
      </c>
    </row>
    <row r="3327" spans="1:16" x14ac:dyDescent="0.25">
      <c r="A3327" s="10">
        <v>42548</v>
      </c>
      <c r="B3327">
        <v>-5676.3343359702321</v>
      </c>
      <c r="C3327">
        <v>-5.2934000000000196</v>
      </c>
      <c r="D3327">
        <v>0</v>
      </c>
      <c r="E3327">
        <v>0</v>
      </c>
      <c r="F3327">
        <v>0</v>
      </c>
      <c r="G3327">
        <v>-4.9010000000000096</v>
      </c>
      <c r="H3327">
        <v>-5770.5338497500052</v>
      </c>
      <c r="I3327">
        <v>0</v>
      </c>
      <c r="J3327">
        <v>0</v>
      </c>
      <c r="K3327">
        <v>103.5631413600001</v>
      </c>
      <c r="L3327">
        <v>-1178.5</v>
      </c>
      <c r="M3327">
        <v>0</v>
      </c>
      <c r="N3327">
        <v>0</v>
      </c>
      <c r="O3327">
        <v>1179.330772419773</v>
      </c>
      <c r="P3327">
        <v>614430.93541679985</v>
      </c>
    </row>
    <row r="3328" spans="1:16" x14ac:dyDescent="0.25">
      <c r="A3328" s="10">
        <v>42549</v>
      </c>
      <c r="B3328">
        <v>-2996.0795443198872</v>
      </c>
      <c r="C3328">
        <v>495.6</v>
      </c>
      <c r="D3328">
        <v>0</v>
      </c>
      <c r="E3328">
        <v>0</v>
      </c>
      <c r="F3328">
        <v>0</v>
      </c>
      <c r="G3328">
        <v>122.76994852</v>
      </c>
      <c r="H3328">
        <v>4875.5342065400037</v>
      </c>
      <c r="I3328">
        <v>0</v>
      </c>
      <c r="J3328">
        <v>0</v>
      </c>
      <c r="K3328">
        <v>39.058817559999987</v>
      </c>
      <c r="L3328">
        <v>-8953.7999999999993</v>
      </c>
      <c r="M3328">
        <v>0</v>
      </c>
      <c r="N3328">
        <v>0</v>
      </c>
      <c r="O3328">
        <v>424.75748306010962</v>
      </c>
      <c r="P3328">
        <v>611434.85587247997</v>
      </c>
    </row>
    <row r="3329" spans="1:16" x14ac:dyDescent="0.25">
      <c r="A3329" s="10">
        <v>42550</v>
      </c>
      <c r="B3329">
        <v>12615.628770269919</v>
      </c>
      <c r="C3329">
        <v>45.7</v>
      </c>
      <c r="D3329">
        <v>0</v>
      </c>
      <c r="E3329">
        <v>0</v>
      </c>
      <c r="F3329">
        <v>0</v>
      </c>
      <c r="G3329">
        <v>-41.988414999999797</v>
      </c>
      <c r="H3329">
        <v>-18103.898198880011</v>
      </c>
      <c r="I3329">
        <v>0</v>
      </c>
      <c r="J3329">
        <v>0</v>
      </c>
      <c r="K3329">
        <v>43.673886309999993</v>
      </c>
      <c r="L3329">
        <v>31474.6</v>
      </c>
      <c r="M3329">
        <v>0</v>
      </c>
      <c r="N3329">
        <v>0</v>
      </c>
      <c r="O3329">
        <v>-802.45850216007966</v>
      </c>
      <c r="P3329">
        <v>624050.48464274977</v>
      </c>
    </row>
    <row r="3330" spans="1:16" x14ac:dyDescent="0.25">
      <c r="A3330" s="10">
        <v>42551</v>
      </c>
      <c r="B3330">
        <v>7180.9501485503324</v>
      </c>
      <c r="C3330">
        <v>-7925.8199000000004</v>
      </c>
      <c r="D3330">
        <v>0</v>
      </c>
      <c r="E3330">
        <v>0</v>
      </c>
      <c r="F3330">
        <v>15000</v>
      </c>
      <c r="G3330">
        <v>-1121.2469285699999</v>
      </c>
      <c r="H3330">
        <v>9274.0929071899882</v>
      </c>
      <c r="I3330">
        <v>0</v>
      </c>
      <c r="J3330">
        <v>0</v>
      </c>
      <c r="K3330">
        <v>60.124522420000012</v>
      </c>
      <c r="L3330">
        <v>-8455</v>
      </c>
      <c r="M3330">
        <v>0</v>
      </c>
      <c r="N3330">
        <v>0</v>
      </c>
      <c r="O3330">
        <v>348.79954751034381</v>
      </c>
      <c r="P3330">
        <v>631231.4347913001</v>
      </c>
    </row>
    <row r="3331" spans="1:16" x14ac:dyDescent="0.25">
      <c r="A3331" s="10">
        <v>42552</v>
      </c>
      <c r="B3331">
        <v>56287.655226360082</v>
      </c>
      <c r="C3331">
        <v>22.3</v>
      </c>
      <c r="D3331">
        <v>0</v>
      </c>
      <c r="E3331">
        <v>4500</v>
      </c>
      <c r="F3331">
        <v>0</v>
      </c>
      <c r="G3331">
        <v>209.12734767999979</v>
      </c>
      <c r="H3331">
        <v>52611.494211190002</v>
      </c>
      <c r="I3331">
        <v>0</v>
      </c>
      <c r="J3331">
        <v>0</v>
      </c>
      <c r="K3331">
        <v>67.617069659999999</v>
      </c>
      <c r="L3331">
        <v>-1216.7</v>
      </c>
      <c r="M3331">
        <v>0</v>
      </c>
      <c r="N3331">
        <v>0</v>
      </c>
      <c r="O3331">
        <v>93.816597830067622</v>
      </c>
      <c r="P3331">
        <v>687519.09001766017</v>
      </c>
    </row>
    <row r="3332" spans="1:16" x14ac:dyDescent="0.25">
      <c r="A3332" s="10">
        <v>42555</v>
      </c>
      <c r="B3332">
        <v>-4899.6096865304289</v>
      </c>
      <c r="C3332">
        <v>36.799999999999997</v>
      </c>
      <c r="D3332">
        <v>0</v>
      </c>
      <c r="E3332">
        <v>0</v>
      </c>
      <c r="F3332">
        <v>0</v>
      </c>
      <c r="G3332">
        <v>-335.30172649999997</v>
      </c>
      <c r="H3332">
        <v>-1639.1705714999989</v>
      </c>
      <c r="I3332">
        <v>0</v>
      </c>
      <c r="J3332">
        <v>0</v>
      </c>
      <c r="K3332">
        <v>13.70332558</v>
      </c>
      <c r="L3332">
        <v>-3135.2</v>
      </c>
      <c r="M3332">
        <v>0</v>
      </c>
      <c r="N3332">
        <v>0</v>
      </c>
      <c r="O3332">
        <v>159.55928588956979</v>
      </c>
      <c r="P3332">
        <v>682619.48033112986</v>
      </c>
    </row>
    <row r="3333" spans="1:16" x14ac:dyDescent="0.25">
      <c r="A3333" s="10">
        <v>42556</v>
      </c>
      <c r="B3333">
        <v>-16051.45992857975</v>
      </c>
      <c r="C3333">
        <v>22.9</v>
      </c>
      <c r="D3333">
        <v>0</v>
      </c>
      <c r="E3333">
        <v>0</v>
      </c>
      <c r="F3333">
        <v>0</v>
      </c>
      <c r="G3333">
        <v>47.389403100000038</v>
      </c>
      <c r="H3333">
        <v>-1257.0952346500051</v>
      </c>
      <c r="I3333">
        <v>0</v>
      </c>
      <c r="J3333">
        <v>0</v>
      </c>
      <c r="K3333">
        <v>8.2842611900000023</v>
      </c>
      <c r="L3333">
        <v>-14913.6</v>
      </c>
      <c r="M3333">
        <v>0</v>
      </c>
      <c r="N3333">
        <v>0</v>
      </c>
      <c r="O3333">
        <v>40.661641780258648</v>
      </c>
      <c r="P3333">
        <v>666568.02040255012</v>
      </c>
    </row>
    <row r="3334" spans="1:16" x14ac:dyDescent="0.25">
      <c r="A3334" s="10">
        <v>42557</v>
      </c>
      <c r="B3334">
        <v>13366.441683869691</v>
      </c>
      <c r="C3334">
        <v>41</v>
      </c>
      <c r="D3334">
        <v>22528.1</v>
      </c>
      <c r="E3334">
        <v>0</v>
      </c>
      <c r="F3334">
        <v>0</v>
      </c>
      <c r="G3334">
        <v>-333.62779276999942</v>
      </c>
      <c r="H3334">
        <v>-13418.52936248</v>
      </c>
      <c r="I3334">
        <v>0</v>
      </c>
      <c r="J3334">
        <v>0</v>
      </c>
      <c r="K3334">
        <v>16.44527283</v>
      </c>
      <c r="L3334">
        <v>4095.7</v>
      </c>
      <c r="M3334">
        <v>0</v>
      </c>
      <c r="N3334">
        <v>0</v>
      </c>
      <c r="O3334">
        <v>437.35356628968663</v>
      </c>
      <c r="P3334">
        <v>679934.46208641981</v>
      </c>
    </row>
    <row r="3335" spans="1:16" x14ac:dyDescent="0.25">
      <c r="A3335" s="10">
        <v>42558</v>
      </c>
      <c r="B3335">
        <v>3217.5624207501542</v>
      </c>
      <c r="C3335">
        <v>1186.4000000000001</v>
      </c>
      <c r="D3335">
        <v>0</v>
      </c>
      <c r="E3335">
        <v>0</v>
      </c>
      <c r="F3335">
        <v>0</v>
      </c>
      <c r="G3335">
        <v>-38.792350760000083</v>
      </c>
      <c r="H3335">
        <v>3220.6990469299999</v>
      </c>
      <c r="I3335">
        <v>0</v>
      </c>
      <c r="J3335">
        <v>0</v>
      </c>
      <c r="K3335">
        <v>19.47401915</v>
      </c>
      <c r="L3335">
        <v>-1021.6</v>
      </c>
      <c r="M3335">
        <v>0</v>
      </c>
      <c r="N3335">
        <v>0</v>
      </c>
      <c r="O3335">
        <v>-148.6182945698454</v>
      </c>
      <c r="P3335">
        <v>683152.02450716984</v>
      </c>
    </row>
    <row r="3336" spans="1:16" x14ac:dyDescent="0.25">
      <c r="A3336" s="10">
        <v>42562</v>
      </c>
      <c r="B3336">
        <v>-1921.179568039953</v>
      </c>
      <c r="C3336">
        <v>482.64299999999997</v>
      </c>
      <c r="D3336">
        <v>0</v>
      </c>
      <c r="E3336">
        <v>0</v>
      </c>
      <c r="F3336">
        <v>0</v>
      </c>
      <c r="G3336">
        <v>80.115262900000062</v>
      </c>
      <c r="H3336">
        <v>1339.729386179999</v>
      </c>
      <c r="I3336">
        <v>0</v>
      </c>
      <c r="J3336">
        <v>-130.39999999999961</v>
      </c>
      <c r="K3336">
        <v>54.514609180000008</v>
      </c>
      <c r="L3336">
        <v>-3708.2</v>
      </c>
      <c r="M3336">
        <v>0</v>
      </c>
      <c r="N3336">
        <v>0</v>
      </c>
      <c r="O3336">
        <v>-39.581826299953043</v>
      </c>
      <c r="P3336">
        <v>681230.84493912989</v>
      </c>
    </row>
    <row r="3337" spans="1:16" x14ac:dyDescent="0.25">
      <c r="A3337" s="10">
        <v>42563</v>
      </c>
      <c r="B3337">
        <v>-8429.9207264597098</v>
      </c>
      <c r="C3337">
        <v>3148.0250000000001</v>
      </c>
      <c r="D3337">
        <v>0</v>
      </c>
      <c r="E3337">
        <v>0</v>
      </c>
      <c r="F3337">
        <v>0</v>
      </c>
      <c r="G3337">
        <v>-1916.681612339999</v>
      </c>
      <c r="H3337">
        <v>-3190.2440123299971</v>
      </c>
      <c r="I3337">
        <v>0</v>
      </c>
      <c r="J3337">
        <v>0</v>
      </c>
      <c r="K3337">
        <v>17.116362559999999</v>
      </c>
      <c r="L3337">
        <v>-6994.7</v>
      </c>
      <c r="M3337">
        <v>0</v>
      </c>
      <c r="N3337">
        <v>0</v>
      </c>
      <c r="O3337">
        <v>506.56353565028661</v>
      </c>
      <c r="P3337">
        <v>672800.92421267019</v>
      </c>
    </row>
    <row r="3338" spans="1:16" x14ac:dyDescent="0.25">
      <c r="A3338" s="10">
        <v>42564</v>
      </c>
      <c r="B3338">
        <v>4519.7437396695614</v>
      </c>
      <c r="C3338">
        <v>1829.1</v>
      </c>
      <c r="D3338">
        <v>0</v>
      </c>
      <c r="E3338">
        <v>0</v>
      </c>
      <c r="F3338">
        <v>0</v>
      </c>
      <c r="G3338">
        <v>206.05310214000011</v>
      </c>
      <c r="H3338">
        <v>-1182.91460222</v>
      </c>
      <c r="I3338">
        <v>0</v>
      </c>
      <c r="J3338">
        <v>0</v>
      </c>
      <c r="K3338">
        <v>17.571898059999999</v>
      </c>
      <c r="L3338">
        <v>2510.8000000000002</v>
      </c>
      <c r="M3338">
        <v>0</v>
      </c>
      <c r="N3338">
        <v>0</v>
      </c>
      <c r="O3338">
        <v>1139.1333416895609</v>
      </c>
      <c r="P3338">
        <v>677320.66795233975</v>
      </c>
    </row>
    <row r="3339" spans="1:16" x14ac:dyDescent="0.25">
      <c r="A3339" s="10">
        <v>42565</v>
      </c>
      <c r="B3339">
        <v>2291.9463744700188</v>
      </c>
      <c r="C3339">
        <v>1697.51</v>
      </c>
      <c r="D3339">
        <v>0</v>
      </c>
      <c r="E3339">
        <v>0</v>
      </c>
      <c r="F3339">
        <v>0</v>
      </c>
      <c r="G3339">
        <v>-157.85086505000001</v>
      </c>
      <c r="H3339">
        <v>1854.4692833599979</v>
      </c>
      <c r="I3339">
        <v>0</v>
      </c>
      <c r="J3339">
        <v>0</v>
      </c>
      <c r="K3339">
        <v>19.14754885</v>
      </c>
      <c r="L3339">
        <v>-1167.2</v>
      </c>
      <c r="M3339">
        <v>0</v>
      </c>
      <c r="N3339">
        <v>0</v>
      </c>
      <c r="O3339">
        <v>45.870407310020887</v>
      </c>
      <c r="P3339">
        <v>679612.61432680988</v>
      </c>
    </row>
    <row r="3340" spans="1:16" x14ac:dyDescent="0.25">
      <c r="A3340" s="10">
        <v>42566</v>
      </c>
      <c r="B3340">
        <v>-9940.2876262299269</v>
      </c>
      <c r="C3340">
        <v>1853.5</v>
      </c>
      <c r="D3340">
        <v>0</v>
      </c>
      <c r="E3340">
        <v>0</v>
      </c>
      <c r="F3340">
        <v>0</v>
      </c>
      <c r="G3340">
        <v>-10.73491650999995</v>
      </c>
      <c r="H3340">
        <v>-10227.852387790001</v>
      </c>
      <c r="I3340">
        <v>0</v>
      </c>
      <c r="J3340">
        <v>0</v>
      </c>
      <c r="K3340">
        <v>18.317459759999998</v>
      </c>
      <c r="L3340">
        <v>-1521.9</v>
      </c>
      <c r="M3340">
        <v>0</v>
      </c>
      <c r="N3340">
        <v>0</v>
      </c>
      <c r="O3340">
        <v>-51.617781689925323</v>
      </c>
      <c r="P3340">
        <v>669672.32670057984</v>
      </c>
    </row>
    <row r="3341" spans="1:16" x14ac:dyDescent="0.25">
      <c r="A3341" s="10">
        <v>42569</v>
      </c>
      <c r="B3341">
        <v>-4858.0487538897451</v>
      </c>
      <c r="C3341">
        <v>13.2</v>
      </c>
      <c r="D3341">
        <v>0</v>
      </c>
      <c r="E3341">
        <v>0</v>
      </c>
      <c r="F3341">
        <v>0</v>
      </c>
      <c r="G3341">
        <v>-208.07104175999939</v>
      </c>
      <c r="H3341">
        <v>-2728.1201248999928</v>
      </c>
      <c r="I3341">
        <v>0</v>
      </c>
      <c r="J3341">
        <v>0</v>
      </c>
      <c r="K3341">
        <v>72.603767480000016</v>
      </c>
      <c r="L3341">
        <v>-1991.1</v>
      </c>
      <c r="M3341">
        <v>0</v>
      </c>
      <c r="N3341">
        <v>0</v>
      </c>
      <c r="O3341">
        <v>-16.56135470975314</v>
      </c>
      <c r="P3341">
        <v>664814.2779466901</v>
      </c>
    </row>
    <row r="3342" spans="1:16" x14ac:dyDescent="0.25">
      <c r="A3342" s="10">
        <v>42570</v>
      </c>
      <c r="B3342">
        <v>-4239.2333321603974</v>
      </c>
      <c r="C3342">
        <v>12</v>
      </c>
      <c r="D3342">
        <v>0</v>
      </c>
      <c r="E3342">
        <v>0</v>
      </c>
      <c r="F3342">
        <v>0</v>
      </c>
      <c r="G3342">
        <v>-130.26457757</v>
      </c>
      <c r="H3342">
        <v>-1917.0333530600039</v>
      </c>
      <c r="I3342">
        <v>0</v>
      </c>
      <c r="J3342">
        <v>0</v>
      </c>
      <c r="K3342">
        <v>26.3</v>
      </c>
      <c r="L3342">
        <v>-2213.6</v>
      </c>
      <c r="M3342">
        <v>0</v>
      </c>
      <c r="N3342">
        <v>0</v>
      </c>
      <c r="O3342">
        <v>-16.635401530393761</v>
      </c>
      <c r="P3342">
        <v>660575.04461452982</v>
      </c>
    </row>
    <row r="3343" spans="1:16" x14ac:dyDescent="0.25">
      <c r="A3343" s="10">
        <v>42571</v>
      </c>
      <c r="B3343">
        <v>-368.41656636982083</v>
      </c>
      <c r="C3343">
        <v>19.2</v>
      </c>
      <c r="D3343">
        <v>0</v>
      </c>
      <c r="E3343">
        <v>0</v>
      </c>
      <c r="F3343">
        <v>0</v>
      </c>
      <c r="G3343">
        <v>566.35435268999981</v>
      </c>
      <c r="H3343">
        <v>4005.7570435899979</v>
      </c>
      <c r="I3343">
        <v>0</v>
      </c>
      <c r="J3343">
        <v>0</v>
      </c>
      <c r="K3343">
        <v>27.57532831</v>
      </c>
      <c r="L3343">
        <v>-4859.8</v>
      </c>
      <c r="M3343">
        <v>0</v>
      </c>
      <c r="N3343">
        <v>0</v>
      </c>
      <c r="O3343">
        <v>-127.5032909598189</v>
      </c>
      <c r="P3343">
        <v>660206.62804815988</v>
      </c>
    </row>
    <row r="3344" spans="1:16" x14ac:dyDescent="0.25">
      <c r="A3344" s="10">
        <v>42572</v>
      </c>
      <c r="B3344">
        <v>-1202.9517771799549</v>
      </c>
      <c r="C3344">
        <v>30.7</v>
      </c>
      <c r="D3344">
        <v>0</v>
      </c>
      <c r="E3344">
        <v>0</v>
      </c>
      <c r="F3344">
        <v>0</v>
      </c>
      <c r="G3344">
        <v>28.019628869999909</v>
      </c>
      <c r="H3344">
        <v>161.34777866001241</v>
      </c>
      <c r="I3344">
        <v>0</v>
      </c>
      <c r="J3344">
        <v>0</v>
      </c>
      <c r="K3344">
        <v>25.475508510000001</v>
      </c>
      <c r="L3344">
        <v>-1381.7</v>
      </c>
      <c r="M3344">
        <v>0</v>
      </c>
      <c r="N3344">
        <v>0</v>
      </c>
      <c r="O3344">
        <v>-66.7946932199673</v>
      </c>
      <c r="P3344">
        <v>659003.67627098004</v>
      </c>
    </row>
    <row r="3345" spans="1:16" x14ac:dyDescent="0.25">
      <c r="A3345" s="10">
        <v>42573</v>
      </c>
      <c r="B3345">
        <v>-577.06462813983933</v>
      </c>
      <c r="C3345">
        <v>10.7</v>
      </c>
      <c r="D3345">
        <v>0</v>
      </c>
      <c r="E3345">
        <v>0</v>
      </c>
      <c r="F3345">
        <v>0</v>
      </c>
      <c r="G3345">
        <v>80.109580970000025</v>
      </c>
      <c r="H3345">
        <v>-112.3608862500114</v>
      </c>
      <c r="I3345">
        <v>0</v>
      </c>
      <c r="J3345">
        <v>0</v>
      </c>
      <c r="K3345">
        <v>24.219573539999999</v>
      </c>
      <c r="L3345">
        <v>-486.9</v>
      </c>
      <c r="M3345">
        <v>0</v>
      </c>
      <c r="N3345">
        <v>0</v>
      </c>
      <c r="O3345">
        <v>-92.832896399828016</v>
      </c>
      <c r="P3345">
        <v>658426.6116428402</v>
      </c>
    </row>
    <row r="3346" spans="1:16" x14ac:dyDescent="0.25">
      <c r="A3346" s="10">
        <v>42576</v>
      </c>
      <c r="B3346">
        <v>2399.5337485999339</v>
      </c>
      <c r="C3346">
        <v>11.1</v>
      </c>
      <c r="D3346">
        <v>0</v>
      </c>
      <c r="E3346">
        <v>0</v>
      </c>
      <c r="F3346">
        <v>0</v>
      </c>
      <c r="G3346">
        <v>-73.214442560000009</v>
      </c>
      <c r="H3346">
        <v>3877.5971580600021</v>
      </c>
      <c r="I3346">
        <v>0</v>
      </c>
      <c r="J3346">
        <v>0</v>
      </c>
      <c r="K3346">
        <v>78.775112629999995</v>
      </c>
      <c r="L3346">
        <v>-1546.7</v>
      </c>
      <c r="M3346">
        <v>0</v>
      </c>
      <c r="N3346">
        <v>0</v>
      </c>
      <c r="O3346">
        <v>51.975920469932767</v>
      </c>
      <c r="P3346">
        <v>660826.14539144014</v>
      </c>
    </row>
    <row r="3347" spans="1:16" x14ac:dyDescent="0.25">
      <c r="A3347" s="10">
        <v>42577</v>
      </c>
      <c r="B3347">
        <v>8018.1976323800609</v>
      </c>
      <c r="C3347">
        <v>5.9</v>
      </c>
      <c r="D3347">
        <v>0</v>
      </c>
      <c r="E3347">
        <v>0</v>
      </c>
      <c r="F3347">
        <v>0</v>
      </c>
      <c r="G3347">
        <v>53.43470037000003</v>
      </c>
      <c r="H3347">
        <v>8040.8227598400044</v>
      </c>
      <c r="I3347">
        <v>0</v>
      </c>
      <c r="J3347">
        <v>0</v>
      </c>
      <c r="K3347">
        <v>23.71185921</v>
      </c>
      <c r="L3347">
        <v>-210.8</v>
      </c>
      <c r="M3347">
        <v>0</v>
      </c>
      <c r="N3347">
        <v>0</v>
      </c>
      <c r="O3347">
        <v>105.1283129600566</v>
      </c>
      <c r="P3347">
        <v>668844.34302382008</v>
      </c>
    </row>
    <row r="3348" spans="1:16" x14ac:dyDescent="0.25">
      <c r="A3348" s="10">
        <v>42578</v>
      </c>
      <c r="B3348">
        <v>587.9795923298251</v>
      </c>
      <c r="C3348">
        <v>8.6</v>
      </c>
      <c r="D3348">
        <v>0</v>
      </c>
      <c r="E3348">
        <v>0</v>
      </c>
      <c r="F3348">
        <v>0</v>
      </c>
      <c r="G3348">
        <v>95.335005229999979</v>
      </c>
      <c r="H3348">
        <v>-3362.2678849599979</v>
      </c>
      <c r="I3348">
        <v>0</v>
      </c>
      <c r="J3348">
        <v>0</v>
      </c>
      <c r="K3348">
        <v>18.014601070000001</v>
      </c>
      <c r="L3348">
        <v>3967.3</v>
      </c>
      <c r="M3348">
        <v>0</v>
      </c>
      <c r="N3348">
        <v>0</v>
      </c>
      <c r="O3348">
        <v>-139.0021290101773</v>
      </c>
      <c r="P3348">
        <v>669432.32261615002</v>
      </c>
    </row>
    <row r="3349" spans="1:16" x14ac:dyDescent="0.25">
      <c r="A3349" s="10">
        <v>42579</v>
      </c>
      <c r="B3349">
        <v>-727.829168709692</v>
      </c>
      <c r="C3349">
        <v>12.1</v>
      </c>
      <c r="D3349">
        <v>0</v>
      </c>
      <c r="E3349">
        <v>0</v>
      </c>
      <c r="F3349">
        <v>0</v>
      </c>
      <c r="G3349">
        <v>-85.992519909999999</v>
      </c>
      <c r="H3349">
        <v>-782.91620636999869</v>
      </c>
      <c r="I3349">
        <v>0</v>
      </c>
      <c r="J3349">
        <v>0</v>
      </c>
      <c r="K3349">
        <v>19.38585724</v>
      </c>
      <c r="L3349">
        <v>37.300000000000011</v>
      </c>
      <c r="M3349">
        <v>0</v>
      </c>
      <c r="N3349">
        <v>0</v>
      </c>
      <c r="O3349">
        <v>72.293700330306734</v>
      </c>
      <c r="P3349">
        <v>668704.49344744021</v>
      </c>
    </row>
    <row r="3350" spans="1:16" x14ac:dyDescent="0.25">
      <c r="A3350" s="10">
        <v>42580</v>
      </c>
      <c r="B3350">
        <v>-7574.6911663003257</v>
      </c>
      <c r="C3350">
        <v>9.4</v>
      </c>
      <c r="D3350">
        <v>6011</v>
      </c>
      <c r="E3350">
        <v>0</v>
      </c>
      <c r="F3350">
        <v>0</v>
      </c>
      <c r="G3350">
        <v>31.69080652999946</v>
      </c>
      <c r="H3350">
        <v>-11461.4493951</v>
      </c>
      <c r="I3350">
        <v>0</v>
      </c>
      <c r="J3350">
        <v>0</v>
      </c>
      <c r="K3350">
        <v>20.373263059999999</v>
      </c>
      <c r="L3350">
        <v>-2124.9</v>
      </c>
      <c r="M3350">
        <v>0</v>
      </c>
      <c r="N3350">
        <v>0</v>
      </c>
      <c r="O3350">
        <v>-60.805840790327423</v>
      </c>
      <c r="P3350">
        <v>661129.80228114</v>
      </c>
    </row>
    <row r="3351" spans="1:16" x14ac:dyDescent="0.25">
      <c r="A3351" s="10">
        <v>42583</v>
      </c>
      <c r="B3351">
        <v>26707.09601429023</v>
      </c>
      <c r="C3351">
        <v>12.5</v>
      </c>
      <c r="D3351">
        <v>0</v>
      </c>
      <c r="E3351">
        <v>0</v>
      </c>
      <c r="F3351">
        <v>0</v>
      </c>
      <c r="G3351">
        <v>-258.78552747999993</v>
      </c>
      <c r="H3351">
        <v>27517.877128399999</v>
      </c>
      <c r="I3351">
        <v>0</v>
      </c>
      <c r="J3351">
        <v>0</v>
      </c>
      <c r="K3351">
        <v>85.636505299999996</v>
      </c>
      <c r="L3351">
        <v>-620.29999999999995</v>
      </c>
      <c r="M3351">
        <v>0</v>
      </c>
      <c r="N3351">
        <v>0</v>
      </c>
      <c r="O3351">
        <v>-29.832081929771089</v>
      </c>
      <c r="P3351">
        <v>687836.89829543012</v>
      </c>
    </row>
    <row r="3352" spans="1:16" x14ac:dyDescent="0.25">
      <c r="A3352" s="10">
        <v>42584</v>
      </c>
      <c r="B3352">
        <v>-3998.7578574902159</v>
      </c>
      <c r="C3352">
        <v>10.8</v>
      </c>
      <c r="D3352">
        <v>5994.3</v>
      </c>
      <c r="E3352">
        <v>0</v>
      </c>
      <c r="F3352">
        <v>0</v>
      </c>
      <c r="G3352">
        <v>240.0662116200001</v>
      </c>
      <c r="H3352">
        <v>-6623.3982833299997</v>
      </c>
      <c r="I3352">
        <v>0</v>
      </c>
      <c r="J3352">
        <v>0</v>
      </c>
      <c r="K3352">
        <v>8.9201102999999993</v>
      </c>
      <c r="L3352">
        <v>-3620.9</v>
      </c>
      <c r="M3352">
        <v>0</v>
      </c>
      <c r="N3352">
        <v>0</v>
      </c>
      <c r="O3352">
        <v>-8.5458960802164263</v>
      </c>
      <c r="P3352">
        <v>683838.1404379399</v>
      </c>
    </row>
    <row r="3353" spans="1:16" x14ac:dyDescent="0.25">
      <c r="A3353" s="10">
        <v>42585</v>
      </c>
      <c r="B3353">
        <v>-12269.22203455982</v>
      </c>
      <c r="C3353">
        <v>13.3</v>
      </c>
      <c r="D3353">
        <v>0</v>
      </c>
      <c r="E3353">
        <v>0</v>
      </c>
      <c r="F3353">
        <v>0</v>
      </c>
      <c r="G3353">
        <v>67.369997170000033</v>
      </c>
      <c r="H3353">
        <v>1388.1909579600001</v>
      </c>
      <c r="I3353">
        <v>0</v>
      </c>
      <c r="J3353">
        <v>0</v>
      </c>
      <c r="K3353">
        <v>13.290093430000001</v>
      </c>
      <c r="L3353">
        <v>-13651.5</v>
      </c>
      <c r="M3353">
        <v>0</v>
      </c>
      <c r="N3353">
        <v>0</v>
      </c>
      <c r="O3353">
        <v>-99.873083119819782</v>
      </c>
      <c r="P3353">
        <v>671568.91840338008</v>
      </c>
    </row>
    <row r="3354" spans="1:16" x14ac:dyDescent="0.25">
      <c r="A3354" s="10">
        <v>42586</v>
      </c>
      <c r="B3354">
        <v>1860.098368169974</v>
      </c>
      <c r="C3354">
        <v>6.4</v>
      </c>
      <c r="D3354">
        <v>0</v>
      </c>
      <c r="E3354">
        <v>0</v>
      </c>
      <c r="F3354">
        <v>0</v>
      </c>
      <c r="G3354">
        <v>-344.29028015</v>
      </c>
      <c r="H3354">
        <v>2160.0429679699992</v>
      </c>
      <c r="I3354">
        <v>0</v>
      </c>
      <c r="J3354">
        <v>0</v>
      </c>
      <c r="K3354">
        <v>12.66485898</v>
      </c>
      <c r="L3354">
        <v>0</v>
      </c>
      <c r="M3354">
        <v>0</v>
      </c>
      <c r="N3354">
        <v>0</v>
      </c>
      <c r="O3354">
        <v>25.2808213699745</v>
      </c>
      <c r="P3354">
        <v>673429.01677155006</v>
      </c>
    </row>
    <row r="3355" spans="1:16" x14ac:dyDescent="0.25">
      <c r="A3355" s="10">
        <v>42587</v>
      </c>
      <c r="B3355">
        <v>1056.8183181097279</v>
      </c>
      <c r="C3355">
        <v>13.6</v>
      </c>
      <c r="D3355">
        <v>0</v>
      </c>
      <c r="E3355">
        <v>0</v>
      </c>
      <c r="F3355">
        <v>0</v>
      </c>
      <c r="G3355">
        <v>182.54008394999991</v>
      </c>
      <c r="H3355">
        <v>921.21666004000144</v>
      </c>
      <c r="I3355">
        <v>0</v>
      </c>
      <c r="J3355">
        <v>0</v>
      </c>
      <c r="K3355">
        <v>11.105597100000001</v>
      </c>
      <c r="L3355">
        <v>-5</v>
      </c>
      <c r="M3355">
        <v>0</v>
      </c>
      <c r="N3355">
        <v>0</v>
      </c>
      <c r="O3355">
        <v>-66.644022980273547</v>
      </c>
      <c r="P3355">
        <v>674485.8350896599</v>
      </c>
    </row>
    <row r="3356" spans="1:16" x14ac:dyDescent="0.25">
      <c r="A3356" s="10">
        <v>42590</v>
      </c>
      <c r="B3356">
        <v>10735.66375612991</v>
      </c>
      <c r="C3356">
        <v>7.6</v>
      </c>
      <c r="D3356">
        <v>8612</v>
      </c>
      <c r="E3356">
        <v>0</v>
      </c>
      <c r="F3356">
        <v>0</v>
      </c>
      <c r="G3356">
        <v>-64.736361999999644</v>
      </c>
      <c r="H3356">
        <v>2651.2245982099989</v>
      </c>
      <c r="I3356">
        <v>0</v>
      </c>
      <c r="J3356">
        <v>-125.3000000000002</v>
      </c>
      <c r="K3356">
        <v>13.479317590000001</v>
      </c>
      <c r="L3356">
        <v>-313</v>
      </c>
      <c r="M3356">
        <v>0</v>
      </c>
      <c r="N3356">
        <v>0</v>
      </c>
      <c r="O3356">
        <v>-45.603797670086713</v>
      </c>
      <c r="P3356">
        <v>685221.49884578981</v>
      </c>
    </row>
    <row r="3357" spans="1:16" x14ac:dyDescent="0.25">
      <c r="A3357" s="10">
        <v>42591</v>
      </c>
      <c r="B3357">
        <v>-3728.0589898700132</v>
      </c>
      <c r="C3357">
        <v>7.3</v>
      </c>
      <c r="D3357">
        <v>0</v>
      </c>
      <c r="E3357">
        <v>0</v>
      </c>
      <c r="F3357">
        <v>0</v>
      </c>
      <c r="G3357">
        <v>113.86004914</v>
      </c>
      <c r="H3357">
        <v>-1652.3660001600001</v>
      </c>
      <c r="I3357">
        <v>0</v>
      </c>
      <c r="J3357">
        <v>0</v>
      </c>
      <c r="K3357">
        <v>8.0936121700000001</v>
      </c>
      <c r="L3357">
        <v>-2246.6</v>
      </c>
      <c r="M3357">
        <v>0</v>
      </c>
      <c r="N3357">
        <v>0</v>
      </c>
      <c r="O3357">
        <v>41.653348979987832</v>
      </c>
      <c r="P3357">
        <v>681493.4398559198</v>
      </c>
    </row>
    <row r="3358" spans="1:16" x14ac:dyDescent="0.25">
      <c r="A3358" s="10">
        <v>42592</v>
      </c>
      <c r="B3358">
        <v>7809.7359591004206</v>
      </c>
      <c r="C3358">
        <v>0</v>
      </c>
      <c r="D3358">
        <v>0</v>
      </c>
      <c r="E3358">
        <v>0</v>
      </c>
      <c r="F3358">
        <v>0</v>
      </c>
      <c r="G3358">
        <v>-154.23774644</v>
      </c>
      <c r="H3358">
        <v>4478.6881606900006</v>
      </c>
      <c r="I3358">
        <v>0</v>
      </c>
      <c r="J3358">
        <v>0</v>
      </c>
      <c r="K3358">
        <v>8.7713641099999986</v>
      </c>
      <c r="L3358">
        <v>3301</v>
      </c>
      <c r="M3358">
        <v>0</v>
      </c>
      <c r="N3358">
        <v>0</v>
      </c>
      <c r="O3358">
        <v>175.5141807404201</v>
      </c>
      <c r="P3358">
        <v>689303.17581502011</v>
      </c>
    </row>
    <row r="3359" spans="1:16" x14ac:dyDescent="0.25">
      <c r="A3359" s="10">
        <v>42593</v>
      </c>
      <c r="B3359">
        <v>-10037.607366940359</v>
      </c>
      <c r="C3359">
        <v>0</v>
      </c>
      <c r="D3359">
        <v>0</v>
      </c>
      <c r="E3359">
        <v>0</v>
      </c>
      <c r="F3359">
        <v>0</v>
      </c>
      <c r="G3359">
        <v>-80.668183549999981</v>
      </c>
      <c r="H3359">
        <v>-7910.1629894399975</v>
      </c>
      <c r="I3359">
        <v>0</v>
      </c>
      <c r="J3359">
        <v>0</v>
      </c>
      <c r="K3359">
        <v>6.016774429999999</v>
      </c>
      <c r="L3359">
        <v>-2141.6999999999998</v>
      </c>
      <c r="M3359">
        <v>0</v>
      </c>
      <c r="N3359">
        <v>0</v>
      </c>
      <c r="O3359">
        <v>88.907031619640833</v>
      </c>
      <c r="P3359">
        <v>679265.56844807975</v>
      </c>
    </row>
    <row r="3360" spans="1:16" x14ac:dyDescent="0.25">
      <c r="A3360" s="10">
        <v>42594</v>
      </c>
      <c r="B3360">
        <v>-5791.1112397199031</v>
      </c>
      <c r="C3360">
        <v>0</v>
      </c>
      <c r="D3360">
        <v>0</v>
      </c>
      <c r="E3360">
        <v>0</v>
      </c>
      <c r="F3360">
        <v>0</v>
      </c>
      <c r="G3360">
        <v>-216.8034396700001</v>
      </c>
      <c r="H3360">
        <v>-1339.179863400004</v>
      </c>
      <c r="I3360">
        <v>0</v>
      </c>
      <c r="J3360">
        <v>0</v>
      </c>
      <c r="K3360">
        <v>12.459777320000001</v>
      </c>
      <c r="L3360">
        <v>-4286.7000000000007</v>
      </c>
      <c r="M3360">
        <v>0</v>
      </c>
      <c r="N3360">
        <v>0</v>
      </c>
      <c r="O3360">
        <v>39.112286030101863</v>
      </c>
      <c r="P3360">
        <v>673474.45720835996</v>
      </c>
    </row>
    <row r="3361" spans="1:16" x14ac:dyDescent="0.25">
      <c r="A3361" s="10">
        <v>42598</v>
      </c>
      <c r="B3361">
        <v>-11741.881886279791</v>
      </c>
      <c r="C3361">
        <v>0</v>
      </c>
      <c r="D3361">
        <v>0</v>
      </c>
      <c r="E3361">
        <v>0</v>
      </c>
      <c r="F3361">
        <v>0</v>
      </c>
      <c r="G3361">
        <v>178.27022597999999</v>
      </c>
      <c r="H3361">
        <v>-5071.4941463599971</v>
      </c>
      <c r="I3361">
        <v>0</v>
      </c>
      <c r="J3361">
        <v>0</v>
      </c>
      <c r="K3361">
        <v>50.604273970000001</v>
      </c>
      <c r="L3361">
        <v>-6904.6</v>
      </c>
      <c r="M3361">
        <v>0</v>
      </c>
      <c r="N3361">
        <v>0</v>
      </c>
      <c r="O3361">
        <v>5.3377601302068793</v>
      </c>
      <c r="P3361">
        <v>661732.57532208017</v>
      </c>
    </row>
    <row r="3362" spans="1:16" x14ac:dyDescent="0.25">
      <c r="A3362" s="10">
        <v>42599</v>
      </c>
      <c r="B3362">
        <v>14581.35614727985</v>
      </c>
      <c r="C3362">
        <v>0</v>
      </c>
      <c r="D3362">
        <v>0</v>
      </c>
      <c r="E3362">
        <v>0</v>
      </c>
      <c r="F3362">
        <v>37500</v>
      </c>
      <c r="G3362">
        <v>-22779.233233489998</v>
      </c>
      <c r="H3362">
        <v>-2477.123994170001</v>
      </c>
      <c r="I3362">
        <v>0</v>
      </c>
      <c r="J3362">
        <v>0</v>
      </c>
      <c r="K3362">
        <v>16.276449400000001</v>
      </c>
      <c r="L3362">
        <v>2445</v>
      </c>
      <c r="M3362">
        <v>0</v>
      </c>
      <c r="N3362">
        <v>0</v>
      </c>
      <c r="O3362">
        <v>-123.56307446015489</v>
      </c>
      <c r="P3362">
        <v>676313.93146936002</v>
      </c>
    </row>
    <row r="3363" spans="1:16" x14ac:dyDescent="0.25">
      <c r="A3363" s="10">
        <v>42600</v>
      </c>
      <c r="B3363">
        <v>-2579.4704633899928</v>
      </c>
      <c r="C3363">
        <v>0</v>
      </c>
      <c r="D3363">
        <v>0</v>
      </c>
      <c r="E3363">
        <v>0</v>
      </c>
      <c r="F3363">
        <v>0</v>
      </c>
      <c r="G3363">
        <v>59.115610910000107</v>
      </c>
      <c r="H3363">
        <v>-2502.9696182900011</v>
      </c>
      <c r="I3363">
        <v>0</v>
      </c>
      <c r="J3363">
        <v>0</v>
      </c>
      <c r="K3363">
        <v>16.759977710000001</v>
      </c>
      <c r="L3363">
        <v>-167.4</v>
      </c>
      <c r="M3363">
        <v>0</v>
      </c>
      <c r="N3363">
        <v>0</v>
      </c>
      <c r="O3363">
        <v>15.02356628000744</v>
      </c>
      <c r="P3363">
        <v>673734.46100597002</v>
      </c>
    </row>
    <row r="3364" spans="1:16" x14ac:dyDescent="0.25">
      <c r="A3364" s="10">
        <v>42601</v>
      </c>
      <c r="B3364">
        <v>-604.09646104998262</v>
      </c>
      <c r="C3364">
        <v>0</v>
      </c>
      <c r="D3364">
        <v>0</v>
      </c>
      <c r="E3364">
        <v>0</v>
      </c>
      <c r="F3364">
        <v>0</v>
      </c>
      <c r="G3364">
        <v>367.27558126999998</v>
      </c>
      <c r="H3364">
        <v>459.91592764000228</v>
      </c>
      <c r="I3364">
        <v>0</v>
      </c>
      <c r="J3364">
        <v>0</v>
      </c>
      <c r="K3364">
        <v>18.640189289999999</v>
      </c>
      <c r="L3364">
        <v>-1462</v>
      </c>
      <c r="M3364">
        <v>0</v>
      </c>
      <c r="N3364">
        <v>0</v>
      </c>
      <c r="O3364">
        <v>12.07184075001512</v>
      </c>
      <c r="P3364">
        <v>673130.36454491992</v>
      </c>
    </row>
    <row r="3365" spans="1:16" x14ac:dyDescent="0.25">
      <c r="A3365" s="10">
        <v>42604</v>
      </c>
      <c r="B3365">
        <v>270.09812999004419</v>
      </c>
      <c r="C3365">
        <v>0</v>
      </c>
      <c r="D3365">
        <v>-1481.8</v>
      </c>
      <c r="E3365">
        <v>0</v>
      </c>
      <c r="F3365">
        <v>0</v>
      </c>
      <c r="G3365">
        <v>-49.954807690000052</v>
      </c>
      <c r="H3365">
        <v>3891.024212879995</v>
      </c>
      <c r="I3365">
        <v>0</v>
      </c>
      <c r="J3365">
        <v>0</v>
      </c>
      <c r="K3365">
        <v>56.572230580000003</v>
      </c>
      <c r="L3365">
        <v>-2002.7</v>
      </c>
      <c r="M3365">
        <v>0</v>
      </c>
      <c r="N3365">
        <v>0</v>
      </c>
      <c r="O3365">
        <v>-143.0435057799501</v>
      </c>
      <c r="P3365">
        <v>673400.46267490997</v>
      </c>
    </row>
    <row r="3366" spans="1:16" x14ac:dyDescent="0.25">
      <c r="A3366" s="10">
        <v>42605</v>
      </c>
      <c r="B3366">
        <v>-2770.087446759921</v>
      </c>
      <c r="C3366">
        <v>0</v>
      </c>
      <c r="D3366">
        <v>0</v>
      </c>
      <c r="E3366">
        <v>0</v>
      </c>
      <c r="F3366">
        <v>0</v>
      </c>
      <c r="G3366">
        <v>-122.6244362099997</v>
      </c>
      <c r="H3366">
        <v>1356.525408320005</v>
      </c>
      <c r="I3366">
        <v>0</v>
      </c>
      <c r="J3366">
        <v>0</v>
      </c>
      <c r="K3366">
        <v>16.882245990000001</v>
      </c>
      <c r="L3366">
        <v>-3923.7</v>
      </c>
      <c r="M3366">
        <v>0</v>
      </c>
      <c r="N3366">
        <v>0</v>
      </c>
      <c r="O3366">
        <v>-97.170664859926362</v>
      </c>
      <c r="P3366">
        <v>670630.37522815017</v>
      </c>
    </row>
    <row r="3367" spans="1:16" x14ac:dyDescent="0.25">
      <c r="A3367" s="10">
        <v>42606</v>
      </c>
      <c r="B3367">
        <v>2274.3900775697571</v>
      </c>
      <c r="C3367">
        <v>0</v>
      </c>
      <c r="D3367">
        <v>0</v>
      </c>
      <c r="E3367">
        <v>0</v>
      </c>
      <c r="F3367">
        <v>0</v>
      </c>
      <c r="G3367">
        <v>-29.244820550000011</v>
      </c>
      <c r="H3367">
        <v>-7059.1097224500036</v>
      </c>
      <c r="I3367">
        <v>0</v>
      </c>
      <c r="J3367">
        <v>0</v>
      </c>
      <c r="K3367">
        <v>15.744255900000001</v>
      </c>
      <c r="L3367">
        <v>9388.1</v>
      </c>
      <c r="M3367">
        <v>0</v>
      </c>
      <c r="N3367">
        <v>0</v>
      </c>
      <c r="O3367">
        <v>-41.099635330238563</v>
      </c>
      <c r="P3367">
        <v>672904.76530571992</v>
      </c>
    </row>
    <row r="3368" spans="1:16" x14ac:dyDescent="0.25">
      <c r="A3368" s="10">
        <v>42607</v>
      </c>
      <c r="B3368">
        <v>-3052.892470669819</v>
      </c>
      <c r="C3368">
        <v>0</v>
      </c>
      <c r="D3368">
        <v>0</v>
      </c>
      <c r="E3368">
        <v>0</v>
      </c>
      <c r="F3368">
        <v>0</v>
      </c>
      <c r="G3368">
        <v>238.48391727000001</v>
      </c>
      <c r="H3368">
        <v>-2438.5512532899961</v>
      </c>
      <c r="I3368">
        <v>0</v>
      </c>
      <c r="J3368">
        <v>0</v>
      </c>
      <c r="K3368">
        <v>19.916321289999999</v>
      </c>
      <c r="L3368">
        <v>-887.6</v>
      </c>
      <c r="M3368">
        <v>0</v>
      </c>
      <c r="N3368">
        <v>0</v>
      </c>
      <c r="O3368">
        <v>14.85854406017752</v>
      </c>
      <c r="P3368">
        <v>669851.87283504999</v>
      </c>
    </row>
    <row r="3369" spans="1:16" x14ac:dyDescent="0.25">
      <c r="A3369" s="10">
        <v>42608</v>
      </c>
      <c r="B3369">
        <v>-1034.144294709896</v>
      </c>
      <c r="C3369">
        <v>0</v>
      </c>
      <c r="D3369">
        <v>0</v>
      </c>
      <c r="E3369">
        <v>0</v>
      </c>
      <c r="F3369">
        <v>0</v>
      </c>
      <c r="G3369">
        <v>-69.761686619999978</v>
      </c>
      <c r="H3369">
        <v>2001.0721891699941</v>
      </c>
      <c r="I3369">
        <v>0</v>
      </c>
      <c r="J3369">
        <v>0</v>
      </c>
      <c r="K3369">
        <v>21.474787800000001</v>
      </c>
      <c r="L3369">
        <v>-3017.9</v>
      </c>
      <c r="M3369">
        <v>0</v>
      </c>
      <c r="N3369">
        <v>0</v>
      </c>
      <c r="O3369">
        <v>30.970414940109048</v>
      </c>
      <c r="P3369">
        <v>668817.72854034009</v>
      </c>
    </row>
    <row r="3370" spans="1:16" x14ac:dyDescent="0.25">
      <c r="A3370" s="10">
        <v>42611</v>
      </c>
      <c r="B3370">
        <v>12743.66080636997</v>
      </c>
      <c r="C3370">
        <v>0</v>
      </c>
      <c r="D3370">
        <v>-3000</v>
      </c>
      <c r="E3370">
        <v>0</v>
      </c>
      <c r="F3370">
        <v>0</v>
      </c>
      <c r="G3370">
        <v>22586.658477789999</v>
      </c>
      <c r="H3370">
        <v>-5751.4344480600048</v>
      </c>
      <c r="I3370">
        <v>0</v>
      </c>
      <c r="J3370">
        <v>0</v>
      </c>
      <c r="K3370">
        <v>59.234137179999998</v>
      </c>
      <c r="L3370">
        <v>-1172.8</v>
      </c>
      <c r="M3370">
        <v>0</v>
      </c>
      <c r="N3370">
        <v>0</v>
      </c>
      <c r="O3370">
        <v>22.00263945997358</v>
      </c>
      <c r="P3370">
        <v>681561.38934671006</v>
      </c>
    </row>
    <row r="3371" spans="1:16" x14ac:dyDescent="0.25">
      <c r="A3371" s="10">
        <v>42612</v>
      </c>
      <c r="B3371">
        <v>2679.2707868599109</v>
      </c>
      <c r="C3371">
        <v>-0.2</v>
      </c>
      <c r="D3371">
        <v>0</v>
      </c>
      <c r="E3371">
        <v>0</v>
      </c>
      <c r="F3371">
        <v>0</v>
      </c>
      <c r="G3371">
        <v>56.946108559999992</v>
      </c>
      <c r="H3371">
        <v>10981.151774059999</v>
      </c>
      <c r="I3371">
        <v>0</v>
      </c>
      <c r="J3371">
        <v>0</v>
      </c>
      <c r="K3371">
        <v>23.673076869999999</v>
      </c>
      <c r="L3371">
        <v>-8370.3000000000011</v>
      </c>
      <c r="M3371">
        <v>0</v>
      </c>
      <c r="N3371">
        <v>0</v>
      </c>
      <c r="O3371">
        <v>-12.0001726300914</v>
      </c>
      <c r="P3371">
        <v>684240.66013356997</v>
      </c>
    </row>
    <row r="3372" spans="1:16" x14ac:dyDescent="0.25">
      <c r="A3372" s="10">
        <v>42613</v>
      </c>
      <c r="B3372">
        <v>-4510.6365330100543</v>
      </c>
      <c r="C3372">
        <v>0</v>
      </c>
      <c r="D3372">
        <v>0</v>
      </c>
      <c r="E3372">
        <v>0</v>
      </c>
      <c r="F3372">
        <v>0</v>
      </c>
      <c r="G3372">
        <v>-160.61069615</v>
      </c>
      <c r="H3372">
        <v>-10229.80338494</v>
      </c>
      <c r="I3372">
        <v>0</v>
      </c>
      <c r="J3372">
        <v>0</v>
      </c>
      <c r="K3372">
        <v>17.079218170000001</v>
      </c>
      <c r="L3372">
        <v>5941.9000000000005</v>
      </c>
      <c r="M3372">
        <v>0</v>
      </c>
      <c r="N3372">
        <v>0</v>
      </c>
      <c r="O3372">
        <v>-79.201670090051806</v>
      </c>
      <c r="P3372">
        <v>679730.02360056003</v>
      </c>
    </row>
    <row r="3373" spans="1:16" x14ac:dyDescent="0.25">
      <c r="A3373" s="10">
        <v>42614</v>
      </c>
      <c r="B3373">
        <v>26075.385626400119</v>
      </c>
      <c r="C3373">
        <v>0</v>
      </c>
      <c r="D3373">
        <v>0</v>
      </c>
      <c r="E3373">
        <v>0</v>
      </c>
      <c r="F3373">
        <v>0</v>
      </c>
      <c r="G3373">
        <v>-8.6058871100000545</v>
      </c>
      <c r="H3373">
        <v>26088.068076660002</v>
      </c>
      <c r="I3373">
        <v>0</v>
      </c>
      <c r="J3373">
        <v>0</v>
      </c>
      <c r="K3373">
        <v>23.120118829999999</v>
      </c>
      <c r="L3373">
        <v>-24.399999999999981</v>
      </c>
      <c r="M3373">
        <v>0</v>
      </c>
      <c r="N3373">
        <v>0</v>
      </c>
      <c r="O3373">
        <v>-2.796681979879942</v>
      </c>
      <c r="P3373">
        <v>705805.40922696015</v>
      </c>
    </row>
    <row r="3374" spans="1:16" x14ac:dyDescent="0.25">
      <c r="A3374" s="10">
        <v>42615</v>
      </c>
      <c r="B3374">
        <v>-13284.55029452033</v>
      </c>
      <c r="C3374">
        <v>0</v>
      </c>
      <c r="D3374">
        <v>0</v>
      </c>
      <c r="E3374">
        <v>0</v>
      </c>
      <c r="F3374">
        <v>0</v>
      </c>
      <c r="G3374">
        <v>-47.308392229999981</v>
      </c>
      <c r="H3374">
        <v>-12523.00828681</v>
      </c>
      <c r="I3374">
        <v>0</v>
      </c>
      <c r="J3374">
        <v>0</v>
      </c>
      <c r="K3374">
        <v>6.7196297200000004</v>
      </c>
      <c r="L3374">
        <v>-731.59999999999991</v>
      </c>
      <c r="M3374">
        <v>0</v>
      </c>
      <c r="N3374">
        <v>0</v>
      </c>
      <c r="O3374">
        <v>10.646754799667541</v>
      </c>
      <c r="P3374">
        <v>692520.85893243982</v>
      </c>
    </row>
    <row r="3375" spans="1:16" x14ac:dyDescent="0.25">
      <c r="A3375" s="10">
        <v>42618</v>
      </c>
      <c r="B3375">
        <v>497.78242147027248</v>
      </c>
      <c r="C3375">
        <v>0</v>
      </c>
      <c r="D3375">
        <v>0</v>
      </c>
      <c r="E3375">
        <v>0</v>
      </c>
      <c r="F3375">
        <v>0</v>
      </c>
      <c r="G3375">
        <v>-82.281674860000066</v>
      </c>
      <c r="H3375">
        <v>6101.5874034300004</v>
      </c>
      <c r="I3375">
        <v>0</v>
      </c>
      <c r="J3375">
        <v>0</v>
      </c>
      <c r="K3375">
        <v>42.847916630000007</v>
      </c>
      <c r="L3375">
        <v>-5533.8</v>
      </c>
      <c r="M3375">
        <v>0</v>
      </c>
      <c r="N3375">
        <v>0</v>
      </c>
      <c r="O3375">
        <v>-30.57122372972735</v>
      </c>
      <c r="P3375">
        <v>693018.64135391009</v>
      </c>
    </row>
    <row r="3376" spans="1:16" x14ac:dyDescent="0.25">
      <c r="A3376" s="10">
        <v>42619</v>
      </c>
      <c r="B3376">
        <v>-10371.131040119921</v>
      </c>
      <c r="C3376">
        <v>0</v>
      </c>
      <c r="D3376">
        <v>0</v>
      </c>
      <c r="E3376">
        <v>0</v>
      </c>
      <c r="F3376">
        <v>0</v>
      </c>
      <c r="G3376">
        <v>-434.54825913999991</v>
      </c>
      <c r="H3376">
        <v>576.74669256000197</v>
      </c>
      <c r="I3376">
        <v>0</v>
      </c>
      <c r="J3376">
        <v>0</v>
      </c>
      <c r="K3376">
        <v>11.307516100000001</v>
      </c>
      <c r="L3376">
        <v>-10531.8</v>
      </c>
      <c r="M3376">
        <v>0</v>
      </c>
      <c r="N3376">
        <v>0</v>
      </c>
      <c r="O3376">
        <v>7.1630103600797099</v>
      </c>
      <c r="P3376">
        <v>682647.51031379018</v>
      </c>
    </row>
    <row r="3377" spans="1:16" x14ac:dyDescent="0.25">
      <c r="A3377" s="10">
        <v>42620</v>
      </c>
      <c r="B3377">
        <v>12907.78450875962</v>
      </c>
      <c r="C3377">
        <v>0</v>
      </c>
      <c r="D3377">
        <v>0</v>
      </c>
      <c r="E3377">
        <v>0</v>
      </c>
      <c r="F3377">
        <v>0</v>
      </c>
      <c r="G3377">
        <v>591.62574122000001</v>
      </c>
      <c r="H3377">
        <v>1748.872864829998</v>
      </c>
      <c r="I3377">
        <v>0</v>
      </c>
      <c r="J3377">
        <v>0</v>
      </c>
      <c r="K3377">
        <v>10.79832888</v>
      </c>
      <c r="L3377">
        <v>10711.5</v>
      </c>
      <c r="M3377">
        <v>0</v>
      </c>
      <c r="N3377">
        <v>0</v>
      </c>
      <c r="O3377">
        <v>-155.01242617037531</v>
      </c>
      <c r="P3377">
        <v>695555.29482254968</v>
      </c>
    </row>
    <row r="3378" spans="1:16" x14ac:dyDescent="0.25">
      <c r="A3378" s="10">
        <v>42621</v>
      </c>
      <c r="B3378">
        <v>4504.6050525504397</v>
      </c>
      <c r="C3378">
        <v>0</v>
      </c>
      <c r="D3378">
        <v>0</v>
      </c>
      <c r="E3378">
        <v>0</v>
      </c>
      <c r="F3378">
        <v>0</v>
      </c>
      <c r="G3378">
        <v>-93.766817360000033</v>
      </c>
      <c r="H3378">
        <v>5216.8716483299977</v>
      </c>
      <c r="I3378">
        <v>0</v>
      </c>
      <c r="J3378">
        <v>-120.5</v>
      </c>
      <c r="K3378">
        <v>-4.705020020000001</v>
      </c>
      <c r="L3378">
        <v>-586.1</v>
      </c>
      <c r="M3378">
        <v>0</v>
      </c>
      <c r="N3378">
        <v>0</v>
      </c>
      <c r="O3378">
        <v>92.805241600442599</v>
      </c>
      <c r="P3378">
        <v>700059.89987510012</v>
      </c>
    </row>
    <row r="3379" spans="1:16" x14ac:dyDescent="0.25">
      <c r="A3379" s="10">
        <v>42622</v>
      </c>
      <c r="B3379">
        <v>-4868.1254939602222</v>
      </c>
      <c r="C3379">
        <v>0</v>
      </c>
      <c r="D3379">
        <v>0</v>
      </c>
      <c r="E3379">
        <v>0</v>
      </c>
      <c r="F3379">
        <v>0</v>
      </c>
      <c r="G3379">
        <v>-40.226593359999981</v>
      </c>
      <c r="H3379">
        <v>-3085.8032691900012</v>
      </c>
      <c r="I3379">
        <v>0</v>
      </c>
      <c r="J3379">
        <v>0</v>
      </c>
      <c r="K3379">
        <v>6.4202961700000003</v>
      </c>
      <c r="L3379">
        <v>-1688.4</v>
      </c>
      <c r="M3379">
        <v>0</v>
      </c>
      <c r="N3379">
        <v>0</v>
      </c>
      <c r="O3379">
        <v>-60.115927580221069</v>
      </c>
      <c r="P3379">
        <v>695191.7743811399</v>
      </c>
    </row>
    <row r="3380" spans="1:16" x14ac:dyDescent="0.25">
      <c r="A3380" s="10">
        <v>42625</v>
      </c>
      <c r="B3380">
        <v>-5566.5069386198884</v>
      </c>
      <c r="C3380">
        <v>0</v>
      </c>
      <c r="D3380">
        <v>0</v>
      </c>
      <c r="E3380">
        <v>0</v>
      </c>
      <c r="F3380">
        <v>0</v>
      </c>
      <c r="G3380">
        <v>-437.67782253000001</v>
      </c>
      <c r="H3380">
        <v>-4291.4591261300011</v>
      </c>
      <c r="I3380">
        <v>0</v>
      </c>
      <c r="J3380">
        <v>0</v>
      </c>
      <c r="K3380">
        <v>25.24429499</v>
      </c>
      <c r="L3380">
        <v>-851</v>
      </c>
      <c r="M3380">
        <v>0</v>
      </c>
      <c r="N3380">
        <v>0</v>
      </c>
      <c r="O3380">
        <v>-11.614284949886679</v>
      </c>
      <c r="P3380">
        <v>689625.26744252013</v>
      </c>
    </row>
    <row r="3381" spans="1:16" x14ac:dyDescent="0.25">
      <c r="A3381" s="10">
        <v>42626</v>
      </c>
      <c r="B3381">
        <v>-7618.0022570003039</v>
      </c>
      <c r="C3381">
        <v>0</v>
      </c>
      <c r="D3381">
        <v>0</v>
      </c>
      <c r="E3381">
        <v>0</v>
      </c>
      <c r="F3381">
        <v>0</v>
      </c>
      <c r="G3381">
        <v>-86.593280450000009</v>
      </c>
      <c r="H3381">
        <v>-6436.5461753899981</v>
      </c>
      <c r="I3381">
        <v>0</v>
      </c>
      <c r="J3381">
        <v>0</v>
      </c>
      <c r="K3381">
        <v>11.361421419999999</v>
      </c>
      <c r="L3381">
        <v>-1119.9000000000001</v>
      </c>
      <c r="M3381">
        <v>0</v>
      </c>
      <c r="N3381">
        <v>0</v>
      </c>
      <c r="O3381">
        <v>13.67577741969362</v>
      </c>
      <c r="P3381">
        <v>682007.2651855197</v>
      </c>
    </row>
    <row r="3382" spans="1:16" x14ac:dyDescent="0.25">
      <c r="A3382" s="10">
        <v>42627</v>
      </c>
      <c r="B3382">
        <v>6430.2749061102513</v>
      </c>
      <c r="C3382">
        <v>0</v>
      </c>
      <c r="D3382">
        <v>-2500</v>
      </c>
      <c r="E3382">
        <v>0</v>
      </c>
      <c r="F3382">
        <v>0</v>
      </c>
      <c r="G3382">
        <v>115.38260421</v>
      </c>
      <c r="H3382">
        <v>-4741.5979543799913</v>
      </c>
      <c r="I3382">
        <v>0</v>
      </c>
      <c r="J3382">
        <v>0</v>
      </c>
      <c r="K3382">
        <v>14.746679090000001</v>
      </c>
      <c r="L3382">
        <v>13440.8</v>
      </c>
      <c r="M3382">
        <v>0</v>
      </c>
      <c r="N3382">
        <v>0</v>
      </c>
      <c r="O3382">
        <v>100.9435771902439</v>
      </c>
      <c r="P3382">
        <v>688437.54009163007</v>
      </c>
    </row>
    <row r="3383" spans="1:16" x14ac:dyDescent="0.25">
      <c r="A3383" s="10">
        <v>42628</v>
      </c>
      <c r="B3383">
        <v>-3263.481069000085</v>
      </c>
      <c r="C3383">
        <v>0</v>
      </c>
      <c r="D3383">
        <v>0</v>
      </c>
      <c r="E3383">
        <v>0</v>
      </c>
      <c r="F3383">
        <v>0</v>
      </c>
      <c r="G3383">
        <v>-222.55727102999981</v>
      </c>
      <c r="H3383">
        <v>-2899.4116267400018</v>
      </c>
      <c r="I3383">
        <v>0</v>
      </c>
      <c r="J3383">
        <v>0</v>
      </c>
      <c r="K3383">
        <v>17.275530700000001</v>
      </c>
      <c r="L3383">
        <v>-97.5</v>
      </c>
      <c r="M3383">
        <v>0</v>
      </c>
      <c r="N3383">
        <v>0</v>
      </c>
      <c r="O3383">
        <v>-61.287701930083671</v>
      </c>
      <c r="P3383">
        <v>685174.05902262987</v>
      </c>
    </row>
    <row r="3384" spans="1:16" x14ac:dyDescent="0.25">
      <c r="A3384" s="10">
        <v>42629</v>
      </c>
      <c r="B3384">
        <v>-9356.8320209800731</v>
      </c>
      <c r="C3384">
        <v>0</v>
      </c>
      <c r="D3384">
        <v>0</v>
      </c>
      <c r="E3384">
        <v>0</v>
      </c>
      <c r="F3384">
        <v>0</v>
      </c>
      <c r="G3384">
        <v>172.66066294000001</v>
      </c>
      <c r="H3384">
        <v>-6383.6297112700049</v>
      </c>
      <c r="I3384">
        <v>0</v>
      </c>
      <c r="J3384">
        <v>0</v>
      </c>
      <c r="K3384">
        <v>20.141362059999999</v>
      </c>
      <c r="L3384">
        <v>-3173.3</v>
      </c>
      <c r="M3384">
        <v>0</v>
      </c>
      <c r="N3384">
        <v>0</v>
      </c>
      <c r="O3384">
        <v>7.295665289931641</v>
      </c>
      <c r="P3384">
        <v>675817.22700164979</v>
      </c>
    </row>
    <row r="3385" spans="1:16" x14ac:dyDescent="0.25">
      <c r="A3385" s="10">
        <v>42632</v>
      </c>
      <c r="B3385">
        <v>3386.3405755700069</v>
      </c>
      <c r="C3385">
        <v>0</v>
      </c>
      <c r="D3385">
        <v>-3500</v>
      </c>
      <c r="E3385">
        <v>0</v>
      </c>
      <c r="F3385">
        <v>0</v>
      </c>
      <c r="G3385">
        <v>-206.73061132000021</v>
      </c>
      <c r="H3385">
        <v>7814.1287035000059</v>
      </c>
      <c r="I3385">
        <v>0</v>
      </c>
      <c r="J3385">
        <v>0</v>
      </c>
      <c r="K3385">
        <v>70.046042669999991</v>
      </c>
      <c r="L3385">
        <v>-1242.7</v>
      </c>
      <c r="M3385">
        <v>0</v>
      </c>
      <c r="N3385">
        <v>0</v>
      </c>
      <c r="O3385">
        <v>451.59644072000083</v>
      </c>
      <c r="P3385">
        <v>679203.56757721992</v>
      </c>
    </row>
    <row r="3386" spans="1:16" x14ac:dyDescent="0.25">
      <c r="A3386" s="10">
        <v>42633</v>
      </c>
      <c r="B3386">
        <v>-6704.7660894695446</v>
      </c>
      <c r="C3386">
        <v>0</v>
      </c>
      <c r="D3386">
        <v>0</v>
      </c>
      <c r="E3386">
        <v>0</v>
      </c>
      <c r="F3386">
        <v>0</v>
      </c>
      <c r="G3386">
        <v>377.66506158999988</v>
      </c>
      <c r="H3386">
        <v>-849.41590757000813</v>
      </c>
      <c r="I3386">
        <v>0</v>
      </c>
      <c r="J3386">
        <v>0</v>
      </c>
      <c r="K3386">
        <v>18.27985456</v>
      </c>
      <c r="L3386">
        <v>-6211.0999999999995</v>
      </c>
      <c r="M3386">
        <v>0</v>
      </c>
      <c r="N3386">
        <v>0</v>
      </c>
      <c r="O3386">
        <v>-40.195098049537407</v>
      </c>
      <c r="P3386">
        <v>672498.80148775026</v>
      </c>
    </row>
    <row r="3387" spans="1:16" x14ac:dyDescent="0.25">
      <c r="A3387" s="10">
        <v>42634</v>
      </c>
      <c r="B3387">
        <v>2778.4991370699131</v>
      </c>
      <c r="C3387">
        <v>0</v>
      </c>
      <c r="D3387">
        <v>0</v>
      </c>
      <c r="E3387">
        <v>0</v>
      </c>
      <c r="F3387">
        <v>0</v>
      </c>
      <c r="G3387">
        <v>-201.52670164</v>
      </c>
      <c r="H3387">
        <v>-4786.6696346899989</v>
      </c>
      <c r="I3387">
        <v>0</v>
      </c>
      <c r="J3387">
        <v>0</v>
      </c>
      <c r="K3387">
        <v>19.216758800000001</v>
      </c>
      <c r="L3387">
        <v>7846</v>
      </c>
      <c r="M3387">
        <v>0</v>
      </c>
      <c r="N3387">
        <v>0</v>
      </c>
      <c r="O3387">
        <v>-98.52128540008853</v>
      </c>
      <c r="P3387">
        <v>675277.30062482017</v>
      </c>
    </row>
    <row r="3388" spans="1:16" x14ac:dyDescent="0.25">
      <c r="A3388" s="10">
        <v>42635</v>
      </c>
      <c r="B3388">
        <v>-1479.557520930189</v>
      </c>
      <c r="C3388">
        <v>0</v>
      </c>
      <c r="D3388">
        <v>0</v>
      </c>
      <c r="E3388">
        <v>0</v>
      </c>
      <c r="F3388">
        <v>0</v>
      </c>
      <c r="G3388">
        <v>169.78025668999999</v>
      </c>
      <c r="H3388">
        <v>2497.6782469800091</v>
      </c>
      <c r="I3388">
        <v>0</v>
      </c>
      <c r="J3388">
        <v>0</v>
      </c>
      <c r="K3388">
        <v>21.478138869999999</v>
      </c>
      <c r="L3388">
        <v>-4148.6000000000004</v>
      </c>
      <c r="M3388">
        <v>0</v>
      </c>
      <c r="N3388">
        <v>0</v>
      </c>
      <c r="O3388">
        <v>-19.89416347019797</v>
      </c>
      <c r="P3388">
        <v>673797.74310388998</v>
      </c>
    </row>
    <row r="3389" spans="1:16" x14ac:dyDescent="0.25">
      <c r="A3389" s="10">
        <v>42636</v>
      </c>
      <c r="B3389">
        <v>-7113.4314846699126</v>
      </c>
      <c r="C3389">
        <v>0</v>
      </c>
      <c r="D3389">
        <v>0</v>
      </c>
      <c r="E3389">
        <v>0</v>
      </c>
      <c r="F3389">
        <v>0</v>
      </c>
      <c r="G3389">
        <v>-86.464290590000019</v>
      </c>
      <c r="H3389">
        <v>-4427.6877471999978</v>
      </c>
      <c r="I3389">
        <v>0</v>
      </c>
      <c r="J3389">
        <v>0</v>
      </c>
      <c r="K3389">
        <v>19.912520480000001</v>
      </c>
      <c r="L3389">
        <v>-2686.2</v>
      </c>
      <c r="M3389">
        <v>0</v>
      </c>
      <c r="N3389">
        <v>0</v>
      </c>
      <c r="O3389">
        <v>67.008032640084821</v>
      </c>
      <c r="P3389">
        <v>666684.31161922019</v>
      </c>
    </row>
    <row r="3390" spans="1:16" x14ac:dyDescent="0.25">
      <c r="A3390" s="10">
        <v>42639</v>
      </c>
      <c r="B3390">
        <v>-1383.1875709200981</v>
      </c>
      <c r="C3390">
        <v>0</v>
      </c>
      <c r="D3390">
        <v>0</v>
      </c>
      <c r="E3390">
        <v>0</v>
      </c>
      <c r="F3390">
        <v>0</v>
      </c>
      <c r="G3390">
        <v>-43.814042889999982</v>
      </c>
      <c r="H3390">
        <v>1450.577096660003</v>
      </c>
      <c r="I3390">
        <v>0</v>
      </c>
      <c r="J3390">
        <v>0</v>
      </c>
      <c r="K3390">
        <v>67.726697659999985</v>
      </c>
      <c r="L3390">
        <v>-2853.4</v>
      </c>
      <c r="M3390">
        <v>0</v>
      </c>
      <c r="N3390">
        <v>0</v>
      </c>
      <c r="O3390">
        <v>-4.2773223501011213</v>
      </c>
      <c r="P3390">
        <v>665301.12404829997</v>
      </c>
    </row>
    <row r="3391" spans="1:16" x14ac:dyDescent="0.25">
      <c r="A3391" s="10">
        <v>42640</v>
      </c>
      <c r="B3391">
        <v>-3093.3576428898341</v>
      </c>
      <c r="C3391">
        <v>0</v>
      </c>
      <c r="D3391">
        <v>0</v>
      </c>
      <c r="E3391">
        <v>0</v>
      </c>
      <c r="F3391">
        <v>0</v>
      </c>
      <c r="G3391">
        <v>72.569777960000039</v>
      </c>
      <c r="H3391">
        <v>285.06051548999682</v>
      </c>
      <c r="I3391">
        <v>0</v>
      </c>
      <c r="J3391">
        <v>0</v>
      </c>
      <c r="K3391">
        <v>22.35987792000001</v>
      </c>
      <c r="L3391">
        <v>-3572.5</v>
      </c>
      <c r="M3391">
        <v>0</v>
      </c>
      <c r="N3391">
        <v>0</v>
      </c>
      <c r="O3391">
        <v>99.152185740168818</v>
      </c>
      <c r="P3391">
        <v>662207.76640541013</v>
      </c>
    </row>
    <row r="3392" spans="1:16" x14ac:dyDescent="0.25">
      <c r="A3392" s="10">
        <v>42641</v>
      </c>
      <c r="B3392">
        <v>-137.8468630102019</v>
      </c>
      <c r="C3392">
        <v>0</v>
      </c>
      <c r="D3392">
        <v>-2300</v>
      </c>
      <c r="E3392">
        <v>0</v>
      </c>
      <c r="F3392">
        <v>0</v>
      </c>
      <c r="G3392">
        <v>82.922843740000189</v>
      </c>
      <c r="H3392">
        <v>-6084.8316139299995</v>
      </c>
      <c r="I3392">
        <v>0</v>
      </c>
      <c r="J3392">
        <v>0</v>
      </c>
      <c r="K3392">
        <v>21.877358060000009</v>
      </c>
      <c r="L3392">
        <v>8227.9</v>
      </c>
      <c r="M3392">
        <v>0</v>
      </c>
      <c r="N3392">
        <v>0</v>
      </c>
      <c r="O3392">
        <v>-85.715450880201757</v>
      </c>
      <c r="P3392">
        <v>662069.91954239993</v>
      </c>
    </row>
    <row r="3393" spans="1:16" x14ac:dyDescent="0.25">
      <c r="A3393" s="10">
        <v>42642</v>
      </c>
      <c r="B3393">
        <v>-9387.7451480699256</v>
      </c>
      <c r="C3393">
        <v>0</v>
      </c>
      <c r="D3393">
        <v>-4300</v>
      </c>
      <c r="E3393">
        <v>0</v>
      </c>
      <c r="F3393">
        <v>0</v>
      </c>
      <c r="G3393">
        <v>-238.1440907999995</v>
      </c>
      <c r="H3393">
        <v>-1851.281622459996</v>
      </c>
      <c r="I3393">
        <v>0</v>
      </c>
      <c r="J3393">
        <v>0</v>
      </c>
      <c r="K3393">
        <v>24.2893331</v>
      </c>
      <c r="L3393">
        <v>-439.2</v>
      </c>
      <c r="M3393">
        <v>0</v>
      </c>
      <c r="N3393">
        <v>0</v>
      </c>
      <c r="O3393">
        <v>-2583.4087679099298</v>
      </c>
      <c r="P3393">
        <v>652682.17439433013</v>
      </c>
    </row>
    <row r="3394" spans="1:16" x14ac:dyDescent="0.25">
      <c r="A3394" s="10">
        <v>42643</v>
      </c>
      <c r="B3394">
        <v>29972.876669590129</v>
      </c>
      <c r="C3394">
        <v>0</v>
      </c>
      <c r="D3394">
        <v>-300</v>
      </c>
      <c r="E3394">
        <v>7880</v>
      </c>
      <c r="F3394">
        <v>27116.9</v>
      </c>
      <c r="G3394">
        <v>304.30629168000632</v>
      </c>
      <c r="H3394">
        <v>-2768.88229211</v>
      </c>
      <c r="I3394">
        <v>0</v>
      </c>
      <c r="J3394">
        <v>0</v>
      </c>
      <c r="K3394">
        <v>25.693512789999989</v>
      </c>
      <c r="L3394">
        <v>-708.2</v>
      </c>
      <c r="M3394">
        <v>0</v>
      </c>
      <c r="N3394">
        <v>0</v>
      </c>
      <c r="O3394">
        <v>-1576.940842769877</v>
      </c>
      <c r="P3394">
        <v>682655.05106392025</v>
      </c>
    </row>
    <row r="3395" spans="1:16" x14ac:dyDescent="0.25">
      <c r="A3395" s="10">
        <v>42646</v>
      </c>
      <c r="B3395">
        <v>4160.5805573497164</v>
      </c>
      <c r="C3395">
        <v>0</v>
      </c>
      <c r="D3395">
        <v>0</v>
      </c>
      <c r="E3395">
        <v>0</v>
      </c>
      <c r="F3395">
        <v>0</v>
      </c>
      <c r="G3395">
        <v>-61.111333480002941</v>
      </c>
      <c r="H3395">
        <v>4442.1396322599976</v>
      </c>
      <c r="I3395">
        <v>0</v>
      </c>
      <c r="J3395">
        <v>0</v>
      </c>
      <c r="K3395">
        <v>31.568173089999991</v>
      </c>
      <c r="L3395">
        <v>-195.7</v>
      </c>
      <c r="M3395">
        <v>0</v>
      </c>
      <c r="N3395">
        <v>0</v>
      </c>
      <c r="O3395">
        <v>-56.315914520277872</v>
      </c>
      <c r="P3395">
        <v>686815.63162126986</v>
      </c>
    </row>
    <row r="3396" spans="1:16" x14ac:dyDescent="0.25">
      <c r="A3396" s="10">
        <v>42647</v>
      </c>
      <c r="B3396">
        <v>828.4347377902576</v>
      </c>
      <c r="C3396">
        <v>0</v>
      </c>
      <c r="D3396">
        <v>0</v>
      </c>
      <c r="E3396">
        <v>0</v>
      </c>
      <c r="F3396">
        <v>0</v>
      </c>
      <c r="G3396">
        <v>-95.841768650000034</v>
      </c>
      <c r="H3396">
        <v>1180.6496785000049</v>
      </c>
      <c r="I3396">
        <v>0</v>
      </c>
      <c r="J3396">
        <v>0</v>
      </c>
      <c r="K3396">
        <v>8.4136299000000019</v>
      </c>
      <c r="L3396">
        <v>-341.2</v>
      </c>
      <c r="M3396">
        <v>0</v>
      </c>
      <c r="N3396">
        <v>0</v>
      </c>
      <c r="O3396">
        <v>76.41319804025224</v>
      </c>
      <c r="P3396">
        <v>687644.06635906012</v>
      </c>
    </row>
    <row r="3397" spans="1:16" x14ac:dyDescent="0.25">
      <c r="A3397" s="10">
        <v>42648</v>
      </c>
      <c r="B3397">
        <v>5010.8931531897979</v>
      </c>
      <c r="C3397">
        <v>0</v>
      </c>
      <c r="D3397">
        <v>0</v>
      </c>
      <c r="E3397">
        <v>0</v>
      </c>
      <c r="F3397">
        <v>0</v>
      </c>
      <c r="G3397">
        <v>-238.73694191999999</v>
      </c>
      <c r="H3397">
        <v>3033.948921929994</v>
      </c>
      <c r="I3397">
        <v>0</v>
      </c>
      <c r="J3397">
        <v>0</v>
      </c>
      <c r="K3397">
        <v>7.9340041100000001</v>
      </c>
      <c r="L3397">
        <v>-1799.4</v>
      </c>
      <c r="M3397">
        <v>0</v>
      </c>
      <c r="N3397">
        <v>0</v>
      </c>
      <c r="O3397">
        <v>4007.1471690698031</v>
      </c>
      <c r="P3397">
        <v>692654.95951225003</v>
      </c>
    </row>
    <row r="3398" spans="1:16" x14ac:dyDescent="0.25">
      <c r="A3398" s="10">
        <v>42649</v>
      </c>
      <c r="B3398">
        <v>-73.060827920097353</v>
      </c>
      <c r="C3398">
        <v>0</v>
      </c>
      <c r="D3398">
        <v>0</v>
      </c>
      <c r="E3398">
        <v>0</v>
      </c>
      <c r="F3398">
        <v>0</v>
      </c>
      <c r="G3398">
        <v>136.46615152000001</v>
      </c>
      <c r="H3398">
        <v>-370.03765389000182</v>
      </c>
      <c r="I3398">
        <v>0</v>
      </c>
      <c r="J3398">
        <v>0</v>
      </c>
      <c r="K3398">
        <v>6.3729104799999998</v>
      </c>
      <c r="L3398">
        <v>0</v>
      </c>
      <c r="M3398">
        <v>0</v>
      </c>
      <c r="N3398">
        <v>0</v>
      </c>
      <c r="O3398">
        <v>154.13776396990451</v>
      </c>
      <c r="P3398">
        <v>692581.89868432994</v>
      </c>
    </row>
    <row r="3399" spans="1:16" x14ac:dyDescent="0.25">
      <c r="A3399" s="10">
        <v>42650</v>
      </c>
      <c r="B3399">
        <v>14423.756657300049</v>
      </c>
      <c r="C3399">
        <v>0</v>
      </c>
      <c r="D3399">
        <v>0</v>
      </c>
      <c r="E3399">
        <v>0</v>
      </c>
      <c r="F3399">
        <v>0</v>
      </c>
      <c r="G3399">
        <v>134.13535053000001</v>
      </c>
      <c r="H3399">
        <v>14254.22854966</v>
      </c>
      <c r="I3399">
        <v>0</v>
      </c>
      <c r="J3399">
        <v>0</v>
      </c>
      <c r="K3399">
        <v>128.06756704</v>
      </c>
      <c r="L3399">
        <v>0</v>
      </c>
      <c r="M3399">
        <v>0</v>
      </c>
      <c r="N3399">
        <v>0</v>
      </c>
      <c r="O3399">
        <v>-92.674809929950783</v>
      </c>
      <c r="P3399">
        <v>707005.65534162999</v>
      </c>
    </row>
    <row r="3400" spans="1:16" x14ac:dyDescent="0.25">
      <c r="A3400" s="10">
        <v>42654</v>
      </c>
      <c r="B3400">
        <v>4888.6384501000857</v>
      </c>
      <c r="C3400">
        <v>0</v>
      </c>
      <c r="D3400">
        <v>0</v>
      </c>
      <c r="E3400">
        <v>0</v>
      </c>
      <c r="F3400">
        <v>0</v>
      </c>
      <c r="G3400">
        <v>-123.20999907000009</v>
      </c>
      <c r="H3400">
        <v>5323.7826865499992</v>
      </c>
      <c r="I3400">
        <v>0</v>
      </c>
      <c r="J3400">
        <v>-110</v>
      </c>
      <c r="K3400">
        <v>35.850053139999638</v>
      </c>
      <c r="L3400">
        <v>-148.10000000000039</v>
      </c>
      <c r="M3400">
        <v>0</v>
      </c>
      <c r="N3400">
        <v>0</v>
      </c>
      <c r="O3400">
        <v>-89.684290519913162</v>
      </c>
      <c r="P3400">
        <v>711894.29379172984</v>
      </c>
    </row>
    <row r="3401" spans="1:16" x14ac:dyDescent="0.25">
      <c r="A3401" s="10">
        <v>42655</v>
      </c>
      <c r="B3401">
        <v>-2271.6369220297779</v>
      </c>
      <c r="C3401">
        <v>0</v>
      </c>
      <c r="D3401">
        <v>0</v>
      </c>
      <c r="E3401">
        <v>0</v>
      </c>
      <c r="F3401">
        <v>0</v>
      </c>
      <c r="G3401">
        <v>-20.401574820003589</v>
      </c>
      <c r="H3401">
        <v>-1867.764432739998</v>
      </c>
      <c r="I3401">
        <v>0</v>
      </c>
      <c r="J3401">
        <v>0</v>
      </c>
      <c r="K3401">
        <v>9.3614419799999986</v>
      </c>
      <c r="L3401">
        <v>-424</v>
      </c>
      <c r="M3401">
        <v>0</v>
      </c>
      <c r="N3401">
        <v>0</v>
      </c>
      <c r="O3401">
        <v>31.167643550223151</v>
      </c>
      <c r="P3401">
        <v>709622.65686970018</v>
      </c>
    </row>
    <row r="3402" spans="1:16" x14ac:dyDescent="0.25">
      <c r="A3402" s="10">
        <v>42656</v>
      </c>
      <c r="B3402">
        <v>-1761.8206237901479</v>
      </c>
      <c r="C3402">
        <v>0</v>
      </c>
      <c r="D3402">
        <v>0</v>
      </c>
      <c r="E3402">
        <v>0</v>
      </c>
      <c r="F3402">
        <v>0</v>
      </c>
      <c r="G3402">
        <v>-59.82191621000004</v>
      </c>
      <c r="H3402">
        <v>-84.539172259999759</v>
      </c>
      <c r="I3402">
        <v>0</v>
      </c>
      <c r="J3402">
        <v>0</v>
      </c>
      <c r="K3402">
        <v>8.4220453000000006</v>
      </c>
      <c r="L3402">
        <v>-1830.3</v>
      </c>
      <c r="M3402">
        <v>0</v>
      </c>
      <c r="N3402">
        <v>0</v>
      </c>
      <c r="O3402">
        <v>204.4184193798512</v>
      </c>
      <c r="P3402">
        <v>707860.83624591003</v>
      </c>
    </row>
    <row r="3403" spans="1:16" x14ac:dyDescent="0.25">
      <c r="A3403" s="10">
        <v>42657</v>
      </c>
      <c r="B3403">
        <v>-333.01715663029</v>
      </c>
      <c r="C3403">
        <v>0</v>
      </c>
      <c r="D3403">
        <v>0</v>
      </c>
      <c r="E3403">
        <v>0</v>
      </c>
      <c r="F3403">
        <v>0</v>
      </c>
      <c r="G3403">
        <v>-4.2115103500000259</v>
      </c>
      <c r="H3403">
        <v>-389.24836687000061</v>
      </c>
      <c r="I3403">
        <v>0</v>
      </c>
      <c r="J3403">
        <v>0</v>
      </c>
      <c r="K3403">
        <v>20.031046239999998</v>
      </c>
      <c r="L3403">
        <v>0</v>
      </c>
      <c r="M3403">
        <v>0</v>
      </c>
      <c r="N3403">
        <v>0</v>
      </c>
      <c r="O3403">
        <v>40.411674349710623</v>
      </c>
      <c r="P3403">
        <v>707527.81908927974</v>
      </c>
    </row>
    <row r="3404" spans="1:16" x14ac:dyDescent="0.25">
      <c r="A3404" s="10">
        <v>42660</v>
      </c>
      <c r="B3404">
        <v>-3401.3534173499811</v>
      </c>
      <c r="C3404">
        <v>0</v>
      </c>
      <c r="D3404">
        <v>0</v>
      </c>
      <c r="E3404">
        <v>0</v>
      </c>
      <c r="F3404">
        <v>0</v>
      </c>
      <c r="G3404">
        <v>-367.3487283200011</v>
      </c>
      <c r="H3404">
        <v>-2162.8970374399978</v>
      </c>
      <c r="I3404">
        <v>0</v>
      </c>
      <c r="J3404">
        <v>0</v>
      </c>
      <c r="K3404">
        <v>23.970581450000001</v>
      </c>
      <c r="L3404">
        <v>-915.30000000000018</v>
      </c>
      <c r="M3404">
        <v>0</v>
      </c>
      <c r="N3404">
        <v>0</v>
      </c>
      <c r="O3404">
        <v>20.221766960018609</v>
      </c>
      <c r="P3404">
        <v>704126.46567192976</v>
      </c>
    </row>
    <row r="3405" spans="1:16" x14ac:dyDescent="0.25">
      <c r="A3405" s="10">
        <v>42661</v>
      </c>
      <c r="B3405">
        <v>-4036.9944841196998</v>
      </c>
      <c r="C3405">
        <v>0</v>
      </c>
      <c r="D3405">
        <v>0</v>
      </c>
      <c r="E3405">
        <v>0</v>
      </c>
      <c r="F3405">
        <v>0</v>
      </c>
      <c r="G3405">
        <v>220.49641315</v>
      </c>
      <c r="H3405">
        <v>-3712.0689144600001</v>
      </c>
      <c r="I3405">
        <v>0</v>
      </c>
      <c r="J3405">
        <v>0</v>
      </c>
      <c r="K3405">
        <v>9.4925406100000007</v>
      </c>
      <c r="L3405">
        <v>-525.40000000000009</v>
      </c>
      <c r="M3405">
        <v>0</v>
      </c>
      <c r="N3405">
        <v>0</v>
      </c>
      <c r="O3405">
        <v>-29.514523419700431</v>
      </c>
      <c r="P3405">
        <v>700089.47118781006</v>
      </c>
    </row>
    <row r="3406" spans="1:16" x14ac:dyDescent="0.25">
      <c r="A3406" s="10">
        <v>42662</v>
      </c>
      <c r="B3406">
        <v>-14770.149580000199</v>
      </c>
      <c r="C3406">
        <v>0</v>
      </c>
      <c r="D3406">
        <v>0</v>
      </c>
      <c r="E3406">
        <v>0</v>
      </c>
      <c r="F3406">
        <v>0</v>
      </c>
      <c r="G3406">
        <v>303.56810464</v>
      </c>
      <c r="H3406">
        <v>-5268.9058590500063</v>
      </c>
      <c r="I3406">
        <v>0</v>
      </c>
      <c r="J3406">
        <v>0</v>
      </c>
      <c r="K3406">
        <v>24.906322119999999</v>
      </c>
      <c r="L3406">
        <v>-9678.2999999999993</v>
      </c>
      <c r="M3406">
        <v>0</v>
      </c>
      <c r="N3406">
        <v>0</v>
      </c>
      <c r="O3406">
        <v>-151.41814771019381</v>
      </c>
      <c r="P3406">
        <v>685319.32160780986</v>
      </c>
    </row>
    <row r="3407" spans="1:16" x14ac:dyDescent="0.25">
      <c r="A3407" s="10">
        <v>42663</v>
      </c>
      <c r="B3407">
        <v>6332.2938153202431</v>
      </c>
      <c r="C3407">
        <v>0</v>
      </c>
      <c r="D3407">
        <v>0</v>
      </c>
      <c r="E3407">
        <v>0</v>
      </c>
      <c r="F3407">
        <v>0</v>
      </c>
      <c r="G3407">
        <v>51.470614109999993</v>
      </c>
      <c r="H3407">
        <v>6246.6651888500064</v>
      </c>
      <c r="I3407">
        <v>0</v>
      </c>
      <c r="J3407">
        <v>0</v>
      </c>
      <c r="K3407">
        <v>27.72037306999999</v>
      </c>
      <c r="L3407">
        <v>-126.9</v>
      </c>
      <c r="M3407">
        <v>0</v>
      </c>
      <c r="N3407">
        <v>0</v>
      </c>
      <c r="O3407">
        <v>133.33763929023721</v>
      </c>
      <c r="P3407">
        <v>691651.61542312999</v>
      </c>
    </row>
    <row r="3408" spans="1:16" x14ac:dyDescent="0.25">
      <c r="A3408" s="10">
        <v>42664</v>
      </c>
      <c r="B3408">
        <v>-2847.220400130373</v>
      </c>
      <c r="C3408">
        <v>0</v>
      </c>
      <c r="D3408">
        <v>0</v>
      </c>
      <c r="E3408">
        <v>0</v>
      </c>
      <c r="F3408">
        <v>0</v>
      </c>
      <c r="G3408">
        <v>35.059844269999303</v>
      </c>
      <c r="H3408">
        <v>-2415.8821136699989</v>
      </c>
      <c r="I3408">
        <v>0</v>
      </c>
      <c r="J3408">
        <v>0</v>
      </c>
      <c r="K3408">
        <v>11.61061883</v>
      </c>
      <c r="L3408">
        <v>-454.2</v>
      </c>
      <c r="M3408">
        <v>0</v>
      </c>
      <c r="N3408">
        <v>0</v>
      </c>
      <c r="O3408">
        <v>-23.808749560373052</v>
      </c>
      <c r="P3408">
        <v>688804.39502299961</v>
      </c>
    </row>
    <row r="3409" spans="1:16" x14ac:dyDescent="0.25">
      <c r="A3409" s="10">
        <v>42667</v>
      </c>
      <c r="B3409">
        <v>-2294.0578268294912</v>
      </c>
      <c r="C3409">
        <v>0</v>
      </c>
      <c r="D3409">
        <v>0</v>
      </c>
      <c r="E3409">
        <v>0</v>
      </c>
      <c r="F3409">
        <v>0</v>
      </c>
      <c r="G3409">
        <v>69.13365956999769</v>
      </c>
      <c r="H3409">
        <v>-2361.1608929299982</v>
      </c>
      <c r="I3409">
        <v>0</v>
      </c>
      <c r="J3409">
        <v>0</v>
      </c>
      <c r="K3409">
        <v>37.498803090000003</v>
      </c>
      <c r="L3409">
        <v>-293.69999999999982</v>
      </c>
      <c r="M3409">
        <v>0</v>
      </c>
      <c r="N3409">
        <v>0</v>
      </c>
      <c r="O3409">
        <v>254.17060344050981</v>
      </c>
      <c r="P3409">
        <v>686510.33719617012</v>
      </c>
    </row>
    <row r="3410" spans="1:16" x14ac:dyDescent="0.25">
      <c r="A3410" s="10">
        <v>42668</v>
      </c>
      <c r="B3410">
        <v>1319.8259248395891</v>
      </c>
      <c r="C3410">
        <v>163.27763999999999</v>
      </c>
      <c r="D3410">
        <v>0</v>
      </c>
      <c r="E3410">
        <v>0</v>
      </c>
      <c r="F3410">
        <v>0</v>
      </c>
      <c r="G3410">
        <v>-212.81642479000041</v>
      </c>
      <c r="H3410">
        <v>2609.0715982999968</v>
      </c>
      <c r="I3410">
        <v>0</v>
      </c>
      <c r="J3410">
        <v>0</v>
      </c>
      <c r="K3410">
        <v>13.546112620000001</v>
      </c>
      <c r="L3410">
        <v>-1174.5999999999999</v>
      </c>
      <c r="M3410">
        <v>0</v>
      </c>
      <c r="N3410">
        <v>0</v>
      </c>
      <c r="O3410">
        <v>-78.653001290407786</v>
      </c>
      <c r="P3410">
        <v>687830.16312100971</v>
      </c>
    </row>
    <row r="3411" spans="1:16" x14ac:dyDescent="0.25">
      <c r="A3411" s="10">
        <v>42669</v>
      </c>
      <c r="B3411">
        <v>-14277.76767722005</v>
      </c>
      <c r="C3411">
        <v>0</v>
      </c>
      <c r="D3411">
        <v>0</v>
      </c>
      <c r="E3411">
        <v>0</v>
      </c>
      <c r="F3411">
        <v>0</v>
      </c>
      <c r="G3411">
        <v>88.125942280000032</v>
      </c>
      <c r="H3411">
        <v>-7025.174629770001</v>
      </c>
      <c r="I3411">
        <v>0</v>
      </c>
      <c r="J3411">
        <v>0</v>
      </c>
      <c r="K3411">
        <v>25.658828339999999</v>
      </c>
      <c r="L3411">
        <v>-7452.4000000000005</v>
      </c>
      <c r="M3411">
        <v>0</v>
      </c>
      <c r="N3411">
        <v>0</v>
      </c>
      <c r="O3411">
        <v>86.022181929954229</v>
      </c>
      <c r="P3411">
        <v>673552.39544378978</v>
      </c>
    </row>
    <row r="3412" spans="1:16" x14ac:dyDescent="0.25">
      <c r="A3412" s="10">
        <v>42670</v>
      </c>
      <c r="B3412">
        <v>-3647.824571869683</v>
      </c>
      <c r="C3412">
        <v>0</v>
      </c>
      <c r="D3412">
        <v>0</v>
      </c>
      <c r="E3412">
        <v>0</v>
      </c>
      <c r="F3412">
        <v>0</v>
      </c>
      <c r="G3412">
        <v>-92.574373019997438</v>
      </c>
      <c r="H3412">
        <v>-3266.8165821799989</v>
      </c>
      <c r="I3412">
        <v>0</v>
      </c>
      <c r="J3412">
        <v>0</v>
      </c>
      <c r="K3412">
        <v>29.869312659999991</v>
      </c>
      <c r="L3412">
        <v>-380.7</v>
      </c>
      <c r="M3412">
        <v>0</v>
      </c>
      <c r="N3412">
        <v>0</v>
      </c>
      <c r="O3412">
        <v>62.397070670313873</v>
      </c>
      <c r="P3412">
        <v>669904.57087192009</v>
      </c>
    </row>
    <row r="3413" spans="1:16" x14ac:dyDescent="0.25">
      <c r="A3413" s="10">
        <v>42671</v>
      </c>
      <c r="B3413">
        <v>31578.825068079739</v>
      </c>
      <c r="C3413">
        <v>0</v>
      </c>
      <c r="D3413">
        <v>30359.4</v>
      </c>
      <c r="E3413">
        <v>0</v>
      </c>
      <c r="F3413">
        <v>0</v>
      </c>
      <c r="G3413">
        <v>176.0658165899986</v>
      </c>
      <c r="H3413">
        <v>3005.5981744399978</v>
      </c>
      <c r="I3413">
        <v>0</v>
      </c>
      <c r="J3413">
        <v>0</v>
      </c>
      <c r="K3413">
        <v>18.647126719999999</v>
      </c>
      <c r="L3413">
        <v>-1807.1</v>
      </c>
      <c r="M3413">
        <v>0</v>
      </c>
      <c r="N3413">
        <v>0</v>
      </c>
      <c r="O3413">
        <v>-173.7860496702589</v>
      </c>
      <c r="P3413">
        <v>701483.39593999984</v>
      </c>
    </row>
    <row r="3414" spans="1:16" x14ac:dyDescent="0.25">
      <c r="A3414" s="10">
        <v>42674</v>
      </c>
      <c r="B3414">
        <v>-27274.214294759669</v>
      </c>
      <c r="C3414">
        <v>0</v>
      </c>
      <c r="D3414">
        <v>0</v>
      </c>
      <c r="E3414">
        <v>0</v>
      </c>
      <c r="F3414">
        <v>0</v>
      </c>
      <c r="G3414">
        <v>-149.99655931999999</v>
      </c>
      <c r="H3414">
        <v>-25387.310279069989</v>
      </c>
      <c r="I3414">
        <v>0</v>
      </c>
      <c r="J3414">
        <v>0</v>
      </c>
      <c r="K3414">
        <v>49.2025267</v>
      </c>
      <c r="L3414">
        <v>-1706.5</v>
      </c>
      <c r="M3414">
        <v>0</v>
      </c>
      <c r="N3414">
        <v>0</v>
      </c>
      <c r="O3414">
        <v>-79.609983069678123</v>
      </c>
      <c r="P3414">
        <v>674209.18164524017</v>
      </c>
    </row>
    <row r="3415" spans="1:16" x14ac:dyDescent="0.25">
      <c r="A3415" s="10">
        <v>42675</v>
      </c>
      <c r="B3415">
        <v>43688.439852429787</v>
      </c>
      <c r="C3415">
        <v>0</v>
      </c>
      <c r="D3415">
        <v>0</v>
      </c>
      <c r="E3415">
        <v>0</v>
      </c>
      <c r="F3415">
        <v>0</v>
      </c>
      <c r="G3415">
        <v>142.11652501</v>
      </c>
      <c r="H3415">
        <v>44563.063736089993</v>
      </c>
      <c r="I3415">
        <v>0</v>
      </c>
      <c r="J3415">
        <v>0</v>
      </c>
      <c r="K3415">
        <v>32.269815510000008</v>
      </c>
      <c r="L3415">
        <v>-1133.9000000000001</v>
      </c>
      <c r="M3415">
        <v>0</v>
      </c>
      <c r="N3415">
        <v>0</v>
      </c>
      <c r="O3415">
        <v>84.889775819795616</v>
      </c>
      <c r="P3415">
        <v>717897.62149766996</v>
      </c>
    </row>
    <row r="3416" spans="1:16" x14ac:dyDescent="0.25">
      <c r="A3416" s="10">
        <v>42676</v>
      </c>
      <c r="B3416">
        <v>-13823.37080001016</v>
      </c>
      <c r="C3416">
        <v>0</v>
      </c>
      <c r="D3416">
        <v>0</v>
      </c>
      <c r="E3416">
        <v>0</v>
      </c>
      <c r="F3416">
        <v>0</v>
      </c>
      <c r="G3416">
        <v>-8.1077914400000282</v>
      </c>
      <c r="H3416">
        <v>-342.59789640999952</v>
      </c>
      <c r="I3416">
        <v>0</v>
      </c>
      <c r="J3416">
        <v>0</v>
      </c>
      <c r="K3416">
        <v>18.24058359</v>
      </c>
      <c r="L3416">
        <v>-13348.7</v>
      </c>
      <c r="M3416">
        <v>0</v>
      </c>
      <c r="N3416">
        <v>0</v>
      </c>
      <c r="O3416">
        <v>-142.20569575016091</v>
      </c>
      <c r="P3416">
        <v>704074.25069765979</v>
      </c>
    </row>
    <row r="3417" spans="1:16" x14ac:dyDescent="0.25">
      <c r="A3417" s="10">
        <v>42677</v>
      </c>
      <c r="B3417">
        <v>724.30792831000849</v>
      </c>
      <c r="C3417">
        <v>0</v>
      </c>
      <c r="D3417">
        <v>0</v>
      </c>
      <c r="E3417">
        <v>0</v>
      </c>
      <c r="F3417">
        <v>0</v>
      </c>
      <c r="G3417">
        <v>-85.792069830000401</v>
      </c>
      <c r="H3417">
        <v>580.82112996999786</v>
      </c>
      <c r="I3417">
        <v>0</v>
      </c>
      <c r="J3417">
        <v>0</v>
      </c>
      <c r="K3417">
        <v>15.762337860000001</v>
      </c>
      <c r="L3417">
        <v>0</v>
      </c>
      <c r="M3417">
        <v>0</v>
      </c>
      <c r="N3417">
        <v>0</v>
      </c>
      <c r="O3417">
        <v>213.51653031001109</v>
      </c>
      <c r="P3417">
        <v>704798.5586259698</v>
      </c>
    </row>
    <row r="3418" spans="1:16" x14ac:dyDescent="0.25">
      <c r="A3418" s="10">
        <v>42678</v>
      </c>
      <c r="B3418">
        <v>16719.57889483008</v>
      </c>
      <c r="C3418">
        <v>0</v>
      </c>
      <c r="D3418">
        <v>19148.25</v>
      </c>
      <c r="E3418">
        <v>0</v>
      </c>
      <c r="F3418">
        <v>0</v>
      </c>
      <c r="G3418">
        <v>-216.52902610999811</v>
      </c>
      <c r="H3418">
        <v>-2071.2651882200012</v>
      </c>
      <c r="I3418">
        <v>0</v>
      </c>
      <c r="J3418">
        <v>0</v>
      </c>
      <c r="K3418">
        <v>6.18637865</v>
      </c>
      <c r="L3418">
        <v>-293.10000000000002</v>
      </c>
      <c r="M3418">
        <v>0</v>
      </c>
      <c r="N3418">
        <v>0</v>
      </c>
      <c r="O3418">
        <v>146.03673051007351</v>
      </c>
      <c r="P3418">
        <v>721518.13752079988</v>
      </c>
    </row>
    <row r="3419" spans="1:16" x14ac:dyDescent="0.25">
      <c r="A3419" s="10">
        <v>42681</v>
      </c>
      <c r="B3419">
        <v>1799.2078172700719</v>
      </c>
      <c r="C3419">
        <v>0</v>
      </c>
      <c r="D3419">
        <v>0</v>
      </c>
      <c r="E3419">
        <v>0</v>
      </c>
      <c r="F3419">
        <v>0</v>
      </c>
      <c r="G3419">
        <v>-28.038549790000619</v>
      </c>
      <c r="H3419">
        <v>2005.331510930002</v>
      </c>
      <c r="I3419">
        <v>0</v>
      </c>
      <c r="J3419">
        <v>0</v>
      </c>
      <c r="K3419">
        <v>23.10662146</v>
      </c>
      <c r="L3419">
        <v>-19.599999999999909</v>
      </c>
      <c r="M3419">
        <v>0</v>
      </c>
      <c r="N3419">
        <v>0</v>
      </c>
      <c r="O3419">
        <v>-181.59176532992981</v>
      </c>
      <c r="P3419">
        <v>723317.34533806995</v>
      </c>
    </row>
    <row r="3420" spans="1:16" x14ac:dyDescent="0.25">
      <c r="A3420" s="10">
        <v>42682</v>
      </c>
      <c r="B3420">
        <v>968.83922703017151</v>
      </c>
      <c r="C3420">
        <v>0</v>
      </c>
      <c r="D3420">
        <v>0</v>
      </c>
      <c r="E3420">
        <v>0</v>
      </c>
      <c r="F3420">
        <v>0</v>
      </c>
      <c r="G3420">
        <v>103.64201068</v>
      </c>
      <c r="H3420">
        <v>1067.1267189399989</v>
      </c>
      <c r="I3420">
        <v>0</v>
      </c>
      <c r="J3420">
        <v>-105.5</v>
      </c>
      <c r="K3420">
        <v>-6.8450854500001821</v>
      </c>
      <c r="L3420">
        <v>0</v>
      </c>
      <c r="M3420">
        <v>0</v>
      </c>
      <c r="N3420">
        <v>0</v>
      </c>
      <c r="O3420">
        <v>-89.584417139827082</v>
      </c>
      <c r="P3420">
        <v>724286.18456510012</v>
      </c>
    </row>
    <row r="3421" spans="1:16" x14ac:dyDescent="0.25">
      <c r="A3421" s="10">
        <v>42683</v>
      </c>
      <c r="B3421">
        <v>3161.7193564397749</v>
      </c>
      <c r="C3421">
        <v>0</v>
      </c>
      <c r="D3421">
        <v>0</v>
      </c>
      <c r="E3421">
        <v>0</v>
      </c>
      <c r="F3421">
        <v>0</v>
      </c>
      <c r="G3421">
        <v>10.810210759999791</v>
      </c>
      <c r="H3421">
        <v>-3918.2914960299931</v>
      </c>
      <c r="I3421">
        <v>0</v>
      </c>
      <c r="J3421">
        <v>0</v>
      </c>
      <c r="K3421">
        <v>4.8083661600000003</v>
      </c>
      <c r="L3421">
        <v>6918.7</v>
      </c>
      <c r="M3421">
        <v>0</v>
      </c>
      <c r="N3421">
        <v>0</v>
      </c>
      <c r="O3421">
        <v>145.69227554976891</v>
      </c>
      <c r="P3421">
        <v>727447.90392153978</v>
      </c>
    </row>
    <row r="3422" spans="1:16" x14ac:dyDescent="0.25">
      <c r="A3422" s="10">
        <v>42684</v>
      </c>
      <c r="B3422">
        <v>-2181.9727244800888</v>
      </c>
      <c r="C3422">
        <v>0</v>
      </c>
      <c r="D3422">
        <v>0</v>
      </c>
      <c r="E3422">
        <v>0</v>
      </c>
      <c r="F3422">
        <v>0</v>
      </c>
      <c r="G3422">
        <v>-84.364572149999987</v>
      </c>
      <c r="H3422">
        <v>-2145.216296850002</v>
      </c>
      <c r="I3422">
        <v>0</v>
      </c>
      <c r="J3422">
        <v>0</v>
      </c>
      <c r="K3422">
        <v>21.629414149999999</v>
      </c>
      <c r="L3422">
        <v>0</v>
      </c>
      <c r="M3422">
        <v>0</v>
      </c>
      <c r="N3422">
        <v>0</v>
      </c>
      <c r="O3422">
        <v>25.978730369912771</v>
      </c>
      <c r="P3422">
        <v>725265.93119705969</v>
      </c>
    </row>
    <row r="3423" spans="1:16" x14ac:dyDescent="0.25">
      <c r="A3423" s="10">
        <v>42685</v>
      </c>
      <c r="B3423">
        <v>-6267.1065147499312</v>
      </c>
      <c r="C3423">
        <v>0</v>
      </c>
      <c r="D3423">
        <v>0</v>
      </c>
      <c r="E3423">
        <v>0</v>
      </c>
      <c r="F3423">
        <v>0</v>
      </c>
      <c r="G3423">
        <v>143.67249018999999</v>
      </c>
      <c r="H3423">
        <v>-6696.8033195100033</v>
      </c>
      <c r="I3423">
        <v>0</v>
      </c>
      <c r="J3423">
        <v>0</v>
      </c>
      <c r="K3423">
        <v>8.4935064499999999</v>
      </c>
      <c r="L3423">
        <v>263.7</v>
      </c>
      <c r="M3423">
        <v>0</v>
      </c>
      <c r="N3423">
        <v>0</v>
      </c>
      <c r="O3423">
        <v>13.83080812007265</v>
      </c>
      <c r="P3423">
        <v>718998.82468230987</v>
      </c>
    </row>
    <row r="3424" spans="1:16" x14ac:dyDescent="0.25">
      <c r="A3424" s="10">
        <v>42688</v>
      </c>
      <c r="B3424">
        <v>-1396.064655530146</v>
      </c>
      <c r="C3424">
        <v>0</v>
      </c>
      <c r="D3424">
        <v>0</v>
      </c>
      <c r="E3424">
        <v>0</v>
      </c>
      <c r="F3424">
        <v>0</v>
      </c>
      <c r="G3424">
        <v>-52.156894590000029</v>
      </c>
      <c r="H3424">
        <v>-2492.7875140399919</v>
      </c>
      <c r="I3424">
        <v>0</v>
      </c>
      <c r="J3424">
        <v>0</v>
      </c>
      <c r="K3424">
        <v>35.989366150000002</v>
      </c>
      <c r="L3424">
        <v>1105.7</v>
      </c>
      <c r="M3424">
        <v>0</v>
      </c>
      <c r="N3424">
        <v>0</v>
      </c>
      <c r="O3424">
        <v>7.1903869498464701</v>
      </c>
      <c r="P3424">
        <v>717602.76002677984</v>
      </c>
    </row>
    <row r="3425" spans="1:16" x14ac:dyDescent="0.25">
      <c r="A3425" s="10">
        <v>42689</v>
      </c>
      <c r="B3425">
        <v>267.42267289013012</v>
      </c>
      <c r="C3425">
        <v>0</v>
      </c>
      <c r="D3425">
        <v>0</v>
      </c>
      <c r="E3425">
        <v>0</v>
      </c>
      <c r="F3425">
        <v>0</v>
      </c>
      <c r="G3425">
        <v>-68.768571309999999</v>
      </c>
      <c r="H3425">
        <v>277.16362585000019</v>
      </c>
      <c r="I3425">
        <v>0</v>
      </c>
      <c r="J3425">
        <v>0</v>
      </c>
      <c r="K3425">
        <v>13.8059713</v>
      </c>
      <c r="L3425">
        <v>1</v>
      </c>
      <c r="M3425">
        <v>0</v>
      </c>
      <c r="N3425">
        <v>0</v>
      </c>
      <c r="O3425">
        <v>44.22164705012986</v>
      </c>
      <c r="P3425">
        <v>717870.18269966997</v>
      </c>
    </row>
    <row r="3426" spans="1:16" x14ac:dyDescent="0.25">
      <c r="A3426" s="10">
        <v>42690</v>
      </c>
      <c r="B3426">
        <v>19040.544820840241</v>
      </c>
      <c r="C3426">
        <v>0</v>
      </c>
      <c r="D3426">
        <v>0</v>
      </c>
      <c r="E3426">
        <v>0</v>
      </c>
      <c r="F3426">
        <v>0</v>
      </c>
      <c r="G3426">
        <v>-250.12034014</v>
      </c>
      <c r="H3426">
        <v>-6924.1943962699952</v>
      </c>
      <c r="I3426">
        <v>0</v>
      </c>
      <c r="J3426">
        <v>0</v>
      </c>
      <c r="K3426">
        <v>13.622535490000001</v>
      </c>
      <c r="L3426">
        <v>26056.7</v>
      </c>
      <c r="M3426">
        <v>0</v>
      </c>
      <c r="N3426">
        <v>0</v>
      </c>
      <c r="O3426">
        <v>144.53702176023219</v>
      </c>
      <c r="P3426">
        <v>736910.72752050997</v>
      </c>
    </row>
    <row r="3427" spans="1:16" x14ac:dyDescent="0.25">
      <c r="A3427" s="10">
        <v>42691</v>
      </c>
      <c r="B3427">
        <v>-3902.1632112701168</v>
      </c>
      <c r="C3427">
        <v>0</v>
      </c>
      <c r="D3427">
        <v>0</v>
      </c>
      <c r="E3427">
        <v>0</v>
      </c>
      <c r="F3427">
        <v>0</v>
      </c>
      <c r="G3427">
        <v>-1519.5853258899999</v>
      </c>
      <c r="H3427">
        <v>3794.0535584399991</v>
      </c>
      <c r="I3427">
        <v>0</v>
      </c>
      <c r="J3427">
        <v>0</v>
      </c>
      <c r="K3427">
        <v>36.908987760000002</v>
      </c>
      <c r="L3427">
        <v>-6106.4</v>
      </c>
      <c r="M3427">
        <v>0</v>
      </c>
      <c r="N3427">
        <v>0</v>
      </c>
      <c r="O3427">
        <v>-107.1404315801163</v>
      </c>
      <c r="P3427">
        <v>733008.56430924009</v>
      </c>
    </row>
    <row r="3428" spans="1:16" x14ac:dyDescent="0.25">
      <c r="A3428" s="10">
        <v>42692</v>
      </c>
      <c r="B3428">
        <v>-4729.8016877902</v>
      </c>
      <c r="C3428">
        <v>66.536050000000003</v>
      </c>
      <c r="D3428">
        <v>0</v>
      </c>
      <c r="E3428">
        <v>0</v>
      </c>
      <c r="F3428">
        <v>0</v>
      </c>
      <c r="G3428">
        <v>1448.3785923099999</v>
      </c>
      <c r="H3428">
        <v>-718.47495761999744</v>
      </c>
      <c r="I3428">
        <v>0</v>
      </c>
      <c r="J3428">
        <v>0</v>
      </c>
      <c r="K3428">
        <v>14.0023769</v>
      </c>
      <c r="L3428">
        <v>-5631.46</v>
      </c>
      <c r="M3428">
        <v>0</v>
      </c>
      <c r="N3428">
        <v>0</v>
      </c>
      <c r="O3428">
        <v>91.216250619797208</v>
      </c>
      <c r="P3428">
        <v>728278.76262144989</v>
      </c>
    </row>
    <row r="3429" spans="1:16" x14ac:dyDescent="0.25">
      <c r="A3429" s="10">
        <v>42695</v>
      </c>
      <c r="B3429">
        <v>94.17205850035279</v>
      </c>
      <c r="C3429">
        <v>0</v>
      </c>
      <c r="D3429">
        <v>0</v>
      </c>
      <c r="E3429">
        <v>0</v>
      </c>
      <c r="F3429">
        <v>0</v>
      </c>
      <c r="G3429">
        <v>200.83339669999989</v>
      </c>
      <c r="H3429">
        <v>1821.597126880006</v>
      </c>
      <c r="I3429">
        <v>0</v>
      </c>
      <c r="J3429">
        <v>0</v>
      </c>
      <c r="K3429">
        <v>40.093213550000002</v>
      </c>
      <c r="L3429">
        <v>-1763.4</v>
      </c>
      <c r="M3429">
        <v>0</v>
      </c>
      <c r="N3429">
        <v>0</v>
      </c>
      <c r="O3429">
        <v>-204.951678629653</v>
      </c>
      <c r="P3429">
        <v>728372.93467995012</v>
      </c>
    </row>
    <row r="3430" spans="1:16" x14ac:dyDescent="0.25">
      <c r="A3430" s="10">
        <v>42696</v>
      </c>
      <c r="B3430">
        <v>-3273.8430604804321</v>
      </c>
      <c r="C3430">
        <v>0</v>
      </c>
      <c r="D3430">
        <v>0</v>
      </c>
      <c r="E3430">
        <v>0</v>
      </c>
      <c r="F3430">
        <v>0</v>
      </c>
      <c r="G3430">
        <v>4.9772236299995711</v>
      </c>
      <c r="H3430">
        <v>747.19875193999906</v>
      </c>
      <c r="I3430">
        <v>0</v>
      </c>
      <c r="J3430">
        <v>0</v>
      </c>
      <c r="K3430">
        <v>13.917883850000001</v>
      </c>
      <c r="L3430">
        <v>-4000.4</v>
      </c>
      <c r="M3430">
        <v>0</v>
      </c>
      <c r="N3430">
        <v>0</v>
      </c>
      <c r="O3430">
        <v>-39.536919900430902</v>
      </c>
      <c r="P3430">
        <v>725099.09161946969</v>
      </c>
    </row>
    <row r="3431" spans="1:16" x14ac:dyDescent="0.25">
      <c r="A3431" s="10">
        <v>42697</v>
      </c>
      <c r="B3431">
        <v>-13615.935406369619</v>
      </c>
      <c r="C3431">
        <v>0</v>
      </c>
      <c r="D3431">
        <v>0</v>
      </c>
      <c r="E3431">
        <v>0</v>
      </c>
      <c r="F3431">
        <v>0</v>
      </c>
      <c r="G3431">
        <v>244.53795751999999</v>
      </c>
      <c r="H3431">
        <v>-3343.5283199600021</v>
      </c>
      <c r="I3431">
        <v>0</v>
      </c>
      <c r="J3431">
        <v>0</v>
      </c>
      <c r="K3431">
        <v>13.28966346</v>
      </c>
      <c r="L3431">
        <v>-10246.700000000001</v>
      </c>
      <c r="M3431">
        <v>0</v>
      </c>
      <c r="N3431">
        <v>0</v>
      </c>
      <c r="O3431">
        <v>-283.53470738961812</v>
      </c>
      <c r="P3431">
        <v>711483.15621310007</v>
      </c>
    </row>
    <row r="3432" spans="1:16" x14ac:dyDescent="0.25">
      <c r="A3432" s="10">
        <v>42698</v>
      </c>
      <c r="B3432">
        <v>-6838.5895596699575</v>
      </c>
      <c r="C3432">
        <v>0</v>
      </c>
      <c r="D3432">
        <v>0</v>
      </c>
      <c r="E3432">
        <v>0</v>
      </c>
      <c r="F3432">
        <v>0</v>
      </c>
      <c r="G3432">
        <v>-0.97248950999997441</v>
      </c>
      <c r="H3432">
        <v>-6774.9648706099979</v>
      </c>
      <c r="I3432">
        <v>0</v>
      </c>
      <c r="J3432">
        <v>0</v>
      </c>
      <c r="K3432">
        <v>43.158893119999988</v>
      </c>
      <c r="L3432">
        <v>-293.19999999999987</v>
      </c>
      <c r="M3432">
        <v>0</v>
      </c>
      <c r="N3432">
        <v>0</v>
      </c>
      <c r="O3432">
        <v>187.3889073300401</v>
      </c>
      <c r="P3432">
        <v>704644.56665343011</v>
      </c>
    </row>
    <row r="3433" spans="1:16" x14ac:dyDescent="0.25">
      <c r="A3433" s="10">
        <v>42699</v>
      </c>
      <c r="B3433">
        <v>-1381.510510570138</v>
      </c>
      <c r="C3433">
        <v>0</v>
      </c>
      <c r="D3433">
        <v>0</v>
      </c>
      <c r="E3433">
        <v>6100</v>
      </c>
      <c r="F3433">
        <v>0</v>
      </c>
      <c r="G3433">
        <v>-38.36421660999622</v>
      </c>
      <c r="H3433">
        <v>-6819.0306426500028</v>
      </c>
      <c r="I3433">
        <v>0</v>
      </c>
      <c r="J3433">
        <v>0</v>
      </c>
      <c r="K3433">
        <v>14.15106694</v>
      </c>
      <c r="L3433">
        <v>-733.59999999999991</v>
      </c>
      <c r="M3433">
        <v>0</v>
      </c>
      <c r="N3433">
        <v>0</v>
      </c>
      <c r="O3433">
        <v>95.333281749860646</v>
      </c>
      <c r="P3433">
        <v>703263.05614285998</v>
      </c>
    </row>
    <row r="3434" spans="1:16" x14ac:dyDescent="0.25">
      <c r="A3434" s="10">
        <v>42703</v>
      </c>
      <c r="B3434">
        <v>24695.763519559991</v>
      </c>
      <c r="C3434">
        <v>0</v>
      </c>
      <c r="D3434">
        <v>30184.585491999998</v>
      </c>
      <c r="E3434">
        <v>0</v>
      </c>
      <c r="F3434">
        <v>0</v>
      </c>
      <c r="G3434">
        <v>-31.131076514993769</v>
      </c>
      <c r="H3434">
        <v>-2341.5181354600059</v>
      </c>
      <c r="I3434">
        <v>0</v>
      </c>
      <c r="J3434">
        <v>0</v>
      </c>
      <c r="K3434">
        <v>67.686088789999999</v>
      </c>
      <c r="L3434">
        <v>-3148.1</v>
      </c>
      <c r="M3434">
        <v>0</v>
      </c>
      <c r="N3434">
        <v>0</v>
      </c>
      <c r="O3434">
        <v>-35.758849255008677</v>
      </c>
      <c r="P3434">
        <v>727958.81966241996</v>
      </c>
    </row>
    <row r="3435" spans="1:16" x14ac:dyDescent="0.25">
      <c r="A3435" s="10">
        <v>42704</v>
      </c>
      <c r="B3435">
        <v>-11269.783488659999</v>
      </c>
      <c r="C3435">
        <v>0</v>
      </c>
      <c r="D3435">
        <v>0</v>
      </c>
      <c r="E3435">
        <v>0</v>
      </c>
      <c r="F3435">
        <v>0</v>
      </c>
      <c r="G3435">
        <v>2.5816743100003809</v>
      </c>
      <c r="H3435">
        <v>-22546.63021331999</v>
      </c>
      <c r="I3435">
        <v>0</v>
      </c>
      <c r="J3435">
        <v>0</v>
      </c>
      <c r="K3435">
        <v>18.942224979999999</v>
      </c>
      <c r="L3435">
        <v>11421.523999999999</v>
      </c>
      <c r="M3435">
        <v>0</v>
      </c>
      <c r="N3435">
        <v>0</v>
      </c>
      <c r="O3435">
        <v>-166.2011746300075</v>
      </c>
      <c r="P3435">
        <v>716689.03617376008</v>
      </c>
    </row>
    <row r="3436" spans="1:16" x14ac:dyDescent="0.25">
      <c r="A3436" s="10">
        <v>42705</v>
      </c>
      <c r="B3436">
        <v>41871.324537770131</v>
      </c>
      <c r="C3436">
        <v>0</v>
      </c>
      <c r="D3436">
        <v>0</v>
      </c>
      <c r="E3436">
        <v>0</v>
      </c>
      <c r="F3436">
        <v>0</v>
      </c>
      <c r="G3436">
        <v>128.55894888000009</v>
      </c>
      <c r="H3436">
        <v>41528.457691899981</v>
      </c>
      <c r="I3436">
        <v>0</v>
      </c>
      <c r="J3436">
        <v>0</v>
      </c>
      <c r="K3436">
        <v>89.565368439999986</v>
      </c>
      <c r="L3436">
        <v>0</v>
      </c>
      <c r="M3436">
        <v>0</v>
      </c>
      <c r="N3436">
        <v>0</v>
      </c>
      <c r="O3436">
        <v>124.7425285501464</v>
      </c>
      <c r="P3436">
        <v>758560.36071153008</v>
      </c>
    </row>
    <row r="3437" spans="1:16" x14ac:dyDescent="0.25">
      <c r="A3437" s="10">
        <v>42706</v>
      </c>
      <c r="B3437">
        <v>-1753.4070019999051</v>
      </c>
      <c r="C3437">
        <v>0</v>
      </c>
      <c r="D3437">
        <v>0</v>
      </c>
      <c r="E3437">
        <v>0</v>
      </c>
      <c r="F3437">
        <v>0</v>
      </c>
      <c r="G3437">
        <v>14.748404610000019</v>
      </c>
      <c r="H3437">
        <v>-1330.652201460005</v>
      </c>
      <c r="I3437">
        <v>0</v>
      </c>
      <c r="J3437">
        <v>0</v>
      </c>
      <c r="K3437">
        <v>20.086950479999999</v>
      </c>
      <c r="L3437">
        <v>-547.90000000000009</v>
      </c>
      <c r="M3437">
        <v>0</v>
      </c>
      <c r="N3437">
        <v>0</v>
      </c>
      <c r="O3437">
        <v>90.309844370100251</v>
      </c>
      <c r="P3437">
        <v>756806.95370953018</v>
      </c>
    </row>
    <row r="3438" spans="1:16" x14ac:dyDescent="0.25">
      <c r="A3438" s="10">
        <v>42709</v>
      </c>
      <c r="B3438">
        <v>4632.7114790397454</v>
      </c>
      <c r="C3438">
        <v>0</v>
      </c>
      <c r="D3438">
        <v>0</v>
      </c>
      <c r="E3438">
        <v>0</v>
      </c>
      <c r="F3438">
        <v>0</v>
      </c>
      <c r="G3438">
        <v>-43.683269740000028</v>
      </c>
      <c r="H3438">
        <v>5982.3335424799952</v>
      </c>
      <c r="I3438">
        <v>0</v>
      </c>
      <c r="J3438">
        <v>0</v>
      </c>
      <c r="K3438">
        <v>48.628691839999988</v>
      </c>
      <c r="L3438">
        <v>-1323.6</v>
      </c>
      <c r="M3438">
        <v>0</v>
      </c>
      <c r="N3438">
        <v>0</v>
      </c>
      <c r="O3438">
        <v>-30.96748554024926</v>
      </c>
      <c r="P3438">
        <v>761439.66518856992</v>
      </c>
    </row>
    <row r="3439" spans="1:16" x14ac:dyDescent="0.25">
      <c r="A3439" s="10">
        <v>42710</v>
      </c>
      <c r="B3439">
        <v>-4171.6141602298021</v>
      </c>
      <c r="C3439">
        <v>0</v>
      </c>
      <c r="D3439">
        <v>0</v>
      </c>
      <c r="E3439">
        <v>0</v>
      </c>
      <c r="F3439">
        <v>0</v>
      </c>
      <c r="G3439">
        <v>69.777577940000015</v>
      </c>
      <c r="H3439">
        <v>-3426.2329052700011</v>
      </c>
      <c r="I3439">
        <v>0</v>
      </c>
      <c r="J3439">
        <v>0</v>
      </c>
      <c r="K3439">
        <v>14.48550563</v>
      </c>
      <c r="L3439">
        <v>-791.09999999999991</v>
      </c>
      <c r="M3439">
        <v>0</v>
      </c>
      <c r="N3439">
        <v>0</v>
      </c>
      <c r="O3439">
        <v>-38.544338529801458</v>
      </c>
      <c r="P3439">
        <v>757268.05102834012</v>
      </c>
    </row>
    <row r="3440" spans="1:16" x14ac:dyDescent="0.25">
      <c r="A3440" s="10">
        <v>42711</v>
      </c>
      <c r="B3440">
        <v>15097.445051299641</v>
      </c>
      <c r="C3440">
        <v>0</v>
      </c>
      <c r="D3440">
        <v>0</v>
      </c>
      <c r="E3440">
        <v>0</v>
      </c>
      <c r="F3440">
        <v>0</v>
      </c>
      <c r="G3440">
        <v>-86.532148319999976</v>
      </c>
      <c r="H3440">
        <v>-5748.1168768999996</v>
      </c>
      <c r="I3440">
        <v>0</v>
      </c>
      <c r="J3440">
        <v>0</v>
      </c>
      <c r="K3440">
        <v>16.635029759999998</v>
      </c>
      <c r="L3440">
        <v>21242.022092070001</v>
      </c>
      <c r="M3440">
        <v>0</v>
      </c>
      <c r="N3440">
        <v>0</v>
      </c>
      <c r="O3440">
        <v>-326.56304531036108</v>
      </c>
      <c r="P3440">
        <v>772365.49607963988</v>
      </c>
    </row>
    <row r="3441" spans="1:16" x14ac:dyDescent="0.25">
      <c r="A3441" s="10">
        <v>42716</v>
      </c>
      <c r="B3441">
        <v>5890.3908432002609</v>
      </c>
      <c r="C3441">
        <v>0</v>
      </c>
      <c r="D3441">
        <v>0</v>
      </c>
      <c r="E3441">
        <v>0</v>
      </c>
      <c r="F3441">
        <v>0</v>
      </c>
      <c r="G3441">
        <v>-167.01401121999999</v>
      </c>
      <c r="H3441">
        <v>5985.8987787899969</v>
      </c>
      <c r="I3441">
        <v>0</v>
      </c>
      <c r="J3441">
        <v>-94.899999999999636</v>
      </c>
      <c r="K3441">
        <v>81.938077239999998</v>
      </c>
      <c r="L3441">
        <v>0</v>
      </c>
      <c r="M3441">
        <v>0</v>
      </c>
      <c r="N3441">
        <v>0</v>
      </c>
      <c r="O3441">
        <v>84.467998390263716</v>
      </c>
      <c r="P3441">
        <v>778255.88692284015</v>
      </c>
    </row>
    <row r="3442" spans="1:16" x14ac:dyDescent="0.25">
      <c r="A3442" s="10">
        <v>42717</v>
      </c>
      <c r="B3442">
        <v>1775.375871320023</v>
      </c>
      <c r="C3442">
        <v>0</v>
      </c>
      <c r="D3442">
        <v>0</v>
      </c>
      <c r="E3442">
        <v>0</v>
      </c>
      <c r="F3442">
        <v>0</v>
      </c>
      <c r="G3442">
        <v>57.790679649999959</v>
      </c>
      <c r="H3442">
        <v>1645.561473169997</v>
      </c>
      <c r="I3442">
        <v>0</v>
      </c>
      <c r="J3442">
        <v>0</v>
      </c>
      <c r="K3442">
        <v>17.747350610000002</v>
      </c>
      <c r="L3442">
        <v>0</v>
      </c>
      <c r="M3442">
        <v>0</v>
      </c>
      <c r="N3442">
        <v>0</v>
      </c>
      <c r="O3442">
        <v>54.276367890025668</v>
      </c>
      <c r="P3442">
        <v>780031.26279416017</v>
      </c>
    </row>
    <row r="3443" spans="1:16" x14ac:dyDescent="0.25">
      <c r="A3443" s="10">
        <v>42718</v>
      </c>
      <c r="B3443">
        <v>24538.071546429659</v>
      </c>
      <c r="C3443">
        <v>0</v>
      </c>
      <c r="D3443">
        <v>0</v>
      </c>
      <c r="E3443">
        <v>0</v>
      </c>
      <c r="F3443">
        <v>0</v>
      </c>
      <c r="G3443">
        <v>40.210365090000103</v>
      </c>
      <c r="H3443">
        <v>-3970.803351809991</v>
      </c>
      <c r="I3443">
        <v>0</v>
      </c>
      <c r="J3443">
        <v>0</v>
      </c>
      <c r="K3443">
        <v>16.294448880000001</v>
      </c>
      <c r="L3443">
        <v>28319.9</v>
      </c>
      <c r="M3443">
        <v>0</v>
      </c>
      <c r="N3443">
        <v>0</v>
      </c>
      <c r="O3443">
        <v>132.47008426964459</v>
      </c>
      <c r="P3443">
        <v>804569.33434058982</v>
      </c>
    </row>
    <row r="3444" spans="1:16" x14ac:dyDescent="0.25">
      <c r="A3444" s="10">
        <v>42719</v>
      </c>
      <c r="B3444">
        <v>-13055.370169059839</v>
      </c>
      <c r="C3444">
        <v>0</v>
      </c>
      <c r="D3444">
        <v>0</v>
      </c>
      <c r="E3444">
        <v>0</v>
      </c>
      <c r="F3444">
        <v>0</v>
      </c>
      <c r="G3444">
        <v>-791.56102886999997</v>
      </c>
      <c r="H3444">
        <v>-12187.19880088</v>
      </c>
      <c r="I3444">
        <v>0</v>
      </c>
      <c r="J3444">
        <v>0</v>
      </c>
      <c r="K3444">
        <v>17.04125724</v>
      </c>
      <c r="L3444">
        <v>-97.799999999999955</v>
      </c>
      <c r="M3444">
        <v>0</v>
      </c>
      <c r="N3444">
        <v>0</v>
      </c>
      <c r="O3444">
        <v>4.1484034501620037</v>
      </c>
      <c r="P3444">
        <v>791513.96417152998</v>
      </c>
    </row>
    <row r="3445" spans="1:16" x14ac:dyDescent="0.25">
      <c r="A3445" s="10">
        <v>42720</v>
      </c>
      <c r="B3445">
        <v>-24.561592889948741</v>
      </c>
      <c r="C3445">
        <v>0</v>
      </c>
      <c r="D3445">
        <v>0</v>
      </c>
      <c r="E3445">
        <v>0</v>
      </c>
      <c r="F3445">
        <v>0</v>
      </c>
      <c r="G3445">
        <v>726.83948898999995</v>
      </c>
      <c r="H3445">
        <v>-265.85035690999212</v>
      </c>
      <c r="I3445">
        <v>0</v>
      </c>
      <c r="J3445">
        <v>0</v>
      </c>
      <c r="K3445">
        <v>25.21294975</v>
      </c>
      <c r="L3445">
        <v>-489.3</v>
      </c>
      <c r="M3445">
        <v>0</v>
      </c>
      <c r="N3445">
        <v>0</v>
      </c>
      <c r="O3445">
        <v>-21.463674719956629</v>
      </c>
      <c r="P3445">
        <v>791489.40257863991</v>
      </c>
    </row>
    <row r="3446" spans="1:16" x14ac:dyDescent="0.25">
      <c r="A3446" s="10">
        <v>42723</v>
      </c>
      <c r="B3446">
        <v>-362.86263055970988</v>
      </c>
      <c r="C3446">
        <v>0</v>
      </c>
      <c r="D3446">
        <v>0</v>
      </c>
      <c r="E3446">
        <v>0</v>
      </c>
      <c r="F3446">
        <v>0</v>
      </c>
      <c r="G3446">
        <v>-201.0849667399998</v>
      </c>
      <c r="H3446">
        <v>-238.3110800499999</v>
      </c>
      <c r="I3446">
        <v>0</v>
      </c>
      <c r="J3446">
        <v>0</v>
      </c>
      <c r="K3446">
        <v>77.956014460000006</v>
      </c>
      <c r="L3446">
        <v>0</v>
      </c>
      <c r="M3446">
        <v>0</v>
      </c>
      <c r="N3446">
        <v>0</v>
      </c>
      <c r="O3446">
        <v>-1.422598229710264</v>
      </c>
      <c r="P3446">
        <v>791126.5399480802</v>
      </c>
    </row>
    <row r="3447" spans="1:16" x14ac:dyDescent="0.25">
      <c r="A3447" s="10">
        <v>42724</v>
      </c>
      <c r="B3447">
        <v>9845.5420126797435</v>
      </c>
      <c r="C3447">
        <v>11087.56</v>
      </c>
      <c r="D3447">
        <v>0</v>
      </c>
      <c r="E3447">
        <v>0</v>
      </c>
      <c r="F3447">
        <v>0</v>
      </c>
      <c r="G3447">
        <v>-38.666178920000021</v>
      </c>
      <c r="H3447">
        <v>-646.56288885999675</v>
      </c>
      <c r="I3447">
        <v>0</v>
      </c>
      <c r="J3447">
        <v>0</v>
      </c>
      <c r="K3447">
        <v>26.453959879999999</v>
      </c>
      <c r="L3447">
        <v>-561.5</v>
      </c>
      <c r="M3447">
        <v>0</v>
      </c>
      <c r="N3447">
        <v>0</v>
      </c>
      <c r="O3447">
        <v>-21.742879420259481</v>
      </c>
      <c r="P3447">
        <v>800972.08196076006</v>
      </c>
    </row>
    <row r="3448" spans="1:16" x14ac:dyDescent="0.25">
      <c r="A3448" s="10">
        <v>42725</v>
      </c>
      <c r="B3448">
        <v>20410.407579920131</v>
      </c>
      <c r="C3448">
        <v>0</v>
      </c>
      <c r="D3448">
        <v>0</v>
      </c>
      <c r="E3448">
        <v>0</v>
      </c>
      <c r="F3448">
        <v>0</v>
      </c>
      <c r="G3448">
        <v>297.30305338000022</v>
      </c>
      <c r="H3448">
        <v>-501.96570965999132</v>
      </c>
      <c r="I3448">
        <v>0</v>
      </c>
      <c r="J3448">
        <v>0</v>
      </c>
      <c r="K3448">
        <v>27.200130569999999</v>
      </c>
      <c r="L3448">
        <v>20791.099999999999</v>
      </c>
      <c r="M3448">
        <v>0</v>
      </c>
      <c r="N3448">
        <v>0</v>
      </c>
      <c r="O3448">
        <v>-203.22989436987339</v>
      </c>
      <c r="P3448">
        <v>821382.4895406802</v>
      </c>
    </row>
    <row r="3449" spans="1:16" x14ac:dyDescent="0.25">
      <c r="A3449" s="10">
        <v>42726</v>
      </c>
      <c r="B3449">
        <v>-14375.10465162014</v>
      </c>
      <c r="C3449">
        <v>0</v>
      </c>
      <c r="D3449">
        <v>0</v>
      </c>
      <c r="E3449">
        <v>0</v>
      </c>
      <c r="F3449">
        <v>0</v>
      </c>
      <c r="G3449">
        <v>-168.17305454000001</v>
      </c>
      <c r="H3449">
        <v>-14268.79276018</v>
      </c>
      <c r="I3449">
        <v>0</v>
      </c>
      <c r="J3449">
        <v>0</v>
      </c>
      <c r="K3449">
        <v>27.6164992</v>
      </c>
      <c r="L3449">
        <v>-24.5</v>
      </c>
      <c r="M3449">
        <v>0</v>
      </c>
      <c r="N3449">
        <v>0</v>
      </c>
      <c r="O3449">
        <v>58.744663899861187</v>
      </c>
      <c r="P3449">
        <v>807007.38488905993</v>
      </c>
    </row>
    <row r="3450" spans="1:16" x14ac:dyDescent="0.25">
      <c r="A3450" s="10">
        <v>42727</v>
      </c>
      <c r="B3450">
        <v>-8244.5727642700167</v>
      </c>
      <c r="C3450">
        <v>0</v>
      </c>
      <c r="D3450">
        <v>0</v>
      </c>
      <c r="E3450">
        <v>0</v>
      </c>
      <c r="F3450">
        <v>0</v>
      </c>
      <c r="G3450">
        <v>113.79167953</v>
      </c>
      <c r="H3450">
        <v>-8545.3396992499984</v>
      </c>
      <c r="I3450">
        <v>0</v>
      </c>
      <c r="J3450">
        <v>0</v>
      </c>
      <c r="K3450">
        <v>36.502024380000002</v>
      </c>
      <c r="L3450">
        <v>78.800000000000011</v>
      </c>
      <c r="M3450">
        <v>0</v>
      </c>
      <c r="N3450">
        <v>0</v>
      </c>
      <c r="O3450">
        <v>71.673231069981554</v>
      </c>
      <c r="P3450">
        <v>798762.81212478993</v>
      </c>
    </row>
    <row r="3451" spans="1:16" x14ac:dyDescent="0.25">
      <c r="A3451" s="10">
        <v>42730</v>
      </c>
      <c r="B3451">
        <v>276.42553078999572</v>
      </c>
      <c r="C3451">
        <v>0</v>
      </c>
      <c r="D3451">
        <v>0</v>
      </c>
      <c r="E3451">
        <v>0</v>
      </c>
      <c r="F3451">
        <v>0</v>
      </c>
      <c r="G3451">
        <v>138.29147893999999</v>
      </c>
      <c r="H3451">
        <v>6.5305197399866302</v>
      </c>
      <c r="I3451">
        <v>0</v>
      </c>
      <c r="J3451">
        <v>0</v>
      </c>
      <c r="K3451">
        <v>125.54159437</v>
      </c>
      <c r="L3451">
        <v>0</v>
      </c>
      <c r="M3451">
        <v>0</v>
      </c>
      <c r="N3451">
        <v>0</v>
      </c>
      <c r="O3451">
        <v>6.0619377400090997</v>
      </c>
      <c r="P3451">
        <v>799039.23765557993</v>
      </c>
    </row>
    <row r="3452" spans="1:16" x14ac:dyDescent="0.25">
      <c r="A3452" s="10">
        <v>42731</v>
      </c>
      <c r="B3452">
        <v>-1612.678687420203</v>
      </c>
      <c r="C3452">
        <v>0</v>
      </c>
      <c r="D3452">
        <v>0</v>
      </c>
      <c r="E3452">
        <v>0</v>
      </c>
      <c r="F3452">
        <v>0</v>
      </c>
      <c r="G3452">
        <v>-20.062894259999968</v>
      </c>
      <c r="H3452">
        <v>-1675.640448990016</v>
      </c>
      <c r="I3452">
        <v>0</v>
      </c>
      <c r="J3452">
        <v>0</v>
      </c>
      <c r="K3452">
        <v>40.558816290000003</v>
      </c>
      <c r="L3452">
        <v>-7.2999999999999554</v>
      </c>
      <c r="M3452">
        <v>0</v>
      </c>
      <c r="N3452">
        <v>0</v>
      </c>
      <c r="O3452">
        <v>49.765839539812887</v>
      </c>
      <c r="P3452">
        <v>797426.55896815984</v>
      </c>
    </row>
    <row r="3453" spans="1:16" x14ac:dyDescent="0.25">
      <c r="A3453" s="10">
        <v>42732</v>
      </c>
      <c r="B3453">
        <v>14373.326177690051</v>
      </c>
      <c r="C3453">
        <v>0</v>
      </c>
      <c r="D3453">
        <v>6209</v>
      </c>
      <c r="E3453">
        <v>0</v>
      </c>
      <c r="F3453">
        <v>0</v>
      </c>
      <c r="G3453">
        <v>-432.03106455000028</v>
      </c>
      <c r="H3453">
        <v>-9809.9909603399865</v>
      </c>
      <c r="I3453">
        <v>0</v>
      </c>
      <c r="J3453">
        <v>0</v>
      </c>
      <c r="K3453">
        <v>42.448544279999993</v>
      </c>
      <c r="L3453">
        <v>18586.3</v>
      </c>
      <c r="M3453">
        <v>0</v>
      </c>
      <c r="N3453">
        <v>0</v>
      </c>
      <c r="O3453">
        <v>-222.40034169995849</v>
      </c>
      <c r="P3453">
        <v>811799.8851458499</v>
      </c>
    </row>
    <row r="3454" spans="1:16" x14ac:dyDescent="0.25">
      <c r="A3454" s="10">
        <v>42733</v>
      </c>
      <c r="B3454">
        <v>6220.5347536001309</v>
      </c>
      <c r="C3454">
        <v>86.178214999999994</v>
      </c>
      <c r="D3454">
        <v>0</v>
      </c>
      <c r="E3454">
        <v>0</v>
      </c>
      <c r="F3454">
        <v>0</v>
      </c>
      <c r="G3454">
        <v>411.21135697000051</v>
      </c>
      <c r="H3454">
        <v>5611.0645325599908</v>
      </c>
      <c r="I3454">
        <v>0</v>
      </c>
      <c r="J3454">
        <v>0</v>
      </c>
      <c r="K3454">
        <v>49.180708600000003</v>
      </c>
      <c r="L3454">
        <v>12.100000000000019</v>
      </c>
      <c r="M3454">
        <v>0</v>
      </c>
      <c r="N3454">
        <v>0</v>
      </c>
      <c r="O3454">
        <v>50.799940470139333</v>
      </c>
      <c r="P3454">
        <v>818020.41989944992</v>
      </c>
    </row>
    <row r="3455" spans="1:16" x14ac:dyDescent="0.25">
      <c r="A3455" s="10">
        <v>42734</v>
      </c>
      <c r="B3455">
        <v>3643.8256862198532</v>
      </c>
      <c r="C3455">
        <v>0</v>
      </c>
      <c r="D3455">
        <v>0</v>
      </c>
      <c r="E3455">
        <v>0</v>
      </c>
      <c r="F3455">
        <v>0</v>
      </c>
      <c r="G3455">
        <v>36.546279919999513</v>
      </c>
      <c r="H3455">
        <v>4536.2249801800062</v>
      </c>
      <c r="I3455">
        <v>0</v>
      </c>
      <c r="J3455">
        <v>0</v>
      </c>
      <c r="K3455">
        <v>44.362943329999993</v>
      </c>
      <c r="L3455">
        <v>-978.49999999999989</v>
      </c>
      <c r="M3455">
        <v>0</v>
      </c>
      <c r="N3455">
        <v>0</v>
      </c>
      <c r="O3455">
        <v>5.1914827898470328</v>
      </c>
      <c r="P3455">
        <v>821664.24558566976</v>
      </c>
    </row>
    <row r="3456" spans="1:16" x14ac:dyDescent="0.25">
      <c r="A3456" s="10">
        <v>42737</v>
      </c>
      <c r="B3456">
        <v>33286.754414330237</v>
      </c>
      <c r="C3456">
        <v>0</v>
      </c>
      <c r="D3456">
        <v>0</v>
      </c>
      <c r="E3456">
        <v>0</v>
      </c>
      <c r="F3456">
        <v>0</v>
      </c>
      <c r="G3456">
        <v>-1175.197240309896</v>
      </c>
      <c r="H3456">
        <v>34745.882939989999</v>
      </c>
      <c r="I3456">
        <v>0</v>
      </c>
      <c r="J3456">
        <v>0</v>
      </c>
      <c r="K3456">
        <v>122.61833566</v>
      </c>
      <c r="L3456">
        <v>-441.2</v>
      </c>
      <c r="M3456">
        <v>0</v>
      </c>
      <c r="N3456">
        <v>0</v>
      </c>
      <c r="O3456">
        <v>34.650378990134051</v>
      </c>
      <c r="P3456">
        <v>854951</v>
      </c>
    </row>
    <row r="3457" spans="1:16" x14ac:dyDescent="0.25">
      <c r="A3457" s="10">
        <v>42738</v>
      </c>
      <c r="B3457">
        <v>1577</v>
      </c>
      <c r="C3457">
        <v>0</v>
      </c>
      <c r="D3457">
        <v>0</v>
      </c>
      <c r="E3457">
        <v>0</v>
      </c>
      <c r="F3457">
        <v>0</v>
      </c>
      <c r="G3457">
        <v>75.523072029727871</v>
      </c>
      <c r="H3457">
        <v>1270.0816202099959</v>
      </c>
      <c r="I3457">
        <v>0</v>
      </c>
      <c r="J3457">
        <v>0</v>
      </c>
      <c r="K3457">
        <v>20.025378610000001</v>
      </c>
      <c r="L3457">
        <v>0</v>
      </c>
      <c r="M3457">
        <v>0</v>
      </c>
      <c r="N3457">
        <v>0</v>
      </c>
      <c r="O3457">
        <v>211.36992915027619</v>
      </c>
      <c r="P3457">
        <v>856528</v>
      </c>
    </row>
    <row r="3458" spans="1:16" x14ac:dyDescent="0.25">
      <c r="A3458" s="10">
        <v>42739</v>
      </c>
      <c r="B3458">
        <v>-4192</v>
      </c>
      <c r="C3458">
        <v>0</v>
      </c>
      <c r="D3458">
        <v>0</v>
      </c>
      <c r="E3458">
        <v>0</v>
      </c>
      <c r="F3458">
        <v>0</v>
      </c>
      <c r="G3458">
        <v>45.079168250302253</v>
      </c>
      <c r="H3458">
        <v>10342.64903215</v>
      </c>
      <c r="I3458">
        <v>0</v>
      </c>
      <c r="J3458">
        <v>0</v>
      </c>
      <c r="K3458">
        <v>14.60037925</v>
      </c>
      <c r="L3458">
        <v>-14609.5</v>
      </c>
      <c r="M3458">
        <v>0</v>
      </c>
      <c r="N3458">
        <v>0</v>
      </c>
      <c r="O3458">
        <v>15.17142034969584</v>
      </c>
      <c r="P3458">
        <v>852336</v>
      </c>
    </row>
    <row r="3459" spans="1:16" x14ac:dyDescent="0.25">
      <c r="A3459" s="10">
        <v>42740</v>
      </c>
      <c r="B3459">
        <v>-9194</v>
      </c>
      <c r="C3459">
        <v>0</v>
      </c>
      <c r="D3459">
        <v>0</v>
      </c>
      <c r="E3459">
        <v>0</v>
      </c>
      <c r="F3459">
        <v>0</v>
      </c>
      <c r="G3459">
        <v>-118.4419715301422</v>
      </c>
      <c r="H3459">
        <v>-9079.804757509999</v>
      </c>
      <c r="I3459">
        <v>0</v>
      </c>
      <c r="J3459">
        <v>0</v>
      </c>
      <c r="K3459">
        <v>5.7039471399999986</v>
      </c>
      <c r="L3459">
        <v>0</v>
      </c>
      <c r="M3459">
        <v>0</v>
      </c>
      <c r="N3459">
        <v>0</v>
      </c>
      <c r="O3459">
        <v>-1.4572180998588</v>
      </c>
      <c r="P3459">
        <v>843142</v>
      </c>
    </row>
    <row r="3460" spans="1:16" x14ac:dyDescent="0.25">
      <c r="A3460" s="10">
        <v>42741</v>
      </c>
      <c r="B3460">
        <v>-3022</v>
      </c>
      <c r="C3460">
        <v>0</v>
      </c>
      <c r="D3460">
        <v>0</v>
      </c>
      <c r="E3460">
        <v>0</v>
      </c>
      <c r="F3460">
        <v>0</v>
      </c>
      <c r="G3460">
        <v>83.081639539819065</v>
      </c>
      <c r="H3460">
        <v>-2837.6884026500052</v>
      </c>
      <c r="I3460">
        <v>0</v>
      </c>
      <c r="J3460">
        <v>0</v>
      </c>
      <c r="K3460">
        <v>12.41372846</v>
      </c>
      <c r="L3460">
        <v>0</v>
      </c>
      <c r="M3460">
        <v>0</v>
      </c>
      <c r="N3460">
        <v>0</v>
      </c>
      <c r="O3460">
        <v>-279.80696534981428</v>
      </c>
      <c r="P3460">
        <v>840120</v>
      </c>
    </row>
    <row r="3461" spans="1:16" x14ac:dyDescent="0.25">
      <c r="A3461" s="10">
        <v>42744</v>
      </c>
      <c r="B3461">
        <v>-821</v>
      </c>
      <c r="C3461">
        <v>0</v>
      </c>
      <c r="D3461">
        <v>0</v>
      </c>
      <c r="E3461">
        <v>0</v>
      </c>
      <c r="F3461">
        <v>0</v>
      </c>
      <c r="G3461">
        <v>-156.4830720697905</v>
      </c>
      <c r="H3461">
        <v>-549.78048079000291</v>
      </c>
      <c r="I3461">
        <v>0</v>
      </c>
      <c r="J3461">
        <v>-96.800000000000182</v>
      </c>
      <c r="K3461">
        <v>5.4626448199996354</v>
      </c>
      <c r="L3461">
        <v>0</v>
      </c>
      <c r="M3461">
        <v>0</v>
      </c>
      <c r="N3461">
        <v>0</v>
      </c>
      <c r="O3461">
        <v>-23.399091960206011</v>
      </c>
      <c r="P3461">
        <v>839299</v>
      </c>
    </row>
    <row r="3462" spans="1:16" x14ac:dyDescent="0.25">
      <c r="A3462" s="10">
        <v>42745</v>
      </c>
      <c r="B3462">
        <v>7764</v>
      </c>
      <c r="C3462">
        <v>0</v>
      </c>
      <c r="D3462">
        <v>0</v>
      </c>
      <c r="E3462">
        <v>0</v>
      </c>
      <c r="F3462">
        <v>0</v>
      </c>
      <c r="G3462">
        <v>107.2675195897443</v>
      </c>
      <c r="H3462">
        <v>7677.2617253899953</v>
      </c>
      <c r="I3462">
        <v>0</v>
      </c>
      <c r="J3462">
        <v>0</v>
      </c>
      <c r="K3462">
        <v>5.8445888799999999</v>
      </c>
      <c r="L3462">
        <v>0</v>
      </c>
      <c r="M3462">
        <v>0</v>
      </c>
      <c r="N3462">
        <v>0</v>
      </c>
      <c r="O3462">
        <v>-26.373833859739531</v>
      </c>
      <c r="P3462">
        <v>847063</v>
      </c>
    </row>
    <row r="3463" spans="1:16" x14ac:dyDescent="0.25">
      <c r="A3463" s="10">
        <v>42746</v>
      </c>
      <c r="B3463">
        <v>-47762</v>
      </c>
      <c r="C3463">
        <v>0</v>
      </c>
      <c r="D3463">
        <v>0</v>
      </c>
      <c r="E3463">
        <v>0</v>
      </c>
      <c r="F3463">
        <v>0</v>
      </c>
      <c r="G3463">
        <v>-231.8519736099195</v>
      </c>
      <c r="H3463">
        <v>-32511.137181040001</v>
      </c>
      <c r="I3463">
        <v>0</v>
      </c>
      <c r="J3463">
        <v>0</v>
      </c>
      <c r="K3463">
        <v>29.705630280000008</v>
      </c>
      <c r="L3463">
        <v>-15413.4</v>
      </c>
      <c r="M3463">
        <v>0</v>
      </c>
      <c r="N3463">
        <v>0</v>
      </c>
      <c r="O3463">
        <v>364.68352436992137</v>
      </c>
      <c r="P3463">
        <v>799301</v>
      </c>
    </row>
    <row r="3464" spans="1:16" x14ac:dyDescent="0.25">
      <c r="A3464" s="10">
        <v>42747</v>
      </c>
      <c r="B3464">
        <v>-1431</v>
      </c>
      <c r="C3464">
        <v>0</v>
      </c>
      <c r="D3464">
        <v>0</v>
      </c>
      <c r="E3464">
        <v>-2000</v>
      </c>
      <c r="F3464">
        <v>0</v>
      </c>
      <c r="G3464">
        <v>-164.23137762986261</v>
      </c>
      <c r="H3464">
        <v>670.5908438500046</v>
      </c>
      <c r="I3464">
        <v>0</v>
      </c>
      <c r="J3464">
        <v>0</v>
      </c>
      <c r="K3464">
        <v>61.523693710000003</v>
      </c>
      <c r="L3464">
        <v>0</v>
      </c>
      <c r="M3464">
        <v>0</v>
      </c>
      <c r="N3464">
        <v>0</v>
      </c>
      <c r="O3464">
        <v>1.1168400698580181</v>
      </c>
      <c r="P3464">
        <v>797870</v>
      </c>
    </row>
    <row r="3465" spans="1:16" x14ac:dyDescent="0.25">
      <c r="A3465" s="10">
        <v>42748</v>
      </c>
      <c r="B3465">
        <v>-3783</v>
      </c>
      <c r="C3465">
        <v>0</v>
      </c>
      <c r="D3465">
        <v>0</v>
      </c>
      <c r="E3465">
        <v>0</v>
      </c>
      <c r="F3465">
        <v>0</v>
      </c>
      <c r="G3465">
        <v>-161.98490559995099</v>
      </c>
      <c r="H3465">
        <v>-3580.6823740899849</v>
      </c>
      <c r="I3465">
        <v>0</v>
      </c>
      <c r="J3465">
        <v>0</v>
      </c>
      <c r="K3465">
        <v>50.350413250000003</v>
      </c>
      <c r="L3465">
        <v>0</v>
      </c>
      <c r="M3465">
        <v>0</v>
      </c>
      <c r="N3465">
        <v>0</v>
      </c>
      <c r="O3465">
        <v>-90.683133560063652</v>
      </c>
      <c r="P3465">
        <v>794087</v>
      </c>
    </row>
    <row r="3466" spans="1:16" x14ac:dyDescent="0.25">
      <c r="A3466" s="10">
        <v>42751</v>
      </c>
      <c r="B3466">
        <v>-4104</v>
      </c>
      <c r="C3466">
        <v>0</v>
      </c>
      <c r="D3466">
        <v>0</v>
      </c>
      <c r="E3466">
        <v>0</v>
      </c>
      <c r="F3466">
        <v>0</v>
      </c>
      <c r="G3466">
        <v>50.313899899725527</v>
      </c>
      <c r="H3466">
        <v>-4209.7470396099961</v>
      </c>
      <c r="I3466">
        <v>0</v>
      </c>
      <c r="J3466">
        <v>0</v>
      </c>
      <c r="K3466">
        <v>93.386852210000015</v>
      </c>
      <c r="L3466">
        <v>0</v>
      </c>
      <c r="M3466">
        <v>0</v>
      </c>
      <c r="N3466">
        <v>0</v>
      </c>
      <c r="O3466">
        <v>-37.953712499729413</v>
      </c>
      <c r="P3466">
        <v>789983</v>
      </c>
    </row>
    <row r="3467" spans="1:16" x14ac:dyDescent="0.25">
      <c r="A3467" s="10">
        <v>42752</v>
      </c>
      <c r="B3467">
        <v>-22230</v>
      </c>
      <c r="C3467">
        <v>0</v>
      </c>
      <c r="D3467">
        <v>0</v>
      </c>
      <c r="E3467">
        <v>0</v>
      </c>
      <c r="F3467">
        <v>0</v>
      </c>
      <c r="G3467">
        <v>160.80732268033859</v>
      </c>
      <c r="H3467">
        <v>-22420.299728099999</v>
      </c>
      <c r="I3467">
        <v>0</v>
      </c>
      <c r="J3467">
        <v>0</v>
      </c>
      <c r="K3467">
        <v>35.611646370000003</v>
      </c>
      <c r="L3467">
        <v>0</v>
      </c>
      <c r="M3467">
        <v>0</v>
      </c>
      <c r="N3467">
        <v>0</v>
      </c>
      <c r="O3467">
        <v>-6.1192409503397371</v>
      </c>
      <c r="P3467">
        <v>767753</v>
      </c>
    </row>
    <row r="3468" spans="1:16" x14ac:dyDescent="0.25">
      <c r="A3468" s="10">
        <v>42753</v>
      </c>
      <c r="B3468">
        <v>26511</v>
      </c>
      <c r="C3468">
        <v>0</v>
      </c>
      <c r="D3468">
        <v>0</v>
      </c>
      <c r="E3468">
        <v>0</v>
      </c>
      <c r="F3468">
        <v>0</v>
      </c>
      <c r="G3468">
        <v>193.64368531013031</v>
      </c>
      <c r="H3468">
        <v>-12534.282742449979</v>
      </c>
      <c r="I3468">
        <v>0</v>
      </c>
      <c r="J3468">
        <v>0</v>
      </c>
      <c r="K3468">
        <v>60.401539049999997</v>
      </c>
      <c r="L3468">
        <v>38939.67</v>
      </c>
      <c r="M3468">
        <v>0</v>
      </c>
      <c r="N3468">
        <v>0</v>
      </c>
      <c r="O3468">
        <v>-148.4324819101428</v>
      </c>
      <c r="P3468">
        <v>794264</v>
      </c>
    </row>
    <row r="3469" spans="1:16" x14ac:dyDescent="0.25">
      <c r="A3469" s="10">
        <v>42754</v>
      </c>
      <c r="B3469">
        <v>-3609</v>
      </c>
      <c r="C3469">
        <v>0</v>
      </c>
      <c r="D3469">
        <v>0</v>
      </c>
      <c r="E3469">
        <v>0</v>
      </c>
      <c r="F3469">
        <v>0</v>
      </c>
      <c r="G3469">
        <v>-22.574110370113591</v>
      </c>
      <c r="H3469">
        <v>-3645.9979691199992</v>
      </c>
      <c r="I3469">
        <v>0</v>
      </c>
      <c r="J3469">
        <v>0</v>
      </c>
      <c r="K3469">
        <v>60.292280679999998</v>
      </c>
      <c r="L3469">
        <v>0</v>
      </c>
      <c r="M3469">
        <v>0</v>
      </c>
      <c r="N3469">
        <v>0</v>
      </c>
      <c r="O3469">
        <v>-0.72020118988766768</v>
      </c>
      <c r="P3469">
        <v>790655</v>
      </c>
    </row>
    <row r="3470" spans="1:16" x14ac:dyDescent="0.25">
      <c r="A3470" s="10">
        <v>42755</v>
      </c>
      <c r="B3470">
        <v>3694</v>
      </c>
      <c r="C3470">
        <v>0</v>
      </c>
      <c r="D3470">
        <v>0</v>
      </c>
      <c r="E3470">
        <v>0</v>
      </c>
      <c r="F3470">
        <v>0</v>
      </c>
      <c r="G3470">
        <v>-23.152448089797289</v>
      </c>
      <c r="H3470">
        <v>3748.9182954899879</v>
      </c>
      <c r="I3470">
        <v>0</v>
      </c>
      <c r="J3470">
        <v>0</v>
      </c>
      <c r="K3470">
        <v>64.340793550000001</v>
      </c>
      <c r="L3470">
        <v>0</v>
      </c>
      <c r="M3470">
        <v>0</v>
      </c>
      <c r="N3470">
        <v>0</v>
      </c>
      <c r="O3470">
        <v>-96.106640950190652</v>
      </c>
      <c r="P3470">
        <v>794349</v>
      </c>
    </row>
    <row r="3471" spans="1:16" x14ac:dyDescent="0.25">
      <c r="A3471" s="10">
        <v>42758</v>
      </c>
      <c r="B3471">
        <v>2958</v>
      </c>
      <c r="C3471">
        <v>0</v>
      </c>
      <c r="D3471">
        <v>0</v>
      </c>
      <c r="E3471">
        <v>0</v>
      </c>
      <c r="F3471">
        <v>0</v>
      </c>
      <c r="G3471">
        <v>129.01357327991849</v>
      </c>
      <c r="H3471">
        <v>2770.257886309992</v>
      </c>
      <c r="I3471">
        <v>0</v>
      </c>
      <c r="J3471">
        <v>0</v>
      </c>
      <c r="K3471">
        <v>119.65690572</v>
      </c>
      <c r="L3471">
        <v>0</v>
      </c>
      <c r="M3471">
        <v>0</v>
      </c>
      <c r="N3471">
        <v>0</v>
      </c>
      <c r="O3471">
        <v>-60.928365309910077</v>
      </c>
      <c r="P3471">
        <v>797307</v>
      </c>
    </row>
    <row r="3472" spans="1:16" x14ac:dyDescent="0.25">
      <c r="A3472" s="10">
        <v>42759</v>
      </c>
      <c r="B3472">
        <v>6923</v>
      </c>
      <c r="C3472">
        <v>0</v>
      </c>
      <c r="D3472">
        <v>0</v>
      </c>
      <c r="E3472">
        <v>0</v>
      </c>
      <c r="F3472">
        <v>0</v>
      </c>
      <c r="G3472">
        <v>-47.30870025002362</v>
      </c>
      <c r="H3472">
        <v>6822.5118625400064</v>
      </c>
      <c r="I3472">
        <v>0</v>
      </c>
      <c r="J3472">
        <v>0</v>
      </c>
      <c r="K3472">
        <v>72.20852932999999</v>
      </c>
      <c r="L3472">
        <v>0</v>
      </c>
      <c r="M3472">
        <v>0</v>
      </c>
      <c r="N3472">
        <v>0</v>
      </c>
      <c r="O3472">
        <v>75.588308380017224</v>
      </c>
      <c r="P3472">
        <v>804230</v>
      </c>
    </row>
    <row r="3473" spans="1:16" x14ac:dyDescent="0.25">
      <c r="A3473" s="10">
        <v>42760</v>
      </c>
      <c r="B3473">
        <v>12812</v>
      </c>
      <c r="C3473">
        <v>0</v>
      </c>
      <c r="D3473">
        <v>0</v>
      </c>
      <c r="E3473">
        <v>0</v>
      </c>
      <c r="F3473">
        <v>0</v>
      </c>
      <c r="G3473">
        <v>24.484337460004671</v>
      </c>
      <c r="H3473">
        <v>8142.8815010700046</v>
      </c>
      <c r="I3473">
        <v>0</v>
      </c>
      <c r="J3473">
        <v>0</v>
      </c>
      <c r="K3473">
        <v>78.942729289999988</v>
      </c>
      <c r="L3473">
        <v>5224.2</v>
      </c>
      <c r="M3473">
        <v>0</v>
      </c>
      <c r="N3473">
        <v>0</v>
      </c>
      <c r="O3473">
        <v>-658.50856782000994</v>
      </c>
      <c r="P3473">
        <v>817042</v>
      </c>
    </row>
    <row r="3474" spans="1:16" x14ac:dyDescent="0.25">
      <c r="A3474" s="10">
        <v>42761</v>
      </c>
      <c r="B3474">
        <v>3133</v>
      </c>
      <c r="C3474">
        <v>0</v>
      </c>
      <c r="D3474">
        <v>0</v>
      </c>
      <c r="E3474">
        <v>0</v>
      </c>
      <c r="F3474">
        <v>0</v>
      </c>
      <c r="G3474">
        <v>70.081394099833133</v>
      </c>
      <c r="H3474">
        <v>2927.3328586300049</v>
      </c>
      <c r="I3474">
        <v>0</v>
      </c>
      <c r="J3474">
        <v>0</v>
      </c>
      <c r="K3474">
        <v>73.820359740000001</v>
      </c>
      <c r="L3474">
        <v>0</v>
      </c>
      <c r="M3474">
        <v>0</v>
      </c>
      <c r="N3474">
        <v>0</v>
      </c>
      <c r="O3474">
        <v>61.765387530161931</v>
      </c>
      <c r="P3474">
        <v>820175</v>
      </c>
    </row>
    <row r="3475" spans="1:16" x14ac:dyDescent="0.25">
      <c r="A3475" s="10">
        <v>42762</v>
      </c>
      <c r="B3475">
        <v>-5005</v>
      </c>
      <c r="C3475">
        <v>0</v>
      </c>
      <c r="D3475">
        <v>0</v>
      </c>
      <c r="E3475">
        <v>0</v>
      </c>
      <c r="F3475">
        <v>0</v>
      </c>
      <c r="G3475">
        <v>-45.069777969697398</v>
      </c>
      <c r="H3475">
        <v>-4989.7916550900118</v>
      </c>
      <c r="I3475">
        <v>0</v>
      </c>
      <c r="J3475">
        <v>0</v>
      </c>
      <c r="K3475">
        <v>65.516104600000006</v>
      </c>
      <c r="L3475">
        <v>0</v>
      </c>
      <c r="M3475">
        <v>0</v>
      </c>
      <c r="N3475">
        <v>0</v>
      </c>
      <c r="O3475">
        <v>-35.654671540290828</v>
      </c>
      <c r="P3475">
        <v>815170</v>
      </c>
    </row>
    <row r="3476" spans="1:16" x14ac:dyDescent="0.25">
      <c r="A3476" s="10">
        <v>42765</v>
      </c>
      <c r="B3476">
        <v>12290</v>
      </c>
      <c r="C3476">
        <v>0</v>
      </c>
      <c r="D3476">
        <v>23836.2</v>
      </c>
      <c r="E3476">
        <v>0</v>
      </c>
      <c r="F3476">
        <v>0</v>
      </c>
      <c r="G3476">
        <v>-158.6495076803362</v>
      </c>
      <c r="H3476">
        <v>-12071.10027327</v>
      </c>
      <c r="I3476">
        <v>0</v>
      </c>
      <c r="J3476">
        <v>0</v>
      </c>
      <c r="K3476">
        <v>97.695968079999986</v>
      </c>
      <c r="L3476">
        <v>0</v>
      </c>
      <c r="M3476">
        <v>0</v>
      </c>
      <c r="N3476">
        <v>0</v>
      </c>
      <c r="O3476">
        <v>585.85381287033533</v>
      </c>
      <c r="P3476">
        <v>827460</v>
      </c>
    </row>
    <row r="3477" spans="1:16" x14ac:dyDescent="0.25">
      <c r="A3477" s="10">
        <v>42766</v>
      </c>
      <c r="B3477">
        <v>429</v>
      </c>
      <c r="C3477">
        <v>0</v>
      </c>
      <c r="D3477">
        <v>0</v>
      </c>
      <c r="E3477">
        <v>0</v>
      </c>
      <c r="F3477">
        <v>0</v>
      </c>
      <c r="G3477">
        <v>-307.58766912975472</v>
      </c>
      <c r="H3477">
        <v>728.39640328001406</v>
      </c>
      <c r="I3477">
        <v>0</v>
      </c>
      <c r="J3477">
        <v>0</v>
      </c>
      <c r="K3477">
        <v>54.871956709999999</v>
      </c>
      <c r="L3477">
        <v>0</v>
      </c>
      <c r="M3477">
        <v>0</v>
      </c>
      <c r="N3477">
        <v>0</v>
      </c>
      <c r="O3477">
        <v>-46.680690860259368</v>
      </c>
      <c r="P3477">
        <v>827889</v>
      </c>
    </row>
    <row r="3478" spans="1:16" x14ac:dyDescent="0.25">
      <c r="A3478" s="10">
        <v>42767</v>
      </c>
      <c r="B3478">
        <v>2699</v>
      </c>
      <c r="C3478">
        <v>0</v>
      </c>
      <c r="D3478">
        <v>0</v>
      </c>
      <c r="E3478">
        <v>0</v>
      </c>
      <c r="F3478">
        <v>0</v>
      </c>
      <c r="G3478">
        <v>218.76342199966709</v>
      </c>
      <c r="H3478">
        <v>-10766.53307549001</v>
      </c>
      <c r="I3478">
        <v>0</v>
      </c>
      <c r="J3478">
        <v>0</v>
      </c>
      <c r="K3478">
        <v>41.040268609999998</v>
      </c>
      <c r="L3478">
        <v>13280.6</v>
      </c>
      <c r="M3478">
        <v>0</v>
      </c>
      <c r="N3478">
        <v>0</v>
      </c>
      <c r="O3478">
        <v>-74.870615119662034</v>
      </c>
      <c r="P3478">
        <v>830588</v>
      </c>
    </row>
    <row r="3479" spans="1:16" x14ac:dyDescent="0.25">
      <c r="A3479" s="10">
        <v>42768</v>
      </c>
      <c r="B3479">
        <v>-6663</v>
      </c>
      <c r="C3479">
        <v>0</v>
      </c>
      <c r="D3479">
        <v>0</v>
      </c>
      <c r="E3479">
        <v>0</v>
      </c>
      <c r="F3479">
        <v>0</v>
      </c>
      <c r="G3479">
        <v>120.5043084901635</v>
      </c>
      <c r="H3479">
        <v>-6847.6924900199956</v>
      </c>
      <c r="I3479">
        <v>0</v>
      </c>
      <c r="J3479">
        <v>0</v>
      </c>
      <c r="K3479">
        <v>59.413564870000023</v>
      </c>
      <c r="L3479">
        <v>0</v>
      </c>
      <c r="M3479">
        <v>0</v>
      </c>
      <c r="N3479">
        <v>0</v>
      </c>
      <c r="O3479">
        <v>4.7746166598320983</v>
      </c>
      <c r="P3479">
        <v>823925</v>
      </c>
    </row>
    <row r="3480" spans="1:16" x14ac:dyDescent="0.25">
      <c r="A3480" s="10">
        <v>42769</v>
      </c>
      <c r="B3480">
        <v>801</v>
      </c>
      <c r="C3480">
        <v>0</v>
      </c>
      <c r="D3480">
        <v>0</v>
      </c>
      <c r="E3480">
        <v>0</v>
      </c>
      <c r="F3480">
        <v>0</v>
      </c>
      <c r="G3480">
        <v>-61.023725250258153</v>
      </c>
      <c r="H3480">
        <v>795.14334720000625</v>
      </c>
      <c r="I3480">
        <v>0</v>
      </c>
      <c r="J3480">
        <v>0</v>
      </c>
      <c r="K3480">
        <v>91.253868929999982</v>
      </c>
      <c r="L3480">
        <v>0</v>
      </c>
      <c r="M3480">
        <v>0</v>
      </c>
      <c r="N3480">
        <v>0</v>
      </c>
      <c r="O3480">
        <v>-24.373490879748079</v>
      </c>
      <c r="P3480">
        <v>824726</v>
      </c>
    </row>
    <row r="3481" spans="1:16" x14ac:dyDescent="0.25">
      <c r="A3481" s="10">
        <v>42772</v>
      </c>
      <c r="B3481">
        <v>4436</v>
      </c>
      <c r="C3481">
        <v>0</v>
      </c>
      <c r="D3481">
        <v>0</v>
      </c>
      <c r="E3481">
        <v>0</v>
      </c>
      <c r="F3481">
        <v>0</v>
      </c>
      <c r="G3481">
        <v>-8.9212951394797528</v>
      </c>
      <c r="H3481">
        <v>4498.552636249995</v>
      </c>
      <c r="I3481">
        <v>0</v>
      </c>
      <c r="J3481">
        <v>0</v>
      </c>
      <c r="K3481">
        <v>121.18580109</v>
      </c>
      <c r="L3481">
        <v>0</v>
      </c>
      <c r="M3481">
        <v>0</v>
      </c>
      <c r="N3481">
        <v>0</v>
      </c>
      <c r="O3481">
        <v>-174.81714220051529</v>
      </c>
      <c r="P3481">
        <v>829162</v>
      </c>
    </row>
    <row r="3482" spans="1:16" x14ac:dyDescent="0.25">
      <c r="A3482" s="10">
        <v>42773</v>
      </c>
      <c r="B3482">
        <v>17523</v>
      </c>
      <c r="C3482">
        <v>0</v>
      </c>
      <c r="D3482">
        <v>0</v>
      </c>
      <c r="E3482">
        <v>0</v>
      </c>
      <c r="F3482">
        <v>0</v>
      </c>
      <c r="G3482">
        <v>44.994118999413473</v>
      </c>
      <c r="H3482">
        <v>17537.02053813999</v>
      </c>
      <c r="I3482">
        <v>0</v>
      </c>
      <c r="J3482">
        <v>0</v>
      </c>
      <c r="K3482">
        <v>138.48927101999999</v>
      </c>
      <c r="L3482">
        <v>0</v>
      </c>
      <c r="M3482">
        <v>0</v>
      </c>
      <c r="N3482">
        <v>0</v>
      </c>
      <c r="O3482">
        <v>-197.50392815939989</v>
      </c>
      <c r="P3482">
        <v>846685</v>
      </c>
    </row>
    <row r="3483" spans="1:16" x14ac:dyDescent="0.25">
      <c r="A3483" s="10">
        <v>42774</v>
      </c>
      <c r="B3483">
        <v>-1681</v>
      </c>
      <c r="C3483">
        <v>0</v>
      </c>
      <c r="D3483">
        <v>0</v>
      </c>
      <c r="E3483">
        <v>0</v>
      </c>
      <c r="F3483">
        <v>0</v>
      </c>
      <c r="G3483">
        <v>-189.0831140497591</v>
      </c>
      <c r="H3483">
        <v>-4991.0379492600041</v>
      </c>
      <c r="I3483">
        <v>0</v>
      </c>
      <c r="J3483">
        <v>-89.800000000000182</v>
      </c>
      <c r="K3483">
        <v>70.684585540000356</v>
      </c>
      <c r="L3483">
        <v>3528.8</v>
      </c>
      <c r="M3483">
        <v>0</v>
      </c>
      <c r="N3483">
        <v>0</v>
      </c>
      <c r="O3483">
        <v>-10.563522230236501</v>
      </c>
      <c r="P3483">
        <v>845004</v>
      </c>
    </row>
    <row r="3484" spans="1:16" x14ac:dyDescent="0.25">
      <c r="A3484" s="10">
        <v>42775</v>
      </c>
      <c r="B3484">
        <v>-4144</v>
      </c>
      <c r="C3484">
        <v>0</v>
      </c>
      <c r="D3484">
        <v>0</v>
      </c>
      <c r="E3484">
        <v>0</v>
      </c>
      <c r="F3484">
        <v>0</v>
      </c>
      <c r="G3484">
        <v>-61.399154610144237</v>
      </c>
      <c r="H3484">
        <v>-4161.027113639997</v>
      </c>
      <c r="I3484">
        <v>0</v>
      </c>
      <c r="J3484">
        <v>0</v>
      </c>
      <c r="K3484">
        <v>80.076905900000014</v>
      </c>
      <c r="L3484">
        <v>0</v>
      </c>
      <c r="M3484">
        <v>0</v>
      </c>
      <c r="N3484">
        <v>0</v>
      </c>
      <c r="O3484">
        <v>-1.6506376498588009</v>
      </c>
      <c r="P3484">
        <v>840860</v>
      </c>
    </row>
    <row r="3485" spans="1:16" x14ac:dyDescent="0.25">
      <c r="A3485" s="10">
        <v>42776</v>
      </c>
      <c r="B3485">
        <v>1186</v>
      </c>
      <c r="C3485">
        <v>0</v>
      </c>
      <c r="D3485">
        <v>0</v>
      </c>
      <c r="E3485">
        <v>0</v>
      </c>
      <c r="F3485">
        <v>0</v>
      </c>
      <c r="G3485">
        <v>59.464295930127491</v>
      </c>
      <c r="H3485">
        <v>1115.17077710999</v>
      </c>
      <c r="I3485">
        <v>0</v>
      </c>
      <c r="J3485">
        <v>0</v>
      </c>
      <c r="K3485">
        <v>91.119487580000026</v>
      </c>
      <c r="L3485">
        <v>0</v>
      </c>
      <c r="M3485">
        <v>0</v>
      </c>
      <c r="N3485">
        <v>0</v>
      </c>
      <c r="O3485">
        <v>-79.75456062011753</v>
      </c>
      <c r="P3485">
        <v>842046</v>
      </c>
    </row>
    <row r="3486" spans="1:16" x14ac:dyDescent="0.25">
      <c r="A3486" s="10">
        <v>42779</v>
      </c>
      <c r="B3486">
        <v>-3943</v>
      </c>
      <c r="C3486">
        <v>0</v>
      </c>
      <c r="D3486">
        <v>0</v>
      </c>
      <c r="E3486">
        <v>0</v>
      </c>
      <c r="F3486">
        <v>0</v>
      </c>
      <c r="G3486">
        <v>10.153895000172691</v>
      </c>
      <c r="H3486">
        <v>-4063.640573340002</v>
      </c>
      <c r="I3486">
        <v>0</v>
      </c>
      <c r="J3486">
        <v>0</v>
      </c>
      <c r="K3486">
        <v>105.33124626999999</v>
      </c>
      <c r="L3486">
        <v>0</v>
      </c>
      <c r="M3486">
        <v>0</v>
      </c>
      <c r="N3486">
        <v>0</v>
      </c>
      <c r="O3486">
        <v>5.1554320698297502</v>
      </c>
      <c r="P3486">
        <v>838103</v>
      </c>
    </row>
    <row r="3487" spans="1:16" x14ac:dyDescent="0.25">
      <c r="A3487" s="10">
        <v>42780</v>
      </c>
      <c r="B3487">
        <v>-1171</v>
      </c>
      <c r="C3487">
        <v>0</v>
      </c>
      <c r="D3487">
        <v>0</v>
      </c>
      <c r="E3487">
        <v>0</v>
      </c>
      <c r="F3487">
        <v>0</v>
      </c>
      <c r="G3487">
        <v>-128.37574038996831</v>
      </c>
      <c r="H3487">
        <v>-1081.2785036899879</v>
      </c>
      <c r="I3487">
        <v>0</v>
      </c>
      <c r="J3487">
        <v>0</v>
      </c>
      <c r="K3487">
        <v>77.614172189999977</v>
      </c>
      <c r="L3487">
        <v>0</v>
      </c>
      <c r="M3487">
        <v>0</v>
      </c>
      <c r="N3487">
        <v>0</v>
      </c>
      <c r="O3487">
        <v>-38.959928110044032</v>
      </c>
      <c r="P3487">
        <v>836932</v>
      </c>
    </row>
    <row r="3488" spans="1:16" x14ac:dyDescent="0.25">
      <c r="A3488" s="10">
        <v>42781</v>
      </c>
      <c r="B3488">
        <v>-1651</v>
      </c>
      <c r="C3488">
        <v>0</v>
      </c>
      <c r="D3488">
        <v>0</v>
      </c>
      <c r="E3488">
        <v>0</v>
      </c>
      <c r="F3488">
        <v>0</v>
      </c>
      <c r="G3488">
        <v>-436.93772623037</v>
      </c>
      <c r="H3488">
        <v>-2902.8346788800118</v>
      </c>
      <c r="I3488">
        <v>0</v>
      </c>
      <c r="J3488">
        <v>0</v>
      </c>
      <c r="K3488">
        <v>107.19751622</v>
      </c>
      <c r="L3488">
        <v>2017.1</v>
      </c>
      <c r="M3488">
        <v>0</v>
      </c>
      <c r="N3488">
        <v>0</v>
      </c>
      <c r="O3488">
        <v>-435.52511110961848</v>
      </c>
      <c r="P3488">
        <v>835281</v>
      </c>
    </row>
    <row r="3489" spans="1:16" x14ac:dyDescent="0.25">
      <c r="A3489" s="10">
        <v>42782</v>
      </c>
      <c r="B3489">
        <v>-12993</v>
      </c>
      <c r="C3489">
        <v>0</v>
      </c>
      <c r="D3489">
        <v>0</v>
      </c>
      <c r="E3489">
        <v>0</v>
      </c>
      <c r="F3489">
        <v>0</v>
      </c>
      <c r="G3489">
        <v>317.14833842047381</v>
      </c>
      <c r="H3489">
        <v>-13472.610240359991</v>
      </c>
      <c r="I3489">
        <v>0</v>
      </c>
      <c r="J3489">
        <v>0</v>
      </c>
      <c r="K3489">
        <v>103.26129627</v>
      </c>
      <c r="L3489">
        <v>0</v>
      </c>
      <c r="M3489">
        <v>0</v>
      </c>
      <c r="N3489">
        <v>0</v>
      </c>
      <c r="O3489">
        <v>59.20060566952052</v>
      </c>
      <c r="P3489">
        <v>822288</v>
      </c>
    </row>
    <row r="3490" spans="1:16" x14ac:dyDescent="0.25">
      <c r="A3490" s="10">
        <v>42783</v>
      </c>
      <c r="B3490">
        <v>-9079</v>
      </c>
      <c r="C3490">
        <v>0</v>
      </c>
      <c r="D3490">
        <v>0</v>
      </c>
      <c r="E3490">
        <v>16000</v>
      </c>
      <c r="F3490">
        <v>0</v>
      </c>
      <c r="G3490">
        <v>-170.8359018903829</v>
      </c>
      <c r="H3490">
        <v>-24852.108700190001</v>
      </c>
      <c r="I3490">
        <v>0</v>
      </c>
      <c r="J3490">
        <v>0</v>
      </c>
      <c r="K3490">
        <v>86.396771100000024</v>
      </c>
      <c r="L3490">
        <v>0</v>
      </c>
      <c r="M3490">
        <v>0</v>
      </c>
      <c r="N3490">
        <v>0</v>
      </c>
      <c r="O3490">
        <v>-142.45216901961581</v>
      </c>
      <c r="P3490">
        <v>813209</v>
      </c>
    </row>
    <row r="3491" spans="1:16" x14ac:dyDescent="0.25">
      <c r="A3491" s="10">
        <v>42786</v>
      </c>
      <c r="B3491">
        <v>-1866</v>
      </c>
      <c r="C3491">
        <v>0</v>
      </c>
      <c r="D3491">
        <v>0</v>
      </c>
      <c r="E3491">
        <v>-4000</v>
      </c>
      <c r="F3491">
        <v>0</v>
      </c>
      <c r="G3491">
        <v>-10.882871499874</v>
      </c>
      <c r="H3491">
        <v>1281.6101523999821</v>
      </c>
      <c r="I3491">
        <v>0</v>
      </c>
      <c r="J3491">
        <v>0</v>
      </c>
      <c r="K3491">
        <v>123.35335757</v>
      </c>
      <c r="L3491">
        <v>0</v>
      </c>
      <c r="M3491">
        <v>0</v>
      </c>
      <c r="N3491">
        <v>0</v>
      </c>
      <c r="O3491">
        <v>739.9193615298916</v>
      </c>
      <c r="P3491">
        <v>811343</v>
      </c>
    </row>
    <row r="3492" spans="1:16" x14ac:dyDescent="0.25">
      <c r="A3492" s="10">
        <v>42787</v>
      </c>
      <c r="B3492">
        <v>25083</v>
      </c>
      <c r="C3492">
        <v>0</v>
      </c>
      <c r="D3492">
        <v>23572.5</v>
      </c>
      <c r="E3492">
        <v>0</v>
      </c>
      <c r="F3492">
        <v>0</v>
      </c>
      <c r="G3492">
        <v>-565.4565085300992</v>
      </c>
      <c r="H3492">
        <v>1802.202827020024</v>
      </c>
      <c r="I3492">
        <v>0</v>
      </c>
      <c r="J3492">
        <v>0</v>
      </c>
      <c r="K3492">
        <v>91.74657842000002</v>
      </c>
      <c r="L3492">
        <v>0</v>
      </c>
      <c r="M3492">
        <v>0</v>
      </c>
      <c r="N3492">
        <v>0</v>
      </c>
      <c r="O3492">
        <v>182.00710309007479</v>
      </c>
      <c r="P3492">
        <v>836426</v>
      </c>
    </row>
    <row r="3493" spans="1:16" x14ac:dyDescent="0.25">
      <c r="A3493" s="10">
        <v>42788</v>
      </c>
      <c r="B3493">
        <v>-14977</v>
      </c>
      <c r="C3493">
        <v>0</v>
      </c>
      <c r="D3493">
        <v>0</v>
      </c>
      <c r="E3493">
        <v>0</v>
      </c>
      <c r="F3493">
        <v>0</v>
      </c>
      <c r="G3493">
        <v>797.06168659993784</v>
      </c>
      <c r="H3493">
        <v>-19102.85359255</v>
      </c>
      <c r="I3493">
        <v>0</v>
      </c>
      <c r="J3493">
        <v>0</v>
      </c>
      <c r="K3493">
        <v>116.75470944</v>
      </c>
      <c r="L3493">
        <v>3737.2</v>
      </c>
      <c r="M3493">
        <v>0</v>
      </c>
      <c r="N3493">
        <v>0</v>
      </c>
      <c r="O3493">
        <v>-525.16280348993462</v>
      </c>
      <c r="P3493">
        <v>821449</v>
      </c>
    </row>
    <row r="3494" spans="1:16" x14ac:dyDescent="0.25">
      <c r="A3494" s="10">
        <v>42789</v>
      </c>
      <c r="B3494">
        <v>3863</v>
      </c>
      <c r="C3494">
        <v>0</v>
      </c>
      <c r="D3494">
        <v>0</v>
      </c>
      <c r="E3494">
        <v>0</v>
      </c>
      <c r="F3494">
        <v>0</v>
      </c>
      <c r="G3494">
        <v>126.7908319602986</v>
      </c>
      <c r="H3494">
        <v>3575.1628730599768</v>
      </c>
      <c r="I3494">
        <v>0</v>
      </c>
      <c r="J3494">
        <v>0</v>
      </c>
      <c r="K3494">
        <v>134.67712939</v>
      </c>
      <c r="L3494">
        <v>0</v>
      </c>
      <c r="M3494">
        <v>0</v>
      </c>
      <c r="N3494">
        <v>0</v>
      </c>
      <c r="O3494">
        <v>26.36916558972462</v>
      </c>
      <c r="P3494">
        <v>825312</v>
      </c>
    </row>
    <row r="3495" spans="1:16" x14ac:dyDescent="0.25">
      <c r="A3495" s="10">
        <v>42790</v>
      </c>
      <c r="B3495">
        <v>-10570</v>
      </c>
      <c r="C3495">
        <v>0</v>
      </c>
      <c r="D3495">
        <v>0</v>
      </c>
      <c r="E3495">
        <v>0</v>
      </c>
      <c r="F3495">
        <v>0</v>
      </c>
      <c r="G3495">
        <v>-113.85833779029009</v>
      </c>
      <c r="H3495">
        <v>-10565.16090602998</v>
      </c>
      <c r="I3495">
        <v>0</v>
      </c>
      <c r="J3495">
        <v>0</v>
      </c>
      <c r="K3495">
        <v>178.94714500000009</v>
      </c>
      <c r="L3495">
        <v>0</v>
      </c>
      <c r="M3495">
        <v>0</v>
      </c>
      <c r="N3495">
        <v>0</v>
      </c>
      <c r="O3495">
        <v>-69.927901179728366</v>
      </c>
      <c r="P3495">
        <v>814742</v>
      </c>
    </row>
    <row r="3496" spans="1:16" x14ac:dyDescent="0.25">
      <c r="A3496" s="10">
        <v>42795</v>
      </c>
      <c r="B3496">
        <v>39610</v>
      </c>
      <c r="C3496">
        <v>0</v>
      </c>
      <c r="D3496">
        <v>0</v>
      </c>
      <c r="E3496">
        <v>0</v>
      </c>
      <c r="F3496">
        <v>0</v>
      </c>
      <c r="G3496">
        <v>147.86869275032191</v>
      </c>
      <c r="H3496">
        <v>36052.359172500001</v>
      </c>
      <c r="I3496">
        <v>0</v>
      </c>
      <c r="J3496">
        <v>0</v>
      </c>
      <c r="K3496">
        <v>452.2327381099999</v>
      </c>
      <c r="L3496">
        <v>2985.4</v>
      </c>
      <c r="M3496">
        <v>0</v>
      </c>
      <c r="N3496">
        <v>0</v>
      </c>
      <c r="O3496">
        <v>-27.860603360322418</v>
      </c>
      <c r="P3496">
        <v>854352</v>
      </c>
    </row>
    <row r="3497" spans="1:16" x14ac:dyDescent="0.25">
      <c r="A3497" s="10">
        <v>42796</v>
      </c>
      <c r="B3497">
        <v>-4841</v>
      </c>
      <c r="C3497">
        <v>0</v>
      </c>
      <c r="D3497">
        <v>0</v>
      </c>
      <c r="E3497">
        <v>0</v>
      </c>
      <c r="F3497">
        <v>0</v>
      </c>
      <c r="G3497">
        <v>-394.79648367025851</v>
      </c>
      <c r="H3497">
        <v>-3120.8302497800032</v>
      </c>
      <c r="I3497">
        <v>0</v>
      </c>
      <c r="J3497">
        <v>0</v>
      </c>
      <c r="K3497">
        <v>167.26002624</v>
      </c>
      <c r="L3497">
        <v>-1551.1</v>
      </c>
      <c r="M3497">
        <v>0</v>
      </c>
      <c r="N3497">
        <v>0</v>
      </c>
      <c r="O3497">
        <v>58.466707210261667</v>
      </c>
      <c r="P3497">
        <v>849511</v>
      </c>
    </row>
    <row r="3498" spans="1:16" x14ac:dyDescent="0.25">
      <c r="A3498" s="10">
        <v>42797</v>
      </c>
      <c r="B3498">
        <v>-20068</v>
      </c>
      <c r="C3498">
        <v>0</v>
      </c>
      <c r="D3498">
        <v>0</v>
      </c>
      <c r="E3498">
        <v>0</v>
      </c>
      <c r="F3498">
        <v>0</v>
      </c>
      <c r="G3498">
        <v>483.02666131995079</v>
      </c>
      <c r="H3498">
        <v>-17144.914022279991</v>
      </c>
      <c r="I3498">
        <v>0</v>
      </c>
      <c r="J3498">
        <v>0</v>
      </c>
      <c r="K3498">
        <v>173.15708443</v>
      </c>
      <c r="L3498">
        <v>-3546.8</v>
      </c>
      <c r="M3498">
        <v>0</v>
      </c>
      <c r="N3498">
        <v>0</v>
      </c>
      <c r="O3498">
        <v>-32.469723469960442</v>
      </c>
      <c r="P3498">
        <v>829443</v>
      </c>
    </row>
    <row r="3499" spans="1:16" x14ac:dyDescent="0.25">
      <c r="A3499" s="10">
        <v>42800</v>
      </c>
      <c r="B3499">
        <v>-22420</v>
      </c>
      <c r="C3499">
        <v>0</v>
      </c>
      <c r="D3499">
        <v>0</v>
      </c>
      <c r="E3499">
        <v>0</v>
      </c>
      <c r="F3499">
        <v>0</v>
      </c>
      <c r="G3499">
        <v>-362.77257700975298</v>
      </c>
      <c r="H3499">
        <v>-18481.308376789999</v>
      </c>
      <c r="I3499">
        <v>0</v>
      </c>
      <c r="J3499">
        <v>0</v>
      </c>
      <c r="K3499">
        <v>62.542869030000013</v>
      </c>
      <c r="L3499">
        <v>-3709.1</v>
      </c>
      <c r="M3499">
        <v>0</v>
      </c>
      <c r="N3499">
        <v>0</v>
      </c>
      <c r="O3499">
        <v>70.63808476974809</v>
      </c>
      <c r="P3499">
        <v>807023</v>
      </c>
    </row>
    <row r="3500" spans="1:16" x14ac:dyDescent="0.25">
      <c r="A3500" s="10">
        <v>42801</v>
      </c>
      <c r="B3500">
        <v>-25037</v>
      </c>
      <c r="C3500">
        <v>0</v>
      </c>
      <c r="D3500">
        <v>0</v>
      </c>
      <c r="E3500">
        <v>0</v>
      </c>
      <c r="F3500">
        <v>0</v>
      </c>
      <c r="G3500">
        <v>115.13122114005709</v>
      </c>
      <c r="H3500">
        <v>-24603.311872860038</v>
      </c>
      <c r="I3500">
        <v>0</v>
      </c>
      <c r="J3500">
        <v>0</v>
      </c>
      <c r="K3500">
        <v>16.469090600000001</v>
      </c>
      <c r="L3500">
        <v>-311.3</v>
      </c>
      <c r="M3500">
        <v>0</v>
      </c>
      <c r="N3500">
        <v>0</v>
      </c>
      <c r="O3500">
        <v>-253.98843888001869</v>
      </c>
      <c r="P3500">
        <v>781986</v>
      </c>
    </row>
    <row r="3501" spans="1:16" x14ac:dyDescent="0.25">
      <c r="A3501" s="10">
        <v>42802</v>
      </c>
      <c r="B3501">
        <v>-2684</v>
      </c>
      <c r="C3501">
        <v>0</v>
      </c>
      <c r="D3501">
        <v>0</v>
      </c>
      <c r="E3501">
        <v>0</v>
      </c>
      <c r="F3501">
        <v>0</v>
      </c>
      <c r="G3501">
        <v>27.022167139937849</v>
      </c>
      <c r="H3501">
        <v>-1193.3672336399609</v>
      </c>
      <c r="I3501">
        <v>0</v>
      </c>
      <c r="J3501">
        <v>-90.300000000000182</v>
      </c>
      <c r="K3501">
        <v>173.9660923900002</v>
      </c>
      <c r="L3501">
        <v>-1594.3</v>
      </c>
      <c r="M3501">
        <v>0</v>
      </c>
      <c r="N3501">
        <v>0</v>
      </c>
      <c r="O3501">
        <v>-7.0210258899762259</v>
      </c>
      <c r="P3501">
        <v>779302</v>
      </c>
    </row>
    <row r="3502" spans="1:16" x14ac:dyDescent="0.25">
      <c r="A3502" s="10">
        <v>42803</v>
      </c>
      <c r="B3502">
        <v>2351</v>
      </c>
      <c r="C3502">
        <v>0</v>
      </c>
      <c r="D3502">
        <v>0</v>
      </c>
      <c r="E3502">
        <v>0</v>
      </c>
      <c r="F3502">
        <v>0</v>
      </c>
      <c r="G3502">
        <v>-117.08894042978859</v>
      </c>
      <c r="H3502">
        <v>6580.4163937899584</v>
      </c>
      <c r="I3502">
        <v>0</v>
      </c>
      <c r="J3502">
        <v>0</v>
      </c>
      <c r="K3502">
        <v>172.44795682</v>
      </c>
      <c r="L3502">
        <v>-4194</v>
      </c>
      <c r="M3502">
        <v>0</v>
      </c>
      <c r="N3502">
        <v>0</v>
      </c>
      <c r="O3502">
        <v>-90.775410180169274</v>
      </c>
      <c r="P3502">
        <v>781653</v>
      </c>
    </row>
    <row r="3503" spans="1:16" x14ac:dyDescent="0.25">
      <c r="A3503" s="10">
        <v>42804</v>
      </c>
      <c r="B3503">
        <v>17818</v>
      </c>
      <c r="C3503">
        <v>0</v>
      </c>
      <c r="D3503">
        <v>0</v>
      </c>
      <c r="E3503">
        <v>14000</v>
      </c>
      <c r="F3503">
        <v>0</v>
      </c>
      <c r="G3503">
        <v>112.12760405992979</v>
      </c>
      <c r="H3503">
        <v>9180.5673141100269</v>
      </c>
      <c r="I3503">
        <v>0</v>
      </c>
      <c r="J3503">
        <v>0</v>
      </c>
      <c r="K3503">
        <v>239.02182703999989</v>
      </c>
      <c r="L3503">
        <v>-5533.3</v>
      </c>
      <c r="M3503">
        <v>0</v>
      </c>
      <c r="N3503">
        <v>0</v>
      </c>
      <c r="O3503">
        <v>-180.41674520995659</v>
      </c>
      <c r="P3503">
        <v>799471</v>
      </c>
    </row>
    <row r="3504" spans="1:16" x14ac:dyDescent="0.25">
      <c r="A3504" s="10">
        <v>42807</v>
      </c>
      <c r="B3504">
        <v>-7727</v>
      </c>
      <c r="C3504">
        <v>0</v>
      </c>
      <c r="D3504">
        <v>0</v>
      </c>
      <c r="E3504">
        <v>0</v>
      </c>
      <c r="F3504">
        <v>0</v>
      </c>
      <c r="G3504">
        <v>-302.66735261001088</v>
      </c>
      <c r="H3504">
        <v>-7559.5865384500066</v>
      </c>
      <c r="I3504">
        <v>0</v>
      </c>
      <c r="J3504">
        <v>0</v>
      </c>
      <c r="K3504">
        <v>174.23709685</v>
      </c>
      <c r="L3504">
        <v>0</v>
      </c>
      <c r="M3504">
        <v>0</v>
      </c>
      <c r="N3504">
        <v>0</v>
      </c>
      <c r="O3504">
        <v>-38.983205789982463</v>
      </c>
      <c r="P3504">
        <v>791744</v>
      </c>
    </row>
    <row r="3505" spans="1:16" x14ac:dyDescent="0.25">
      <c r="A3505" s="10">
        <v>42808</v>
      </c>
      <c r="B3505">
        <v>4829</v>
      </c>
      <c r="C3505">
        <v>0</v>
      </c>
      <c r="D3505">
        <v>0</v>
      </c>
      <c r="E3505">
        <v>0</v>
      </c>
      <c r="F3505">
        <v>0</v>
      </c>
      <c r="G3505">
        <v>63.792115379572891</v>
      </c>
      <c r="H3505">
        <v>4770.5951518100046</v>
      </c>
      <c r="I3505">
        <v>0</v>
      </c>
      <c r="J3505">
        <v>0</v>
      </c>
      <c r="K3505">
        <v>146.57951120000001</v>
      </c>
      <c r="L3505">
        <v>0</v>
      </c>
      <c r="M3505">
        <v>0</v>
      </c>
      <c r="N3505">
        <v>0</v>
      </c>
      <c r="O3505">
        <v>-151.96677838957751</v>
      </c>
      <c r="P3505">
        <v>796573</v>
      </c>
    </row>
    <row r="3506" spans="1:16" x14ac:dyDescent="0.25">
      <c r="A3506" s="10">
        <v>42809</v>
      </c>
      <c r="B3506">
        <v>15618</v>
      </c>
      <c r="C3506">
        <v>4665</v>
      </c>
      <c r="D3506">
        <v>0</v>
      </c>
      <c r="E3506">
        <v>0</v>
      </c>
      <c r="F3506">
        <v>0</v>
      </c>
      <c r="G3506">
        <v>-170.50462988957821</v>
      </c>
      <c r="H3506">
        <v>8741.1746876600082</v>
      </c>
      <c r="I3506">
        <v>0</v>
      </c>
      <c r="J3506">
        <v>0</v>
      </c>
      <c r="K3506">
        <v>201.81393797000001</v>
      </c>
      <c r="L3506">
        <v>2350.900000000001</v>
      </c>
      <c r="M3506">
        <v>0</v>
      </c>
      <c r="N3506">
        <v>0</v>
      </c>
      <c r="O3506">
        <v>-170.38399574043069</v>
      </c>
      <c r="P3506">
        <v>812191</v>
      </c>
    </row>
    <row r="3507" spans="1:16" x14ac:dyDescent="0.25">
      <c r="A3507" s="10">
        <v>42810</v>
      </c>
      <c r="B3507">
        <v>-29424</v>
      </c>
      <c r="C3507">
        <v>0</v>
      </c>
      <c r="D3507">
        <v>0</v>
      </c>
      <c r="E3507">
        <v>0</v>
      </c>
      <c r="F3507">
        <v>0</v>
      </c>
      <c r="G3507">
        <v>-36.856177080225507</v>
      </c>
      <c r="H3507">
        <v>-27604.35708682999</v>
      </c>
      <c r="I3507">
        <v>0</v>
      </c>
      <c r="J3507">
        <v>0</v>
      </c>
      <c r="K3507">
        <v>153.88955104999999</v>
      </c>
      <c r="L3507">
        <v>-2141</v>
      </c>
      <c r="M3507">
        <v>0</v>
      </c>
      <c r="N3507">
        <v>0</v>
      </c>
      <c r="O3507">
        <v>204.32371286021231</v>
      </c>
      <c r="P3507">
        <v>782767</v>
      </c>
    </row>
    <row r="3508" spans="1:16" x14ac:dyDescent="0.25">
      <c r="A3508" s="10">
        <v>42811</v>
      </c>
      <c r="B3508">
        <v>-8087</v>
      </c>
      <c r="C3508">
        <v>0</v>
      </c>
      <c r="D3508">
        <v>0</v>
      </c>
      <c r="E3508">
        <v>0</v>
      </c>
      <c r="F3508">
        <v>0</v>
      </c>
      <c r="G3508">
        <v>275.53069237985892</v>
      </c>
      <c r="H3508">
        <v>-3995.4742627800151</v>
      </c>
      <c r="I3508">
        <v>0</v>
      </c>
      <c r="J3508">
        <v>0</v>
      </c>
      <c r="K3508">
        <v>189.34316369000001</v>
      </c>
      <c r="L3508">
        <v>-4603.0999999999995</v>
      </c>
      <c r="M3508">
        <v>0</v>
      </c>
      <c r="N3508">
        <v>0</v>
      </c>
      <c r="O3508">
        <v>46.700406710155221</v>
      </c>
      <c r="P3508">
        <v>774680</v>
      </c>
    </row>
    <row r="3509" spans="1:16" x14ac:dyDescent="0.25">
      <c r="A3509" s="10">
        <v>42814</v>
      </c>
      <c r="B3509">
        <v>15732</v>
      </c>
      <c r="C3509">
        <v>0</v>
      </c>
      <c r="D3509">
        <v>0</v>
      </c>
      <c r="E3509">
        <v>13500</v>
      </c>
      <c r="F3509">
        <v>0</v>
      </c>
      <c r="G3509">
        <v>190.29238534997111</v>
      </c>
      <c r="H3509">
        <v>6463.5457614700144</v>
      </c>
      <c r="I3509">
        <v>0</v>
      </c>
      <c r="J3509">
        <v>0</v>
      </c>
      <c r="K3509">
        <v>171.83527763999999</v>
      </c>
      <c r="L3509">
        <v>-4661.3999999999996</v>
      </c>
      <c r="M3509">
        <v>0</v>
      </c>
      <c r="N3509">
        <v>0</v>
      </c>
      <c r="O3509">
        <v>67.726575540015233</v>
      </c>
      <c r="P3509">
        <v>790412</v>
      </c>
    </row>
    <row r="3510" spans="1:16" x14ac:dyDescent="0.25">
      <c r="A3510" s="10">
        <v>42815</v>
      </c>
      <c r="B3510">
        <v>-1814</v>
      </c>
      <c r="C3510">
        <v>0</v>
      </c>
      <c r="D3510">
        <v>0</v>
      </c>
      <c r="E3510">
        <v>0</v>
      </c>
      <c r="F3510">
        <v>0</v>
      </c>
      <c r="G3510">
        <v>-27.77942465963261</v>
      </c>
      <c r="H3510">
        <v>4384.6014006100013</v>
      </c>
      <c r="I3510">
        <v>0</v>
      </c>
      <c r="J3510">
        <v>0</v>
      </c>
      <c r="K3510">
        <v>88.50948860000004</v>
      </c>
      <c r="L3510">
        <v>-6170.2</v>
      </c>
      <c r="M3510">
        <v>0</v>
      </c>
      <c r="N3510">
        <v>0</v>
      </c>
      <c r="O3510">
        <v>-89.131464550368577</v>
      </c>
      <c r="P3510">
        <v>788598</v>
      </c>
    </row>
    <row r="3511" spans="1:16" x14ac:dyDescent="0.25">
      <c r="A3511" s="10">
        <v>42816</v>
      </c>
      <c r="B3511">
        <v>-6725</v>
      </c>
      <c r="C3511">
        <v>0</v>
      </c>
      <c r="D3511">
        <v>0</v>
      </c>
      <c r="E3511">
        <v>0</v>
      </c>
      <c r="F3511">
        <v>0</v>
      </c>
      <c r="G3511">
        <v>-30.479250429964399</v>
      </c>
      <c r="H3511">
        <v>-4017.8792161699971</v>
      </c>
      <c r="I3511">
        <v>0</v>
      </c>
      <c r="J3511">
        <v>0</v>
      </c>
      <c r="K3511">
        <v>223.30638314999999</v>
      </c>
      <c r="L3511">
        <v>-3488.8</v>
      </c>
      <c r="M3511">
        <v>0</v>
      </c>
      <c r="N3511">
        <v>0</v>
      </c>
      <c r="O3511">
        <v>588.85208344996136</v>
      </c>
      <c r="P3511">
        <v>781873</v>
      </c>
    </row>
    <row r="3512" spans="1:16" x14ac:dyDescent="0.25">
      <c r="A3512" s="10">
        <v>42817</v>
      </c>
      <c r="B3512">
        <v>-6537</v>
      </c>
      <c r="C3512">
        <v>4681.5</v>
      </c>
      <c r="D3512">
        <v>0</v>
      </c>
      <c r="E3512">
        <v>0</v>
      </c>
      <c r="F3512">
        <v>0</v>
      </c>
      <c r="G3512">
        <v>30.979889980090231</v>
      </c>
      <c r="H3512">
        <v>-5617.7888485600124</v>
      </c>
      <c r="I3512">
        <v>0</v>
      </c>
      <c r="J3512">
        <v>0</v>
      </c>
      <c r="K3512">
        <v>220.63968512000011</v>
      </c>
      <c r="L3512">
        <v>-5958.3</v>
      </c>
      <c r="M3512">
        <v>0</v>
      </c>
      <c r="N3512">
        <v>0</v>
      </c>
      <c r="O3512">
        <v>105.9692734599226</v>
      </c>
      <c r="P3512">
        <v>775336</v>
      </c>
    </row>
    <row r="3513" spans="1:16" x14ac:dyDescent="0.25">
      <c r="A3513" s="10">
        <v>42821</v>
      </c>
      <c r="B3513">
        <v>-10365</v>
      </c>
      <c r="C3513">
        <v>0</v>
      </c>
      <c r="D3513">
        <v>0</v>
      </c>
      <c r="E3513">
        <v>0</v>
      </c>
      <c r="F3513">
        <v>0</v>
      </c>
      <c r="G3513">
        <v>-97.394548860456041</v>
      </c>
      <c r="H3513">
        <v>-6495.7530576900172</v>
      </c>
      <c r="I3513">
        <v>0</v>
      </c>
      <c r="J3513">
        <v>0</v>
      </c>
      <c r="K3513">
        <v>424.08457225000012</v>
      </c>
      <c r="L3513">
        <v>-4065.5</v>
      </c>
      <c r="M3513">
        <v>0</v>
      </c>
      <c r="N3513">
        <v>0</v>
      </c>
      <c r="O3513">
        <v>-130.43696569952661</v>
      </c>
      <c r="P3513">
        <v>764971</v>
      </c>
    </row>
    <row r="3514" spans="1:16" x14ac:dyDescent="0.25">
      <c r="A3514" s="10">
        <v>42822</v>
      </c>
      <c r="B3514">
        <v>-13346</v>
      </c>
      <c r="C3514">
        <v>0</v>
      </c>
      <c r="D3514">
        <v>0</v>
      </c>
      <c r="E3514">
        <v>0</v>
      </c>
      <c r="F3514">
        <v>0</v>
      </c>
      <c r="G3514">
        <v>-63.360393619843308</v>
      </c>
      <c r="H3514">
        <v>-3539.4251870599692</v>
      </c>
      <c r="I3514">
        <v>0</v>
      </c>
      <c r="J3514">
        <v>0</v>
      </c>
      <c r="K3514">
        <v>143.98121140000001</v>
      </c>
      <c r="L3514">
        <v>-9538.0999999999985</v>
      </c>
      <c r="M3514">
        <v>0</v>
      </c>
      <c r="N3514">
        <v>0</v>
      </c>
      <c r="O3514">
        <v>-349.09563072018858</v>
      </c>
      <c r="P3514">
        <v>751625</v>
      </c>
    </row>
    <row r="3515" spans="1:16" x14ac:dyDescent="0.25">
      <c r="A3515" s="10">
        <v>42823</v>
      </c>
      <c r="B3515">
        <v>2727</v>
      </c>
      <c r="C3515">
        <v>0</v>
      </c>
      <c r="D3515">
        <v>0</v>
      </c>
      <c r="E3515">
        <v>0</v>
      </c>
      <c r="F3515">
        <v>0</v>
      </c>
      <c r="G3515">
        <v>126.32611915006891</v>
      </c>
      <c r="H3515">
        <v>15008.159858219969</v>
      </c>
      <c r="I3515">
        <v>0</v>
      </c>
      <c r="J3515">
        <v>0</v>
      </c>
      <c r="K3515">
        <v>221.54072665000001</v>
      </c>
      <c r="L3515">
        <v>-12528.8</v>
      </c>
      <c r="M3515">
        <v>0</v>
      </c>
      <c r="N3515">
        <v>0</v>
      </c>
      <c r="O3515">
        <v>-100.2267040200361</v>
      </c>
      <c r="P3515">
        <v>754352</v>
      </c>
    </row>
    <row r="3516" spans="1:16" x14ac:dyDescent="0.25">
      <c r="A3516" s="10">
        <v>42824</v>
      </c>
      <c r="B3516">
        <v>18517</v>
      </c>
      <c r="C3516">
        <v>0</v>
      </c>
      <c r="D3516">
        <v>0</v>
      </c>
      <c r="E3516">
        <v>0</v>
      </c>
      <c r="F3516">
        <v>0</v>
      </c>
      <c r="G3516">
        <v>-34.761605620194317</v>
      </c>
      <c r="H3516">
        <v>21299.843880950011</v>
      </c>
      <c r="I3516">
        <v>0</v>
      </c>
      <c r="J3516">
        <v>0</v>
      </c>
      <c r="K3516">
        <v>271.9414315599999</v>
      </c>
      <c r="L3516">
        <v>-3081.7</v>
      </c>
      <c r="M3516">
        <v>0</v>
      </c>
      <c r="N3516">
        <v>0</v>
      </c>
      <c r="O3516">
        <v>61.676293110186819</v>
      </c>
      <c r="P3516">
        <v>772869</v>
      </c>
    </row>
    <row r="3517" spans="1:16" x14ac:dyDescent="0.25">
      <c r="A3517" s="10">
        <v>42825</v>
      </c>
      <c r="B3517">
        <v>-18117</v>
      </c>
      <c r="C3517">
        <v>0</v>
      </c>
      <c r="D3517">
        <v>0</v>
      </c>
      <c r="E3517">
        <v>0</v>
      </c>
      <c r="F3517">
        <v>0</v>
      </c>
      <c r="G3517">
        <v>174.30692533994011</v>
      </c>
      <c r="H3517">
        <v>-13623.67653437998</v>
      </c>
      <c r="I3517">
        <v>0</v>
      </c>
      <c r="J3517">
        <v>0</v>
      </c>
      <c r="K3517">
        <v>34.728300729999987</v>
      </c>
      <c r="L3517">
        <v>-4739.8</v>
      </c>
      <c r="M3517">
        <v>0</v>
      </c>
      <c r="N3517">
        <v>0</v>
      </c>
      <c r="O3517">
        <v>37.441308310037861</v>
      </c>
      <c r="P3517">
        <v>754752</v>
      </c>
    </row>
    <row r="3518" spans="1:16" x14ac:dyDescent="0.25">
      <c r="A3518" s="10">
        <v>42828</v>
      </c>
      <c r="B3518">
        <v>38380</v>
      </c>
      <c r="C3518">
        <v>0</v>
      </c>
      <c r="D3518">
        <v>0</v>
      </c>
      <c r="E3518">
        <v>0</v>
      </c>
      <c r="F3518">
        <v>0</v>
      </c>
      <c r="G3518">
        <v>134.8029263704193</v>
      </c>
      <c r="H3518">
        <v>48047.877760209987</v>
      </c>
      <c r="I3518">
        <v>0</v>
      </c>
      <c r="J3518">
        <v>0</v>
      </c>
      <c r="K3518">
        <v>331.0889198399999</v>
      </c>
      <c r="L3518">
        <v>-10451.5</v>
      </c>
      <c r="M3518">
        <v>0</v>
      </c>
      <c r="N3518">
        <v>0</v>
      </c>
      <c r="O3518">
        <v>317.73039357959351</v>
      </c>
      <c r="P3518">
        <v>793132</v>
      </c>
    </row>
    <row r="3519" spans="1:16" x14ac:dyDescent="0.25">
      <c r="A3519" s="10">
        <v>42829</v>
      </c>
      <c r="B3519">
        <v>-7026</v>
      </c>
      <c r="C3519">
        <v>0</v>
      </c>
      <c r="D3519">
        <v>0</v>
      </c>
      <c r="E3519">
        <v>0</v>
      </c>
      <c r="F3519">
        <v>0</v>
      </c>
      <c r="G3519">
        <v>-111.5628053903129</v>
      </c>
      <c r="H3519">
        <v>8049.8707571999976</v>
      </c>
      <c r="I3519">
        <v>0</v>
      </c>
      <c r="J3519">
        <v>0</v>
      </c>
      <c r="K3519">
        <v>154.64084585000001</v>
      </c>
      <c r="L3519">
        <v>-15063.8</v>
      </c>
      <c r="M3519">
        <v>0</v>
      </c>
      <c r="N3519">
        <v>0</v>
      </c>
      <c r="O3519">
        <v>-55.148797659687261</v>
      </c>
      <c r="P3519">
        <v>786106</v>
      </c>
    </row>
    <row r="3520" spans="1:16" x14ac:dyDescent="0.25">
      <c r="A3520" s="10">
        <v>42830</v>
      </c>
      <c r="B3520">
        <v>-8035</v>
      </c>
      <c r="C3520">
        <v>0</v>
      </c>
      <c r="D3520">
        <v>0</v>
      </c>
      <c r="E3520">
        <v>0</v>
      </c>
      <c r="F3520">
        <v>0</v>
      </c>
      <c r="G3520">
        <v>-331.09880205016162</v>
      </c>
      <c r="H3520">
        <v>-626.37463616998866</v>
      </c>
      <c r="I3520">
        <v>0</v>
      </c>
      <c r="J3520">
        <v>0</v>
      </c>
      <c r="K3520">
        <v>126.36289643000001</v>
      </c>
      <c r="L3520">
        <v>-7300.8</v>
      </c>
      <c r="M3520">
        <v>0</v>
      </c>
      <c r="N3520">
        <v>0</v>
      </c>
      <c r="O3520">
        <v>96.910541790150816</v>
      </c>
      <c r="P3520">
        <v>778071</v>
      </c>
    </row>
    <row r="3521" spans="1:16" x14ac:dyDescent="0.25">
      <c r="A3521" s="10">
        <v>42831</v>
      </c>
      <c r="B3521">
        <v>848</v>
      </c>
      <c r="C3521">
        <v>0</v>
      </c>
      <c r="D3521">
        <v>0</v>
      </c>
      <c r="E3521">
        <v>0</v>
      </c>
      <c r="F3521">
        <v>0</v>
      </c>
      <c r="G3521">
        <v>283.0030750601465</v>
      </c>
      <c r="H3521">
        <v>10310.32579947999</v>
      </c>
      <c r="I3521">
        <v>0</v>
      </c>
      <c r="J3521">
        <v>0</v>
      </c>
      <c r="K3521">
        <v>110.91386181</v>
      </c>
      <c r="L3521">
        <v>-9746.9</v>
      </c>
      <c r="M3521">
        <v>0</v>
      </c>
      <c r="N3521">
        <v>0</v>
      </c>
      <c r="O3521">
        <v>-109.3427363501407</v>
      </c>
      <c r="P3521">
        <v>778919</v>
      </c>
    </row>
    <row r="3522" spans="1:16" x14ac:dyDescent="0.25">
      <c r="A3522" s="10">
        <v>42832</v>
      </c>
      <c r="B3522">
        <v>862</v>
      </c>
      <c r="C3522">
        <v>0</v>
      </c>
      <c r="D3522">
        <v>0</v>
      </c>
      <c r="E3522">
        <v>0</v>
      </c>
      <c r="F3522">
        <v>0</v>
      </c>
      <c r="G3522">
        <v>110.7423907803084</v>
      </c>
      <c r="H3522">
        <v>12876.771172080011</v>
      </c>
      <c r="I3522">
        <v>0</v>
      </c>
      <c r="J3522">
        <v>0</v>
      </c>
      <c r="K3522">
        <v>125.7035484899999</v>
      </c>
      <c r="L3522">
        <v>-11941.3</v>
      </c>
      <c r="M3522">
        <v>0</v>
      </c>
      <c r="N3522">
        <v>0</v>
      </c>
      <c r="O3522">
        <v>-309.91711135032239</v>
      </c>
      <c r="P3522">
        <v>779781</v>
      </c>
    </row>
    <row r="3523" spans="1:16" x14ac:dyDescent="0.25">
      <c r="A3523" s="10">
        <v>42835</v>
      </c>
      <c r="B3523">
        <v>11950</v>
      </c>
      <c r="C3523">
        <v>0</v>
      </c>
      <c r="D3523">
        <v>9993.4249999999993</v>
      </c>
      <c r="E3523">
        <v>0</v>
      </c>
      <c r="F3523">
        <v>0</v>
      </c>
      <c r="G3523">
        <v>-162.09789265011929</v>
      </c>
      <c r="H3523">
        <v>6268.0715600899857</v>
      </c>
      <c r="I3523">
        <v>0</v>
      </c>
      <c r="J3523">
        <v>-85</v>
      </c>
      <c r="K3523">
        <v>162.2498714100004</v>
      </c>
      <c r="L3523">
        <v>-4168.5</v>
      </c>
      <c r="M3523">
        <v>0</v>
      </c>
      <c r="N3523">
        <v>0</v>
      </c>
      <c r="O3523">
        <v>-58.148538849865872</v>
      </c>
      <c r="P3523">
        <v>791731</v>
      </c>
    </row>
    <row r="3524" spans="1:16" x14ac:dyDescent="0.25">
      <c r="A3524" s="10">
        <v>42836</v>
      </c>
      <c r="B3524">
        <v>-1810</v>
      </c>
      <c r="C3524">
        <v>0</v>
      </c>
      <c r="D3524">
        <v>0</v>
      </c>
      <c r="E3524">
        <v>0</v>
      </c>
      <c r="F3524">
        <v>0</v>
      </c>
      <c r="G3524">
        <v>-125.7092709700854</v>
      </c>
      <c r="H3524">
        <v>3206.1265500800068</v>
      </c>
      <c r="I3524">
        <v>0</v>
      </c>
      <c r="J3524">
        <v>0</v>
      </c>
      <c r="K3524">
        <v>94.18173871999997</v>
      </c>
      <c r="L3524">
        <v>-4934.3</v>
      </c>
      <c r="M3524">
        <v>0</v>
      </c>
      <c r="N3524">
        <v>0</v>
      </c>
      <c r="O3524">
        <v>-50.299017829921553</v>
      </c>
      <c r="P3524">
        <v>789921</v>
      </c>
    </row>
    <row r="3525" spans="1:16" x14ac:dyDescent="0.25">
      <c r="A3525" s="10">
        <v>42837</v>
      </c>
      <c r="B3525">
        <v>-13195</v>
      </c>
      <c r="C3525">
        <v>0</v>
      </c>
      <c r="D3525">
        <v>0</v>
      </c>
      <c r="E3525">
        <v>0</v>
      </c>
      <c r="F3525">
        <v>0</v>
      </c>
      <c r="G3525">
        <v>59.930227059910791</v>
      </c>
      <c r="H3525">
        <v>-8579.8620611799997</v>
      </c>
      <c r="I3525">
        <v>0</v>
      </c>
      <c r="J3525">
        <v>0</v>
      </c>
      <c r="K3525">
        <v>120.04124132</v>
      </c>
      <c r="L3525">
        <v>-4781.3999999999996</v>
      </c>
      <c r="M3525">
        <v>0</v>
      </c>
      <c r="N3525">
        <v>0</v>
      </c>
      <c r="O3525">
        <v>-13.709407199911579</v>
      </c>
      <c r="P3525">
        <v>776726</v>
      </c>
    </row>
    <row r="3526" spans="1:16" x14ac:dyDescent="0.25">
      <c r="A3526" s="10">
        <v>42842</v>
      </c>
      <c r="B3526">
        <v>19096</v>
      </c>
      <c r="C3526">
        <v>0</v>
      </c>
      <c r="D3526">
        <v>5311</v>
      </c>
      <c r="E3526">
        <v>0</v>
      </c>
      <c r="F3526">
        <v>0</v>
      </c>
      <c r="G3526">
        <v>-104.7511159998903</v>
      </c>
      <c r="H3526">
        <v>14130.154784679989</v>
      </c>
      <c r="I3526">
        <v>0</v>
      </c>
      <c r="J3526">
        <v>0</v>
      </c>
      <c r="K3526">
        <v>352.51316019000012</v>
      </c>
      <c r="L3526">
        <v>-808</v>
      </c>
      <c r="M3526">
        <v>0</v>
      </c>
      <c r="N3526">
        <v>0</v>
      </c>
      <c r="O3526">
        <v>215.08317112989531</v>
      </c>
      <c r="P3526">
        <v>795822</v>
      </c>
    </row>
    <row r="3527" spans="1:16" x14ac:dyDescent="0.25">
      <c r="A3527" s="10">
        <v>42843</v>
      </c>
      <c r="B3527">
        <v>-71</v>
      </c>
      <c r="C3527">
        <v>0</v>
      </c>
      <c r="D3527">
        <v>0</v>
      </c>
      <c r="E3527">
        <v>0</v>
      </c>
      <c r="F3527">
        <v>0</v>
      </c>
      <c r="G3527">
        <v>-59.707693400038167</v>
      </c>
      <c r="H3527">
        <v>-65.117593569972087</v>
      </c>
      <c r="I3527">
        <v>0</v>
      </c>
      <c r="J3527">
        <v>0</v>
      </c>
      <c r="K3527">
        <v>89.422862570000049</v>
      </c>
      <c r="L3527">
        <v>0</v>
      </c>
      <c r="M3527">
        <v>0</v>
      </c>
      <c r="N3527">
        <v>0</v>
      </c>
      <c r="O3527">
        <v>-35.597575599989803</v>
      </c>
      <c r="P3527">
        <v>795751</v>
      </c>
    </row>
    <row r="3528" spans="1:16" x14ac:dyDescent="0.25">
      <c r="A3528" s="10">
        <v>42844</v>
      </c>
      <c r="B3528">
        <v>39713</v>
      </c>
      <c r="C3528">
        <v>0</v>
      </c>
      <c r="D3528">
        <v>0</v>
      </c>
      <c r="E3528">
        <v>0</v>
      </c>
      <c r="F3528">
        <v>0</v>
      </c>
      <c r="G3528">
        <v>154.45530383984729</v>
      </c>
      <c r="H3528">
        <v>-23381.773665840021</v>
      </c>
      <c r="I3528">
        <v>0</v>
      </c>
      <c r="J3528">
        <v>0</v>
      </c>
      <c r="K3528">
        <v>163.55102579000001</v>
      </c>
      <c r="L3528">
        <v>62993</v>
      </c>
      <c r="M3528">
        <v>0</v>
      </c>
      <c r="N3528">
        <v>0</v>
      </c>
      <c r="O3528">
        <v>-216.23266378982521</v>
      </c>
      <c r="P3528">
        <v>835464</v>
      </c>
    </row>
    <row r="3529" spans="1:16" x14ac:dyDescent="0.25">
      <c r="A3529" s="10">
        <v>42845</v>
      </c>
      <c r="B3529">
        <v>-23728</v>
      </c>
      <c r="C3529">
        <v>0</v>
      </c>
      <c r="D3529">
        <v>0</v>
      </c>
      <c r="E3529">
        <v>0</v>
      </c>
      <c r="F3529">
        <v>0</v>
      </c>
      <c r="G3529">
        <v>184.52139785016811</v>
      </c>
      <c r="H3529">
        <v>-22793.590587130009</v>
      </c>
      <c r="I3529">
        <v>0</v>
      </c>
      <c r="J3529">
        <v>0</v>
      </c>
      <c r="K3529">
        <v>39.260476670000003</v>
      </c>
      <c r="L3529">
        <v>-1179.3</v>
      </c>
      <c r="M3529">
        <v>0</v>
      </c>
      <c r="N3529">
        <v>0</v>
      </c>
      <c r="O3529">
        <v>21.108712609837681</v>
      </c>
      <c r="P3529">
        <v>811736</v>
      </c>
    </row>
    <row r="3530" spans="1:16" x14ac:dyDescent="0.25">
      <c r="A3530" s="10">
        <v>42846</v>
      </c>
      <c r="B3530">
        <v>-17541</v>
      </c>
      <c r="C3530">
        <v>0</v>
      </c>
      <c r="D3530">
        <v>0</v>
      </c>
      <c r="E3530">
        <v>0</v>
      </c>
      <c r="F3530">
        <v>0</v>
      </c>
      <c r="G3530">
        <v>-48.339593589812146</v>
      </c>
      <c r="H3530">
        <v>-14668.962136029961</v>
      </c>
      <c r="I3530">
        <v>0</v>
      </c>
      <c r="J3530">
        <v>0</v>
      </c>
      <c r="K3530">
        <v>39.978564270000007</v>
      </c>
      <c r="L3530">
        <v>-3040.4</v>
      </c>
      <c r="M3530">
        <v>0</v>
      </c>
      <c r="N3530">
        <v>0</v>
      </c>
      <c r="O3530">
        <v>176.72316534977671</v>
      </c>
      <c r="P3530">
        <v>794195</v>
      </c>
    </row>
    <row r="3531" spans="1:16" x14ac:dyDescent="0.25">
      <c r="A3531" s="10">
        <v>42849</v>
      </c>
      <c r="B3531">
        <v>15099</v>
      </c>
      <c r="C3531">
        <v>0</v>
      </c>
      <c r="D3531">
        <v>15393</v>
      </c>
      <c r="E3531">
        <v>0</v>
      </c>
      <c r="F3531">
        <v>0</v>
      </c>
      <c r="G3531">
        <v>-59.209945950415388</v>
      </c>
      <c r="H3531">
        <v>1897.8562336299799</v>
      </c>
      <c r="I3531">
        <v>0</v>
      </c>
      <c r="J3531">
        <v>0</v>
      </c>
      <c r="K3531">
        <v>218.68198226000001</v>
      </c>
      <c r="L3531">
        <v>-2309.4</v>
      </c>
      <c r="M3531">
        <v>0</v>
      </c>
      <c r="N3531">
        <v>0</v>
      </c>
      <c r="O3531">
        <v>-41.928269939565141</v>
      </c>
      <c r="P3531">
        <v>809294</v>
      </c>
    </row>
    <row r="3532" spans="1:16" x14ac:dyDescent="0.25">
      <c r="A3532" s="10">
        <v>42850</v>
      </c>
      <c r="B3532">
        <v>-7022</v>
      </c>
      <c r="C3532">
        <v>0</v>
      </c>
      <c r="D3532">
        <v>0</v>
      </c>
      <c r="E3532">
        <v>0</v>
      </c>
      <c r="F3532">
        <v>0</v>
      </c>
      <c r="G3532">
        <v>-52.289914700139619</v>
      </c>
      <c r="H3532">
        <v>-3191.809264669952</v>
      </c>
      <c r="I3532">
        <v>0</v>
      </c>
      <c r="J3532">
        <v>0</v>
      </c>
      <c r="K3532">
        <v>83.987324340000015</v>
      </c>
      <c r="L3532">
        <v>-3858.099999999999</v>
      </c>
      <c r="M3532">
        <v>0</v>
      </c>
      <c r="N3532">
        <v>0</v>
      </c>
      <c r="O3532">
        <v>-3.7881449699096241</v>
      </c>
      <c r="P3532">
        <v>802272</v>
      </c>
    </row>
    <row r="3533" spans="1:16" x14ac:dyDescent="0.25">
      <c r="A3533" s="10">
        <v>42851</v>
      </c>
      <c r="B3533">
        <v>-4927</v>
      </c>
      <c r="C3533">
        <v>0</v>
      </c>
      <c r="D3533">
        <v>0</v>
      </c>
      <c r="E3533">
        <v>0</v>
      </c>
      <c r="F3533">
        <v>0</v>
      </c>
      <c r="G3533">
        <v>-41.588979979439287</v>
      </c>
      <c r="H3533">
        <v>-5423.4370402200148</v>
      </c>
      <c r="I3533">
        <v>0</v>
      </c>
      <c r="J3533">
        <v>0</v>
      </c>
      <c r="K3533">
        <v>193.27059059000001</v>
      </c>
      <c r="L3533">
        <v>447.8</v>
      </c>
      <c r="M3533">
        <v>0</v>
      </c>
      <c r="N3533">
        <v>0</v>
      </c>
      <c r="O3533">
        <v>-103.044570390546</v>
      </c>
      <c r="P3533">
        <v>797345</v>
      </c>
    </row>
    <row r="3534" spans="1:16" x14ac:dyDescent="0.25">
      <c r="A3534" s="10">
        <v>42852</v>
      </c>
      <c r="B3534">
        <v>12028</v>
      </c>
      <c r="C3534">
        <v>0</v>
      </c>
      <c r="D3534">
        <v>0</v>
      </c>
      <c r="E3534">
        <v>12500</v>
      </c>
      <c r="F3534">
        <v>0</v>
      </c>
      <c r="G3534">
        <v>214.53459948968899</v>
      </c>
      <c r="H3534">
        <v>3699.672982329997</v>
      </c>
      <c r="I3534">
        <v>0</v>
      </c>
      <c r="J3534">
        <v>0</v>
      </c>
      <c r="K3534">
        <v>146.52124379000011</v>
      </c>
      <c r="L3534">
        <v>-4475.8999999999996</v>
      </c>
      <c r="M3534">
        <v>0</v>
      </c>
      <c r="N3534">
        <v>0</v>
      </c>
      <c r="O3534">
        <v>-56.828825609686831</v>
      </c>
      <c r="P3534">
        <v>809373</v>
      </c>
    </row>
    <row r="3535" spans="1:16" x14ac:dyDescent="0.25">
      <c r="A3535" s="10">
        <v>42853</v>
      </c>
      <c r="B3535">
        <v>-13463</v>
      </c>
      <c r="C3535">
        <v>0</v>
      </c>
      <c r="D3535">
        <v>0</v>
      </c>
      <c r="E3535">
        <v>0</v>
      </c>
      <c r="F3535">
        <v>0</v>
      </c>
      <c r="G3535">
        <v>-42.787588340134938</v>
      </c>
      <c r="H3535">
        <v>-6073.0848622499907</v>
      </c>
      <c r="I3535">
        <v>0</v>
      </c>
      <c r="J3535">
        <v>0</v>
      </c>
      <c r="K3535">
        <v>141.35872377999999</v>
      </c>
      <c r="L3535">
        <v>-7548.2</v>
      </c>
      <c r="M3535">
        <v>0</v>
      </c>
      <c r="N3535">
        <v>0</v>
      </c>
      <c r="O3535">
        <v>59.71372681012523</v>
      </c>
      <c r="P3535">
        <v>795910</v>
      </c>
    </row>
    <row r="3536" spans="1:16" x14ac:dyDescent="0.25">
      <c r="A3536" s="10">
        <v>42857</v>
      </c>
      <c r="B3536">
        <v>24223</v>
      </c>
      <c r="C3536">
        <v>0</v>
      </c>
      <c r="D3536">
        <v>0</v>
      </c>
      <c r="E3536">
        <v>0</v>
      </c>
      <c r="F3536">
        <v>0</v>
      </c>
      <c r="G3536">
        <v>-76.257900119758403</v>
      </c>
      <c r="H3536">
        <v>36302.37883283</v>
      </c>
      <c r="I3536">
        <v>0</v>
      </c>
      <c r="J3536">
        <v>0</v>
      </c>
      <c r="K3536">
        <v>363.04936614000019</v>
      </c>
      <c r="L3536">
        <v>-12012.5</v>
      </c>
      <c r="M3536">
        <v>0</v>
      </c>
      <c r="N3536">
        <v>0</v>
      </c>
      <c r="O3536">
        <v>-353.67029885024101</v>
      </c>
      <c r="P3536">
        <v>820133</v>
      </c>
    </row>
    <row r="3537" spans="1:16" x14ac:dyDescent="0.25">
      <c r="A3537" s="10">
        <v>42858</v>
      </c>
      <c r="B3537">
        <v>-2343</v>
      </c>
      <c r="C3537">
        <v>1526.4465</v>
      </c>
      <c r="D3537">
        <v>0</v>
      </c>
      <c r="E3537">
        <v>0</v>
      </c>
      <c r="F3537">
        <v>0</v>
      </c>
      <c r="G3537">
        <v>112.45959686969201</v>
      </c>
      <c r="H3537">
        <v>5207.7256808399979</v>
      </c>
      <c r="I3537">
        <v>0</v>
      </c>
      <c r="J3537">
        <v>0</v>
      </c>
      <c r="K3537">
        <v>172.51709127999999</v>
      </c>
      <c r="L3537">
        <v>-9688.5</v>
      </c>
      <c r="M3537">
        <v>0</v>
      </c>
      <c r="N3537">
        <v>0</v>
      </c>
      <c r="O3537">
        <v>326.35113101030959</v>
      </c>
      <c r="P3537">
        <v>817790</v>
      </c>
    </row>
    <row r="3538" spans="1:16" x14ac:dyDescent="0.25">
      <c r="A3538" s="10">
        <v>42859</v>
      </c>
      <c r="B3538">
        <v>-4294</v>
      </c>
      <c r="C3538">
        <v>1538.2925</v>
      </c>
      <c r="D3538">
        <v>0</v>
      </c>
      <c r="E3538">
        <v>0</v>
      </c>
      <c r="F3538">
        <v>0</v>
      </c>
      <c r="G3538">
        <v>-190.59958864980891</v>
      </c>
      <c r="H3538">
        <v>1607.2541239699931</v>
      </c>
      <c r="I3538">
        <v>0</v>
      </c>
      <c r="J3538">
        <v>0</v>
      </c>
      <c r="K3538">
        <v>146.33498402999999</v>
      </c>
      <c r="L3538">
        <v>-7350.4000000000005</v>
      </c>
      <c r="M3538">
        <v>0</v>
      </c>
      <c r="N3538">
        <v>0</v>
      </c>
      <c r="O3538">
        <v>-44.882019350182958</v>
      </c>
      <c r="P3538">
        <v>813496</v>
      </c>
    </row>
    <row r="3539" spans="1:16" x14ac:dyDescent="0.25">
      <c r="A3539" s="10">
        <v>42860</v>
      </c>
      <c r="B3539">
        <v>1468</v>
      </c>
      <c r="C3539">
        <v>1535.4280000000001</v>
      </c>
      <c r="D3539">
        <v>0</v>
      </c>
      <c r="E3539">
        <v>0</v>
      </c>
      <c r="F3539">
        <v>0</v>
      </c>
      <c r="G3539">
        <v>83.219359070036802</v>
      </c>
      <c r="H3539">
        <v>12264.38676618</v>
      </c>
      <c r="I3539">
        <v>0</v>
      </c>
      <c r="J3539">
        <v>0</v>
      </c>
      <c r="K3539">
        <v>133.46437836999999</v>
      </c>
      <c r="L3539">
        <v>-12606.6</v>
      </c>
      <c r="M3539">
        <v>0</v>
      </c>
      <c r="N3539">
        <v>0</v>
      </c>
      <c r="O3539">
        <v>58.101496379959279</v>
      </c>
      <c r="P3539">
        <v>814964</v>
      </c>
    </row>
    <row r="3540" spans="1:16" x14ac:dyDescent="0.25">
      <c r="A3540" s="10">
        <v>42863</v>
      </c>
      <c r="B3540">
        <v>-13766</v>
      </c>
      <c r="C3540">
        <v>1542.9324999999999</v>
      </c>
      <c r="D3540">
        <v>0</v>
      </c>
      <c r="E3540">
        <v>0</v>
      </c>
      <c r="F3540">
        <v>0</v>
      </c>
      <c r="G3540">
        <v>-184.9375970198827</v>
      </c>
      <c r="H3540">
        <v>-2081.4679308600171</v>
      </c>
      <c r="I3540">
        <v>0</v>
      </c>
      <c r="J3540">
        <v>0</v>
      </c>
      <c r="K3540">
        <v>81.792755819999996</v>
      </c>
      <c r="L3540">
        <v>-12879.1</v>
      </c>
      <c r="M3540">
        <v>0</v>
      </c>
      <c r="N3540">
        <v>0</v>
      </c>
      <c r="O3540">
        <v>-245.2197279400996</v>
      </c>
      <c r="P3540">
        <v>801198</v>
      </c>
    </row>
    <row r="3541" spans="1:16" x14ac:dyDescent="0.25">
      <c r="A3541" s="10">
        <v>42864</v>
      </c>
      <c r="B3541">
        <v>-2948</v>
      </c>
      <c r="C3541">
        <v>1557.5305000000001</v>
      </c>
      <c r="D3541">
        <v>0</v>
      </c>
      <c r="E3541">
        <v>0</v>
      </c>
      <c r="F3541">
        <v>0</v>
      </c>
      <c r="G3541">
        <v>-57.57532909021829</v>
      </c>
      <c r="H3541">
        <v>12936.822535970021</v>
      </c>
      <c r="I3541">
        <v>0</v>
      </c>
      <c r="J3541">
        <v>-82.199999999999818</v>
      </c>
      <c r="K3541">
        <v>118.37776647</v>
      </c>
      <c r="L3541">
        <v>-17394.8</v>
      </c>
      <c r="M3541">
        <v>0</v>
      </c>
      <c r="N3541">
        <v>0</v>
      </c>
      <c r="O3541">
        <v>-26.155473349797099</v>
      </c>
      <c r="P3541">
        <v>798250</v>
      </c>
    </row>
    <row r="3542" spans="1:16" x14ac:dyDescent="0.25">
      <c r="A3542" s="10">
        <v>42865</v>
      </c>
      <c r="B3542">
        <v>-4548</v>
      </c>
      <c r="C3542">
        <v>1554.288</v>
      </c>
      <c r="D3542">
        <v>0</v>
      </c>
      <c r="E3542">
        <v>0</v>
      </c>
      <c r="F3542">
        <v>0</v>
      </c>
      <c r="G3542">
        <v>91.827824310010698</v>
      </c>
      <c r="H3542">
        <v>7606.5546618999797</v>
      </c>
      <c r="I3542">
        <v>0</v>
      </c>
      <c r="J3542">
        <v>0</v>
      </c>
      <c r="K3542">
        <v>128.89915184</v>
      </c>
      <c r="L3542">
        <v>-13893.8</v>
      </c>
      <c r="M3542">
        <v>0</v>
      </c>
      <c r="N3542">
        <v>0</v>
      </c>
      <c r="O3542">
        <v>-35.769638049989588</v>
      </c>
      <c r="P3542">
        <v>793702</v>
      </c>
    </row>
    <row r="3543" spans="1:16" x14ac:dyDescent="0.25">
      <c r="A3543" s="10">
        <v>42866</v>
      </c>
      <c r="B3543">
        <v>1</v>
      </c>
      <c r="C3543">
        <v>1545.279</v>
      </c>
      <c r="D3543">
        <v>0</v>
      </c>
      <c r="E3543">
        <v>0</v>
      </c>
      <c r="F3543">
        <v>0</v>
      </c>
      <c r="G3543">
        <v>-61.749849300126833</v>
      </c>
      <c r="H3543">
        <v>-38.988592390000122</v>
      </c>
      <c r="I3543">
        <v>0</v>
      </c>
      <c r="J3543">
        <v>0</v>
      </c>
      <c r="K3543">
        <v>119.11230728</v>
      </c>
      <c r="L3543">
        <v>-1585.8</v>
      </c>
      <c r="M3543">
        <v>0</v>
      </c>
      <c r="N3543">
        <v>0</v>
      </c>
      <c r="O3543">
        <v>23.147134410127268</v>
      </c>
      <c r="P3543">
        <v>793703</v>
      </c>
    </row>
    <row r="3544" spans="1:16" x14ac:dyDescent="0.25">
      <c r="A3544" s="10">
        <v>42867</v>
      </c>
      <c r="B3544">
        <v>-7832</v>
      </c>
      <c r="C3544">
        <v>1542.0650000000001</v>
      </c>
      <c r="D3544">
        <v>0</v>
      </c>
      <c r="E3544">
        <v>0</v>
      </c>
      <c r="F3544">
        <v>0</v>
      </c>
      <c r="G3544">
        <v>30.00922261044526</v>
      </c>
      <c r="H3544">
        <v>-4179.4005669000026</v>
      </c>
      <c r="I3544">
        <v>0</v>
      </c>
      <c r="J3544">
        <v>0</v>
      </c>
      <c r="K3544">
        <v>90.004711900000018</v>
      </c>
      <c r="L3544">
        <v>-5348.7999999999993</v>
      </c>
      <c r="M3544">
        <v>0</v>
      </c>
      <c r="N3544">
        <v>0</v>
      </c>
      <c r="O3544">
        <v>34.1216323895569</v>
      </c>
      <c r="P3544">
        <v>785871</v>
      </c>
    </row>
    <row r="3545" spans="1:16" x14ac:dyDescent="0.25">
      <c r="A3545" s="10">
        <v>42870</v>
      </c>
      <c r="B3545">
        <v>-8142</v>
      </c>
      <c r="C3545">
        <v>1551.0775000000001</v>
      </c>
      <c r="D3545">
        <v>0</v>
      </c>
      <c r="E3545">
        <v>0</v>
      </c>
      <c r="F3545">
        <v>0</v>
      </c>
      <c r="G3545">
        <v>-281.71442006027593</v>
      </c>
      <c r="H3545">
        <v>-4549.4032388099877</v>
      </c>
      <c r="I3545">
        <v>0</v>
      </c>
      <c r="J3545">
        <v>0</v>
      </c>
      <c r="K3545">
        <v>106.16525052999999</v>
      </c>
      <c r="L3545">
        <v>-5104.1000000000004</v>
      </c>
      <c r="M3545">
        <v>0</v>
      </c>
      <c r="N3545">
        <v>0</v>
      </c>
      <c r="O3545">
        <v>135.97490834026459</v>
      </c>
      <c r="P3545">
        <v>777729</v>
      </c>
    </row>
    <row r="3546" spans="1:16" x14ac:dyDescent="0.25">
      <c r="A3546" s="10">
        <v>42871</v>
      </c>
      <c r="B3546">
        <v>-4660</v>
      </c>
      <c r="C3546">
        <v>1560.569</v>
      </c>
      <c r="D3546">
        <v>0</v>
      </c>
      <c r="E3546">
        <v>0</v>
      </c>
      <c r="F3546">
        <v>0</v>
      </c>
      <c r="G3546">
        <v>-35.770951340095721</v>
      </c>
      <c r="H3546">
        <v>-5827.179285930004</v>
      </c>
      <c r="I3546">
        <v>0</v>
      </c>
      <c r="J3546">
        <v>0</v>
      </c>
      <c r="K3546">
        <v>79.075900300000015</v>
      </c>
      <c r="L3546">
        <v>-423.8</v>
      </c>
      <c r="M3546">
        <v>0</v>
      </c>
      <c r="N3546">
        <v>0</v>
      </c>
      <c r="O3546">
        <v>-12.89466302989986</v>
      </c>
      <c r="P3546">
        <v>773069</v>
      </c>
    </row>
    <row r="3547" spans="1:16" x14ac:dyDescent="0.25">
      <c r="A3547" s="10">
        <v>42872</v>
      </c>
      <c r="B3547">
        <v>24498</v>
      </c>
      <c r="C3547">
        <v>1562.5519999999999</v>
      </c>
      <c r="D3547">
        <v>0</v>
      </c>
      <c r="E3547">
        <v>0</v>
      </c>
      <c r="F3547">
        <v>0</v>
      </c>
      <c r="G3547">
        <v>-308.37962930966683</v>
      </c>
      <c r="H3547">
        <v>-9286.0403475800122</v>
      </c>
      <c r="I3547">
        <v>0</v>
      </c>
      <c r="J3547">
        <v>0</v>
      </c>
      <c r="K3547">
        <v>100.40875271</v>
      </c>
      <c r="L3547">
        <v>33236.300000000003</v>
      </c>
      <c r="M3547">
        <v>0</v>
      </c>
      <c r="N3547">
        <v>0</v>
      </c>
      <c r="O3547">
        <v>-806.84077582032182</v>
      </c>
      <c r="P3547">
        <v>797567</v>
      </c>
    </row>
    <row r="3548" spans="1:16" x14ac:dyDescent="0.25">
      <c r="A3548" s="10">
        <v>42873</v>
      </c>
      <c r="B3548">
        <v>-8314</v>
      </c>
      <c r="C3548">
        <v>0</v>
      </c>
      <c r="D3548">
        <v>0</v>
      </c>
      <c r="E3548">
        <v>0</v>
      </c>
      <c r="F3548">
        <v>0</v>
      </c>
      <c r="G3548">
        <v>527.23037844965165</v>
      </c>
      <c r="H3548">
        <v>-2373.9067050099979</v>
      </c>
      <c r="I3548">
        <v>0</v>
      </c>
      <c r="J3548">
        <v>0</v>
      </c>
      <c r="K3548">
        <v>114.97226161</v>
      </c>
      <c r="L3548">
        <v>-6717.4</v>
      </c>
      <c r="M3548">
        <v>0</v>
      </c>
      <c r="N3548">
        <v>0</v>
      </c>
      <c r="O3548">
        <v>135.10406495034661</v>
      </c>
      <c r="P3548">
        <v>789253</v>
      </c>
    </row>
    <row r="3549" spans="1:16" x14ac:dyDescent="0.25">
      <c r="A3549" s="10">
        <v>42874</v>
      </c>
      <c r="B3549">
        <v>-6929</v>
      </c>
      <c r="C3549">
        <v>0</v>
      </c>
      <c r="D3549">
        <v>0</v>
      </c>
      <c r="E3549">
        <v>12500</v>
      </c>
      <c r="F3549">
        <v>0</v>
      </c>
      <c r="G3549">
        <v>68.958019209951274</v>
      </c>
      <c r="H3549">
        <v>-12026.02853740002</v>
      </c>
      <c r="I3549">
        <v>0</v>
      </c>
      <c r="J3549">
        <v>0</v>
      </c>
      <c r="K3549">
        <v>106.76249232000001</v>
      </c>
      <c r="L3549">
        <v>-7642.6</v>
      </c>
      <c r="M3549">
        <v>0</v>
      </c>
      <c r="N3549">
        <v>0</v>
      </c>
      <c r="O3549">
        <v>63.908025870072187</v>
      </c>
      <c r="P3549">
        <v>782324</v>
      </c>
    </row>
    <row r="3550" spans="1:16" x14ac:dyDescent="0.25">
      <c r="A3550" s="10">
        <v>42877</v>
      </c>
      <c r="B3550">
        <v>-6082</v>
      </c>
      <c r="C3550">
        <v>0</v>
      </c>
      <c r="D3550">
        <v>0</v>
      </c>
      <c r="E3550">
        <v>0</v>
      </c>
      <c r="F3550">
        <v>0</v>
      </c>
      <c r="G3550">
        <v>-279.20275635963083</v>
      </c>
      <c r="H3550">
        <v>1751.295341060031</v>
      </c>
      <c r="I3550">
        <v>0</v>
      </c>
      <c r="J3550">
        <v>0</v>
      </c>
      <c r="K3550">
        <v>167.02565960999999</v>
      </c>
      <c r="L3550">
        <v>-7584.7</v>
      </c>
      <c r="M3550">
        <v>0</v>
      </c>
      <c r="N3550">
        <v>0</v>
      </c>
      <c r="O3550">
        <v>-136.41824431040041</v>
      </c>
      <c r="P3550">
        <v>776242</v>
      </c>
    </row>
    <row r="3551" spans="1:16" x14ac:dyDescent="0.25">
      <c r="A3551" s="10">
        <v>42878</v>
      </c>
      <c r="B3551">
        <v>-8593</v>
      </c>
      <c r="C3551">
        <v>0</v>
      </c>
      <c r="D3551">
        <v>0</v>
      </c>
      <c r="E3551">
        <v>0</v>
      </c>
      <c r="F3551">
        <v>0</v>
      </c>
      <c r="G3551">
        <v>253.50897958982731</v>
      </c>
      <c r="H3551">
        <v>-3886.2525163100222</v>
      </c>
      <c r="I3551">
        <v>0</v>
      </c>
      <c r="J3551">
        <v>0</v>
      </c>
      <c r="K3551">
        <v>102.44068245</v>
      </c>
      <c r="L3551">
        <v>-5007.7</v>
      </c>
      <c r="M3551">
        <v>0</v>
      </c>
      <c r="N3551">
        <v>0</v>
      </c>
      <c r="O3551">
        <v>-54.997145729805922</v>
      </c>
      <c r="P3551">
        <v>767649</v>
      </c>
    </row>
    <row r="3552" spans="1:16" x14ac:dyDescent="0.25">
      <c r="A3552" s="10">
        <v>42879</v>
      </c>
      <c r="B3552">
        <v>-15384</v>
      </c>
      <c r="C3552">
        <v>0</v>
      </c>
      <c r="D3552">
        <v>0</v>
      </c>
      <c r="E3552">
        <v>0</v>
      </c>
      <c r="F3552">
        <v>0</v>
      </c>
      <c r="G3552">
        <v>-236.64051983002199</v>
      </c>
      <c r="H3552">
        <v>-11918.344821569999</v>
      </c>
      <c r="I3552">
        <v>0</v>
      </c>
      <c r="J3552">
        <v>0</v>
      </c>
      <c r="K3552">
        <v>114.75571926000001</v>
      </c>
      <c r="L3552">
        <v>-3472.3</v>
      </c>
      <c r="M3552">
        <v>0</v>
      </c>
      <c r="N3552">
        <v>0</v>
      </c>
      <c r="O3552">
        <v>128.52962214002659</v>
      </c>
      <c r="P3552">
        <v>752265</v>
      </c>
    </row>
    <row r="3553" spans="1:16" x14ac:dyDescent="0.25">
      <c r="A3553" s="10">
        <v>42881</v>
      </c>
      <c r="B3553">
        <v>7453</v>
      </c>
      <c r="C3553">
        <v>0</v>
      </c>
      <c r="D3553">
        <v>0</v>
      </c>
      <c r="E3553">
        <v>0</v>
      </c>
      <c r="F3553">
        <v>0</v>
      </c>
      <c r="G3553">
        <v>213.25718937984439</v>
      </c>
      <c r="H3553">
        <v>13130.22545939</v>
      </c>
      <c r="I3553">
        <v>0</v>
      </c>
      <c r="J3553">
        <v>0</v>
      </c>
      <c r="K3553">
        <v>250.67779671</v>
      </c>
      <c r="L3553">
        <v>-6175.5</v>
      </c>
      <c r="M3553">
        <v>0</v>
      </c>
      <c r="N3553">
        <v>0</v>
      </c>
      <c r="O3553">
        <v>34.339554520156163</v>
      </c>
      <c r="P3553">
        <v>759718</v>
      </c>
    </row>
    <row r="3554" spans="1:16" x14ac:dyDescent="0.25">
      <c r="A3554" s="10">
        <v>42884</v>
      </c>
      <c r="B3554">
        <v>-4284</v>
      </c>
      <c r="C3554">
        <v>0</v>
      </c>
      <c r="D3554">
        <v>0</v>
      </c>
      <c r="E3554">
        <v>0</v>
      </c>
      <c r="F3554">
        <v>0</v>
      </c>
      <c r="G3554">
        <v>81.049311130052317</v>
      </c>
      <c r="H3554">
        <v>-3585.3954856499909</v>
      </c>
      <c r="I3554">
        <v>0</v>
      </c>
      <c r="J3554">
        <v>0</v>
      </c>
      <c r="K3554">
        <v>175.00742503999999</v>
      </c>
      <c r="L3554">
        <v>-1053.7</v>
      </c>
      <c r="M3554">
        <v>0</v>
      </c>
      <c r="N3554">
        <v>0</v>
      </c>
      <c r="O3554">
        <v>99.038749479939</v>
      </c>
      <c r="P3554">
        <v>755434</v>
      </c>
    </row>
    <row r="3555" spans="1:16" x14ac:dyDescent="0.25">
      <c r="A3555" s="10">
        <v>42885</v>
      </c>
      <c r="B3555">
        <v>-1756</v>
      </c>
      <c r="C3555">
        <v>0</v>
      </c>
      <c r="D3555">
        <v>0</v>
      </c>
      <c r="E3555">
        <v>-8300</v>
      </c>
      <c r="F3555">
        <v>0</v>
      </c>
      <c r="G3555">
        <v>-9.549155519996205</v>
      </c>
      <c r="H3555">
        <v>11891.348177239999</v>
      </c>
      <c r="I3555">
        <v>0</v>
      </c>
      <c r="J3555">
        <v>0</v>
      </c>
      <c r="K3555">
        <v>135.94422423</v>
      </c>
      <c r="L3555">
        <v>-5400.5</v>
      </c>
      <c r="M3555">
        <v>0</v>
      </c>
      <c r="N3555">
        <v>0</v>
      </c>
      <c r="O3555">
        <v>-73.243245950001253</v>
      </c>
      <c r="P3555">
        <v>753678</v>
      </c>
    </row>
    <row r="3556" spans="1:16" x14ac:dyDescent="0.25">
      <c r="A3556" s="10">
        <v>42886</v>
      </c>
      <c r="B3556">
        <v>3409</v>
      </c>
      <c r="C3556">
        <v>0</v>
      </c>
      <c r="D3556">
        <v>0</v>
      </c>
      <c r="E3556">
        <v>0</v>
      </c>
      <c r="F3556">
        <v>0</v>
      </c>
      <c r="G3556">
        <v>-132.31097951999999</v>
      </c>
      <c r="H3556">
        <v>1174.1774709699971</v>
      </c>
      <c r="I3556">
        <v>0</v>
      </c>
      <c r="J3556">
        <v>0</v>
      </c>
      <c r="K3556">
        <v>200.33566860999991</v>
      </c>
      <c r="L3556">
        <v>2174.5</v>
      </c>
      <c r="M3556">
        <v>0</v>
      </c>
      <c r="N3556">
        <v>0</v>
      </c>
      <c r="O3556">
        <v>-7.7021600599965492</v>
      </c>
      <c r="P3556">
        <v>757087</v>
      </c>
    </row>
    <row r="3557" spans="1:16" x14ac:dyDescent="0.25">
      <c r="A3557" s="10">
        <v>42887</v>
      </c>
      <c r="B3557">
        <v>30316</v>
      </c>
      <c r="C3557">
        <v>795.4</v>
      </c>
      <c r="D3557">
        <v>-800</v>
      </c>
      <c r="E3557">
        <v>19300</v>
      </c>
      <c r="F3557">
        <v>0</v>
      </c>
      <c r="G3557">
        <v>38.040459003394609</v>
      </c>
      <c r="H3557">
        <v>16122.92608102001</v>
      </c>
      <c r="I3557">
        <v>0</v>
      </c>
      <c r="J3557">
        <v>0</v>
      </c>
      <c r="K3557">
        <v>38.327425089999998</v>
      </c>
      <c r="L3557">
        <v>-5207.7000000000007</v>
      </c>
      <c r="M3557">
        <v>0</v>
      </c>
      <c r="N3557">
        <v>0</v>
      </c>
      <c r="O3557">
        <v>29.006034886597629</v>
      </c>
      <c r="P3557">
        <v>787403</v>
      </c>
    </row>
    <row r="3558" spans="1:16" x14ac:dyDescent="0.25">
      <c r="A3558" s="10">
        <v>42888</v>
      </c>
      <c r="B3558">
        <v>-1693</v>
      </c>
      <c r="C3558">
        <v>0</v>
      </c>
      <c r="D3558">
        <v>0</v>
      </c>
      <c r="E3558">
        <v>0</v>
      </c>
      <c r="F3558">
        <v>0</v>
      </c>
      <c r="G3558">
        <v>102.58993659997211</v>
      </c>
      <c r="H3558">
        <v>474.40983859999687</v>
      </c>
      <c r="I3558">
        <v>0</v>
      </c>
      <c r="J3558">
        <v>0</v>
      </c>
      <c r="K3558">
        <v>137.9461206</v>
      </c>
      <c r="L3558">
        <v>-2381.1999999999998</v>
      </c>
      <c r="M3558">
        <v>0</v>
      </c>
      <c r="N3558">
        <v>0</v>
      </c>
      <c r="O3558">
        <v>-26.745895799969279</v>
      </c>
      <c r="P3558">
        <v>785710</v>
      </c>
    </row>
    <row r="3559" spans="1:16" x14ac:dyDescent="0.25">
      <c r="A3559" s="10">
        <v>42891</v>
      </c>
      <c r="B3559">
        <v>-3938</v>
      </c>
      <c r="C3559">
        <v>0</v>
      </c>
      <c r="D3559">
        <v>0</v>
      </c>
      <c r="E3559">
        <v>0</v>
      </c>
      <c r="F3559">
        <v>0</v>
      </c>
      <c r="G3559">
        <v>-96.972115650450718</v>
      </c>
      <c r="H3559">
        <v>1533.973888230001</v>
      </c>
      <c r="I3559">
        <v>0</v>
      </c>
      <c r="J3559">
        <v>0</v>
      </c>
      <c r="K3559">
        <v>133.42540267000001</v>
      </c>
      <c r="L3559">
        <v>-5499</v>
      </c>
      <c r="M3559">
        <v>0</v>
      </c>
      <c r="N3559">
        <v>0</v>
      </c>
      <c r="O3559">
        <v>-9.4271752495500536</v>
      </c>
      <c r="P3559">
        <v>781772</v>
      </c>
    </row>
    <row r="3560" spans="1:16" x14ac:dyDescent="0.25">
      <c r="A3560" s="10">
        <v>42892</v>
      </c>
      <c r="B3560">
        <v>20001</v>
      </c>
      <c r="C3560">
        <v>0</v>
      </c>
      <c r="D3560">
        <v>0</v>
      </c>
      <c r="E3560">
        <v>23000</v>
      </c>
      <c r="F3560">
        <v>0</v>
      </c>
      <c r="G3560">
        <v>-164.90601960941891</v>
      </c>
      <c r="H3560">
        <v>1706.2989293000139</v>
      </c>
      <c r="I3560">
        <v>0</v>
      </c>
      <c r="J3560">
        <v>0</v>
      </c>
      <c r="K3560">
        <v>52.543998889999997</v>
      </c>
      <c r="L3560">
        <v>-4546.6000000000004</v>
      </c>
      <c r="M3560">
        <v>0</v>
      </c>
      <c r="N3560">
        <v>0</v>
      </c>
      <c r="O3560">
        <v>-46.336908580594169</v>
      </c>
      <c r="P3560">
        <v>801773</v>
      </c>
    </row>
    <row r="3561" spans="1:16" x14ac:dyDescent="0.25">
      <c r="A3561" s="10">
        <v>42893</v>
      </c>
      <c r="B3561">
        <v>15942</v>
      </c>
      <c r="C3561">
        <v>0</v>
      </c>
      <c r="D3561">
        <v>0</v>
      </c>
      <c r="E3561">
        <v>0</v>
      </c>
      <c r="F3561">
        <v>0</v>
      </c>
      <c r="G3561">
        <v>-557.19053377045907</v>
      </c>
      <c r="H3561">
        <v>18062.647578460001</v>
      </c>
      <c r="I3561">
        <v>0</v>
      </c>
      <c r="J3561">
        <v>0</v>
      </c>
      <c r="K3561">
        <v>165.02726385999989</v>
      </c>
      <c r="L3561">
        <v>-1496.8</v>
      </c>
      <c r="M3561">
        <v>0</v>
      </c>
      <c r="N3561">
        <v>0</v>
      </c>
      <c r="O3561">
        <v>-231.68430854954491</v>
      </c>
      <c r="P3561">
        <v>817715</v>
      </c>
    </row>
    <row r="3562" spans="1:16" x14ac:dyDescent="0.25">
      <c r="A3562" s="10">
        <v>42894</v>
      </c>
      <c r="B3562">
        <v>-2395</v>
      </c>
      <c r="C3562">
        <v>0</v>
      </c>
      <c r="D3562">
        <v>0</v>
      </c>
      <c r="E3562">
        <v>0</v>
      </c>
      <c r="F3562">
        <v>0</v>
      </c>
      <c r="G3562">
        <v>709.91242489044384</v>
      </c>
      <c r="H3562">
        <v>4912.3605436600046</v>
      </c>
      <c r="I3562">
        <v>0</v>
      </c>
      <c r="J3562">
        <v>-74.800000000000182</v>
      </c>
      <c r="K3562">
        <v>69.292258469999638</v>
      </c>
      <c r="L3562">
        <v>-8003.5000000000009</v>
      </c>
      <c r="M3562">
        <v>0</v>
      </c>
      <c r="N3562">
        <v>0</v>
      </c>
      <c r="O3562">
        <v>-8.2652270204473126</v>
      </c>
      <c r="P3562">
        <v>815320</v>
      </c>
    </row>
    <row r="3563" spans="1:16" x14ac:dyDescent="0.25">
      <c r="A3563" s="10">
        <v>42895</v>
      </c>
      <c r="B3563">
        <v>-7695</v>
      </c>
      <c r="C3563">
        <v>0</v>
      </c>
      <c r="D3563">
        <v>0</v>
      </c>
      <c r="E3563">
        <v>0</v>
      </c>
      <c r="F3563">
        <v>0</v>
      </c>
      <c r="G3563">
        <v>0.97504840989713415</v>
      </c>
      <c r="H3563">
        <v>9650.8070250299934</v>
      </c>
      <c r="I3563">
        <v>0</v>
      </c>
      <c r="J3563">
        <v>0</v>
      </c>
      <c r="K3563">
        <v>118.21174476</v>
      </c>
      <c r="L3563">
        <v>-17436.599999999999</v>
      </c>
      <c r="M3563">
        <v>0</v>
      </c>
      <c r="N3563">
        <v>0</v>
      </c>
      <c r="O3563">
        <v>-28.393818199891388</v>
      </c>
      <c r="P3563">
        <v>807625</v>
      </c>
    </row>
    <row r="3564" spans="1:16" x14ac:dyDescent="0.25">
      <c r="A3564" s="10">
        <v>42898</v>
      </c>
      <c r="B3564">
        <v>-2554</v>
      </c>
      <c r="C3564">
        <v>0</v>
      </c>
      <c r="D3564">
        <v>0</v>
      </c>
      <c r="E3564">
        <v>0</v>
      </c>
      <c r="F3564">
        <v>0</v>
      </c>
      <c r="G3564">
        <v>-147.25134864003601</v>
      </c>
      <c r="H3564">
        <v>3037.0723677100032</v>
      </c>
      <c r="I3564">
        <v>0</v>
      </c>
      <c r="J3564">
        <v>0</v>
      </c>
      <c r="K3564">
        <v>98.384315090000001</v>
      </c>
      <c r="L3564">
        <v>-5226.5</v>
      </c>
      <c r="M3564">
        <v>0</v>
      </c>
      <c r="N3564">
        <v>0</v>
      </c>
      <c r="O3564">
        <v>-315.70533415996732</v>
      </c>
      <c r="P3564">
        <v>805071</v>
      </c>
    </row>
    <row r="3565" spans="1:16" x14ac:dyDescent="0.25">
      <c r="A3565" s="10">
        <v>42899</v>
      </c>
      <c r="B3565">
        <v>-10970</v>
      </c>
      <c r="C3565">
        <v>0</v>
      </c>
      <c r="D3565">
        <v>0</v>
      </c>
      <c r="E3565">
        <v>0</v>
      </c>
      <c r="F3565">
        <v>0</v>
      </c>
      <c r="G3565">
        <v>-38.143970750056909</v>
      </c>
      <c r="H3565">
        <v>-893.72959505999461</v>
      </c>
      <c r="I3565">
        <v>0</v>
      </c>
      <c r="J3565">
        <v>0</v>
      </c>
      <c r="K3565">
        <v>53.09852982999999</v>
      </c>
      <c r="L3565">
        <v>-10021.799999999999</v>
      </c>
      <c r="M3565">
        <v>0</v>
      </c>
      <c r="N3565">
        <v>0</v>
      </c>
      <c r="O3565">
        <v>-69.4249640199494</v>
      </c>
      <c r="P3565">
        <v>794101</v>
      </c>
    </row>
    <row r="3566" spans="1:16" x14ac:dyDescent="0.25">
      <c r="A3566" s="10">
        <v>42900</v>
      </c>
      <c r="B3566">
        <v>-1008</v>
      </c>
      <c r="C3566">
        <v>0</v>
      </c>
      <c r="D3566">
        <v>0</v>
      </c>
      <c r="E3566">
        <v>0</v>
      </c>
      <c r="F3566">
        <v>0</v>
      </c>
      <c r="G3566">
        <v>-71.839348490166415</v>
      </c>
      <c r="H3566">
        <v>3055.8644600699922</v>
      </c>
      <c r="I3566">
        <v>0</v>
      </c>
      <c r="J3566">
        <v>0</v>
      </c>
      <c r="K3566">
        <v>79.573969109999993</v>
      </c>
      <c r="L3566">
        <v>-4049.2</v>
      </c>
      <c r="M3566">
        <v>0</v>
      </c>
      <c r="N3566">
        <v>0</v>
      </c>
      <c r="O3566">
        <v>-22.39908068982486</v>
      </c>
      <c r="P3566">
        <v>793093</v>
      </c>
    </row>
    <row r="3567" spans="1:16" x14ac:dyDescent="0.25">
      <c r="A3567" s="10">
        <v>42901</v>
      </c>
      <c r="B3567">
        <v>398</v>
      </c>
      <c r="C3567">
        <v>0</v>
      </c>
      <c r="D3567">
        <v>0</v>
      </c>
      <c r="E3567">
        <v>0</v>
      </c>
      <c r="F3567">
        <v>0</v>
      </c>
      <c r="G3567">
        <v>-255.3473316299507</v>
      </c>
      <c r="H3567">
        <v>823.28250272998412</v>
      </c>
      <c r="I3567">
        <v>0</v>
      </c>
      <c r="J3567">
        <v>0</v>
      </c>
      <c r="K3567">
        <v>57.538825390000007</v>
      </c>
      <c r="L3567">
        <v>-266.5</v>
      </c>
      <c r="M3567">
        <v>0</v>
      </c>
      <c r="N3567">
        <v>0</v>
      </c>
      <c r="O3567">
        <v>39.026003509966593</v>
      </c>
      <c r="P3567">
        <v>793491</v>
      </c>
    </row>
    <row r="3568" spans="1:16" x14ac:dyDescent="0.25">
      <c r="A3568" s="10">
        <v>42902</v>
      </c>
      <c r="B3568">
        <v>-14386</v>
      </c>
      <c r="C3568">
        <v>0</v>
      </c>
      <c r="D3568">
        <v>0</v>
      </c>
      <c r="E3568">
        <v>0</v>
      </c>
      <c r="F3568">
        <v>0</v>
      </c>
      <c r="G3568">
        <v>-3546.372146760064</v>
      </c>
      <c r="H3568">
        <v>-6978.9253897299932</v>
      </c>
      <c r="I3568">
        <v>0</v>
      </c>
      <c r="J3568">
        <v>0</v>
      </c>
      <c r="K3568">
        <v>83.49961248999999</v>
      </c>
      <c r="L3568">
        <v>-4380.8</v>
      </c>
      <c r="M3568">
        <v>0</v>
      </c>
      <c r="N3568">
        <v>0</v>
      </c>
      <c r="O3568">
        <v>436.59792400005682</v>
      </c>
      <c r="P3568">
        <v>779105</v>
      </c>
    </row>
    <row r="3569" spans="1:16" x14ac:dyDescent="0.25">
      <c r="A3569" s="10">
        <v>42905</v>
      </c>
      <c r="B3569">
        <v>1461</v>
      </c>
      <c r="C3569">
        <v>0</v>
      </c>
      <c r="D3569">
        <v>0</v>
      </c>
      <c r="E3569">
        <v>0</v>
      </c>
      <c r="F3569">
        <v>0</v>
      </c>
      <c r="G3569">
        <v>3553.1462490799031</v>
      </c>
      <c r="H3569">
        <v>1680.5457248300081</v>
      </c>
      <c r="I3569">
        <v>0</v>
      </c>
      <c r="J3569">
        <v>0</v>
      </c>
      <c r="K3569">
        <v>117.85781073</v>
      </c>
      <c r="L3569">
        <v>-3830.6</v>
      </c>
      <c r="M3569">
        <v>0</v>
      </c>
      <c r="N3569">
        <v>0</v>
      </c>
      <c r="O3569">
        <v>-59.949784639910277</v>
      </c>
      <c r="P3569">
        <v>780566</v>
      </c>
    </row>
    <row r="3570" spans="1:16" x14ac:dyDescent="0.25">
      <c r="A3570" s="10">
        <v>42907</v>
      </c>
      <c r="B3570">
        <v>96811</v>
      </c>
      <c r="C3570">
        <v>0</v>
      </c>
      <c r="D3570">
        <v>0</v>
      </c>
      <c r="E3570">
        <v>0</v>
      </c>
      <c r="F3570">
        <v>0</v>
      </c>
      <c r="G3570">
        <v>241.14085803035411</v>
      </c>
      <c r="H3570">
        <v>-39856.320189499987</v>
      </c>
      <c r="I3570">
        <v>0</v>
      </c>
      <c r="J3570">
        <v>0</v>
      </c>
      <c r="K3570">
        <v>123.03468814</v>
      </c>
      <c r="L3570">
        <v>136722.1</v>
      </c>
      <c r="M3570">
        <v>0</v>
      </c>
      <c r="N3570">
        <v>0</v>
      </c>
      <c r="O3570">
        <v>-418.95535667036887</v>
      </c>
      <c r="P3570">
        <v>877377</v>
      </c>
    </row>
    <row r="3571" spans="1:16" x14ac:dyDescent="0.25">
      <c r="A3571" s="10">
        <v>42908</v>
      </c>
      <c r="B3571">
        <v>-16856</v>
      </c>
      <c r="C3571">
        <v>0</v>
      </c>
      <c r="D3571">
        <v>0</v>
      </c>
      <c r="E3571">
        <v>0</v>
      </c>
      <c r="F3571">
        <v>0</v>
      </c>
      <c r="G3571">
        <v>-1.1205344302048841</v>
      </c>
      <c r="H3571">
        <v>-12793.95563387999</v>
      </c>
      <c r="I3571">
        <v>0</v>
      </c>
      <c r="J3571">
        <v>0</v>
      </c>
      <c r="K3571">
        <v>50.296631819999988</v>
      </c>
      <c r="L3571">
        <v>-4673.8999999999996</v>
      </c>
      <c r="M3571">
        <v>0</v>
      </c>
      <c r="N3571">
        <v>0</v>
      </c>
      <c r="O3571">
        <v>562.6795364901933</v>
      </c>
      <c r="P3571">
        <v>860521</v>
      </c>
    </row>
    <row r="3572" spans="1:16" x14ac:dyDescent="0.25">
      <c r="A3572" s="10">
        <v>42909</v>
      </c>
      <c r="B3572">
        <v>-13666</v>
      </c>
      <c r="C3572">
        <v>0</v>
      </c>
      <c r="D3572">
        <v>0</v>
      </c>
      <c r="E3572">
        <v>0</v>
      </c>
      <c r="F3572">
        <v>0</v>
      </c>
      <c r="G3572">
        <v>108.092816690239</v>
      </c>
      <c r="H3572">
        <v>-9988.5251774300123</v>
      </c>
      <c r="I3572">
        <v>0</v>
      </c>
      <c r="J3572">
        <v>0</v>
      </c>
      <c r="K3572">
        <v>90.02622242999999</v>
      </c>
      <c r="L3572">
        <v>-3681.7</v>
      </c>
      <c r="M3572">
        <v>0</v>
      </c>
      <c r="N3572">
        <v>0</v>
      </c>
      <c r="O3572">
        <v>-193.89386169022691</v>
      </c>
      <c r="P3572">
        <v>846855</v>
      </c>
    </row>
    <row r="3573" spans="1:16" x14ac:dyDescent="0.25">
      <c r="A3573" s="10">
        <v>42912</v>
      </c>
      <c r="B3573">
        <v>-12895</v>
      </c>
      <c r="C3573">
        <v>0</v>
      </c>
      <c r="D3573">
        <v>0</v>
      </c>
      <c r="E3573">
        <v>0</v>
      </c>
      <c r="F3573">
        <v>0</v>
      </c>
      <c r="G3573">
        <v>-306.59006371012998</v>
      </c>
      <c r="H3573">
        <v>-6256.2872796999873</v>
      </c>
      <c r="I3573">
        <v>0</v>
      </c>
      <c r="J3573">
        <v>0</v>
      </c>
      <c r="K3573">
        <v>123.99956069</v>
      </c>
      <c r="L3573">
        <v>-6412.5</v>
      </c>
      <c r="M3573">
        <v>0</v>
      </c>
      <c r="N3573">
        <v>0</v>
      </c>
      <c r="O3573">
        <v>-43.622217279882904</v>
      </c>
      <c r="P3573">
        <v>833960</v>
      </c>
    </row>
    <row r="3574" spans="1:16" x14ac:dyDescent="0.25">
      <c r="A3574" s="10">
        <v>42913</v>
      </c>
      <c r="B3574">
        <v>-18017</v>
      </c>
      <c r="C3574">
        <v>0</v>
      </c>
      <c r="D3574">
        <v>0</v>
      </c>
      <c r="E3574">
        <v>0</v>
      </c>
      <c r="F3574">
        <v>0</v>
      </c>
      <c r="G3574">
        <v>-20.1906204998071</v>
      </c>
      <c r="H3574">
        <v>-14985.92211107997</v>
      </c>
      <c r="I3574">
        <v>0</v>
      </c>
      <c r="J3574">
        <v>0</v>
      </c>
      <c r="K3574">
        <v>10.11776753</v>
      </c>
      <c r="L3574">
        <v>-3499.6</v>
      </c>
      <c r="M3574">
        <v>0</v>
      </c>
      <c r="N3574">
        <v>0</v>
      </c>
      <c r="O3574">
        <v>478.59496404977688</v>
      </c>
      <c r="P3574">
        <v>815943</v>
      </c>
    </row>
    <row r="3575" spans="1:16" x14ac:dyDescent="0.25">
      <c r="A3575" s="10">
        <v>42914</v>
      </c>
      <c r="B3575">
        <v>22775</v>
      </c>
      <c r="C3575">
        <v>0</v>
      </c>
      <c r="D3575">
        <v>0</v>
      </c>
      <c r="E3575">
        <v>0</v>
      </c>
      <c r="F3575">
        <v>0</v>
      </c>
      <c r="G3575">
        <v>101.4546811698316</v>
      </c>
      <c r="H3575">
        <v>25436.715085379979</v>
      </c>
      <c r="I3575">
        <v>0</v>
      </c>
      <c r="J3575">
        <v>0</v>
      </c>
      <c r="K3575">
        <v>273.49724796999999</v>
      </c>
      <c r="L3575">
        <v>-3076.4</v>
      </c>
      <c r="M3575">
        <v>0</v>
      </c>
      <c r="N3575">
        <v>0</v>
      </c>
      <c r="O3575">
        <v>39.732985480185008</v>
      </c>
      <c r="P3575">
        <v>838718</v>
      </c>
    </row>
    <row r="3576" spans="1:16" x14ac:dyDescent="0.25">
      <c r="A3576" s="10">
        <v>42915</v>
      </c>
      <c r="B3576">
        <v>-194</v>
      </c>
      <c r="C3576">
        <v>0</v>
      </c>
      <c r="D3576">
        <v>0</v>
      </c>
      <c r="E3576">
        <v>0</v>
      </c>
      <c r="F3576">
        <v>0</v>
      </c>
      <c r="G3576">
        <v>109.0682127797854</v>
      </c>
      <c r="H3576">
        <v>529.6752625000081</v>
      </c>
      <c r="I3576">
        <v>0</v>
      </c>
      <c r="J3576">
        <v>0</v>
      </c>
      <c r="K3576">
        <v>126.55997562</v>
      </c>
      <c r="L3576">
        <v>-974.69999999999993</v>
      </c>
      <c r="M3576">
        <v>0</v>
      </c>
      <c r="N3576">
        <v>0</v>
      </c>
      <c r="O3576">
        <v>15.39654910020649</v>
      </c>
      <c r="P3576">
        <v>838524</v>
      </c>
    </row>
    <row r="3577" spans="1:16" x14ac:dyDescent="0.25">
      <c r="A3577" s="10">
        <v>42916</v>
      </c>
      <c r="B3577">
        <v>-5420</v>
      </c>
      <c r="C3577">
        <v>0</v>
      </c>
      <c r="D3577">
        <v>0</v>
      </c>
      <c r="E3577">
        <v>0</v>
      </c>
      <c r="F3577">
        <v>0</v>
      </c>
      <c r="G3577">
        <v>-960.51490747968137</v>
      </c>
      <c r="H3577">
        <v>-2299.7659727400169</v>
      </c>
      <c r="I3577">
        <v>0</v>
      </c>
      <c r="J3577">
        <v>0</v>
      </c>
      <c r="K3577">
        <v>126.31141026</v>
      </c>
      <c r="L3577">
        <v>-2268.8000000000002</v>
      </c>
      <c r="M3577">
        <v>0</v>
      </c>
      <c r="N3577">
        <v>0</v>
      </c>
      <c r="O3577">
        <v>-17.230530040302259</v>
      </c>
      <c r="P3577">
        <v>833104</v>
      </c>
    </row>
    <row r="3578" spans="1:16" x14ac:dyDescent="0.25">
      <c r="A3578" s="10">
        <v>42919</v>
      </c>
      <c r="B3578">
        <v>28688</v>
      </c>
      <c r="C3578">
        <v>0</v>
      </c>
      <c r="D3578">
        <v>0</v>
      </c>
      <c r="E3578">
        <v>0</v>
      </c>
      <c r="F3578">
        <v>0</v>
      </c>
      <c r="G3578">
        <v>9.3234690299446754</v>
      </c>
      <c r="H3578">
        <v>34130.017926370012</v>
      </c>
      <c r="I3578">
        <v>0</v>
      </c>
      <c r="J3578">
        <v>0</v>
      </c>
      <c r="K3578">
        <v>191.93756032999991</v>
      </c>
      <c r="L3578">
        <v>-5493.2999999999993</v>
      </c>
      <c r="M3578">
        <v>0</v>
      </c>
      <c r="N3578">
        <v>0</v>
      </c>
      <c r="O3578">
        <v>-149.97895572995691</v>
      </c>
      <c r="P3578">
        <v>861792</v>
      </c>
    </row>
    <row r="3579" spans="1:16" x14ac:dyDescent="0.25">
      <c r="A3579" s="10">
        <v>42920</v>
      </c>
      <c r="B3579">
        <v>815</v>
      </c>
      <c r="C3579">
        <v>0</v>
      </c>
      <c r="D3579">
        <v>0</v>
      </c>
      <c r="E3579">
        <v>0</v>
      </c>
      <c r="F3579">
        <v>0</v>
      </c>
      <c r="G3579">
        <v>-162.35776381009771</v>
      </c>
      <c r="H3579">
        <v>5771.0973502300039</v>
      </c>
      <c r="I3579">
        <v>0</v>
      </c>
      <c r="J3579">
        <v>0</v>
      </c>
      <c r="K3579">
        <v>116.5</v>
      </c>
      <c r="L3579">
        <v>-4876.3</v>
      </c>
      <c r="M3579">
        <v>0</v>
      </c>
      <c r="N3579">
        <v>0</v>
      </c>
      <c r="O3579">
        <v>-33.939586419906121</v>
      </c>
      <c r="P3579">
        <v>862607</v>
      </c>
    </row>
    <row r="3580" spans="1:16" x14ac:dyDescent="0.25">
      <c r="A3580" s="10">
        <v>42921</v>
      </c>
      <c r="B3580">
        <v>-9781</v>
      </c>
      <c r="C3580">
        <v>0</v>
      </c>
      <c r="D3580">
        <v>0</v>
      </c>
      <c r="E3580">
        <v>0</v>
      </c>
      <c r="F3580">
        <v>0</v>
      </c>
      <c r="G3580">
        <v>-69.114630309908534</v>
      </c>
      <c r="H3580">
        <v>4255.1273028299911</v>
      </c>
      <c r="I3580">
        <v>0</v>
      </c>
      <c r="J3580">
        <v>0</v>
      </c>
      <c r="K3580">
        <v>98.311900169999973</v>
      </c>
      <c r="L3580">
        <v>-14301.8</v>
      </c>
      <c r="M3580">
        <v>0</v>
      </c>
      <c r="N3580">
        <v>0</v>
      </c>
      <c r="O3580">
        <v>236.475427309917</v>
      </c>
      <c r="P3580">
        <v>852826</v>
      </c>
    </row>
    <row r="3581" spans="1:16" x14ac:dyDescent="0.25">
      <c r="A3581" s="10">
        <v>42922</v>
      </c>
      <c r="B3581">
        <v>2170</v>
      </c>
      <c r="C3581">
        <v>0</v>
      </c>
      <c r="D3581">
        <v>0</v>
      </c>
      <c r="E3581">
        <v>0</v>
      </c>
      <c r="F3581">
        <v>0</v>
      </c>
      <c r="G3581">
        <v>117.83508772007519</v>
      </c>
      <c r="H3581">
        <v>6084.6176179699978</v>
      </c>
      <c r="I3581">
        <v>0</v>
      </c>
      <c r="J3581">
        <v>0</v>
      </c>
      <c r="K3581">
        <v>90.493170740000011</v>
      </c>
      <c r="L3581">
        <v>-4293.2999999999993</v>
      </c>
      <c r="M3581">
        <v>0</v>
      </c>
      <c r="N3581">
        <v>0</v>
      </c>
      <c r="O3581">
        <v>170.3541235699262</v>
      </c>
      <c r="P3581">
        <v>854996</v>
      </c>
    </row>
    <row r="3582" spans="1:16" x14ac:dyDescent="0.25">
      <c r="A3582" s="10">
        <v>42923</v>
      </c>
      <c r="B3582">
        <v>1489</v>
      </c>
      <c r="C3582">
        <v>0</v>
      </c>
      <c r="D3582">
        <v>0</v>
      </c>
      <c r="E3582">
        <v>0</v>
      </c>
      <c r="F3582">
        <v>0</v>
      </c>
      <c r="G3582">
        <v>13.223176439770381</v>
      </c>
      <c r="H3582">
        <v>10066.779661140001</v>
      </c>
      <c r="I3582">
        <v>0</v>
      </c>
      <c r="J3582">
        <v>0</v>
      </c>
      <c r="K3582">
        <v>86.764017370000019</v>
      </c>
      <c r="L3582">
        <v>-8452</v>
      </c>
      <c r="M3582">
        <v>0</v>
      </c>
      <c r="N3582">
        <v>0</v>
      </c>
      <c r="O3582">
        <v>-225.76685494976769</v>
      </c>
      <c r="P3582">
        <v>856485</v>
      </c>
    </row>
    <row r="3583" spans="1:16" x14ac:dyDescent="0.25">
      <c r="A3583" s="10">
        <v>42926</v>
      </c>
      <c r="B3583">
        <v>1913</v>
      </c>
      <c r="C3583">
        <v>0</v>
      </c>
      <c r="D3583">
        <v>8487.15</v>
      </c>
      <c r="E3583">
        <v>0</v>
      </c>
      <c r="F3583">
        <v>0</v>
      </c>
      <c r="G3583">
        <v>-164.99288039981701</v>
      </c>
      <c r="H3583">
        <v>8913.3248429800005</v>
      </c>
      <c r="I3583">
        <v>0</v>
      </c>
      <c r="J3583">
        <v>-74.699999999999818</v>
      </c>
      <c r="K3583">
        <v>115.05580391000019</v>
      </c>
      <c r="L3583">
        <v>-15483.5</v>
      </c>
      <c r="M3583">
        <v>0</v>
      </c>
      <c r="N3583">
        <v>0</v>
      </c>
      <c r="O3583">
        <v>120.66223350981601</v>
      </c>
      <c r="P3583">
        <v>858398</v>
      </c>
    </row>
    <row r="3584" spans="1:16" x14ac:dyDescent="0.25">
      <c r="A3584" s="10">
        <v>42927</v>
      </c>
      <c r="B3584">
        <v>-4128</v>
      </c>
      <c r="C3584">
        <v>0</v>
      </c>
      <c r="D3584">
        <v>0</v>
      </c>
      <c r="E3584">
        <v>0</v>
      </c>
      <c r="F3584">
        <v>0</v>
      </c>
      <c r="G3584">
        <v>50.426776219721788</v>
      </c>
      <c r="H3584">
        <v>6683.3459521799959</v>
      </c>
      <c r="I3584">
        <v>0</v>
      </c>
      <c r="J3584">
        <v>0</v>
      </c>
      <c r="K3584">
        <v>74.544605249999989</v>
      </c>
      <c r="L3584">
        <v>-10921</v>
      </c>
      <c r="M3584">
        <v>0</v>
      </c>
      <c r="N3584">
        <v>0</v>
      </c>
      <c r="O3584">
        <v>-15.31733364971697</v>
      </c>
      <c r="P3584">
        <v>854270</v>
      </c>
    </row>
    <row r="3585" spans="1:16" x14ac:dyDescent="0.25">
      <c r="A3585" s="10">
        <v>42928</v>
      </c>
      <c r="B3585">
        <v>-7595</v>
      </c>
      <c r="C3585">
        <v>0</v>
      </c>
      <c r="D3585">
        <v>0</v>
      </c>
      <c r="E3585">
        <v>0</v>
      </c>
      <c r="F3585">
        <v>0</v>
      </c>
      <c r="G3585">
        <v>-72.879389859613553</v>
      </c>
      <c r="H3585">
        <v>4409.6245890499986</v>
      </c>
      <c r="I3585">
        <v>0</v>
      </c>
      <c r="J3585">
        <v>0</v>
      </c>
      <c r="K3585">
        <v>62.04112318</v>
      </c>
      <c r="L3585">
        <v>-11954.1393611</v>
      </c>
      <c r="M3585">
        <v>0</v>
      </c>
      <c r="N3585">
        <v>0</v>
      </c>
      <c r="O3585">
        <v>-39.64696127038642</v>
      </c>
      <c r="P3585">
        <v>846675</v>
      </c>
    </row>
    <row r="3586" spans="1:16" x14ac:dyDescent="0.25">
      <c r="A3586" s="10">
        <v>42929</v>
      </c>
      <c r="B3586">
        <v>-7786</v>
      </c>
      <c r="C3586">
        <v>0</v>
      </c>
      <c r="D3586">
        <v>0</v>
      </c>
      <c r="E3586">
        <v>0</v>
      </c>
      <c r="F3586">
        <v>0</v>
      </c>
      <c r="G3586">
        <v>-245.1834837303582</v>
      </c>
      <c r="H3586">
        <v>-1635.5953842000019</v>
      </c>
      <c r="I3586">
        <v>0</v>
      </c>
      <c r="J3586">
        <v>0</v>
      </c>
      <c r="K3586">
        <v>54.46988374</v>
      </c>
      <c r="L3586">
        <v>-6106.7999999999993</v>
      </c>
      <c r="M3586">
        <v>0</v>
      </c>
      <c r="N3586">
        <v>0</v>
      </c>
      <c r="O3586">
        <v>147.10898419035911</v>
      </c>
      <c r="P3586">
        <v>838889</v>
      </c>
    </row>
    <row r="3587" spans="1:16" x14ac:dyDescent="0.25">
      <c r="A3587" s="10">
        <v>42930</v>
      </c>
      <c r="B3587">
        <v>-5654</v>
      </c>
      <c r="C3587">
        <v>0</v>
      </c>
      <c r="D3587">
        <v>0</v>
      </c>
      <c r="E3587">
        <v>0</v>
      </c>
      <c r="F3587">
        <v>0</v>
      </c>
      <c r="G3587">
        <v>244.84743734996269</v>
      </c>
      <c r="H3587">
        <v>-2963.0194692199948</v>
      </c>
      <c r="I3587">
        <v>0</v>
      </c>
      <c r="J3587">
        <v>0</v>
      </c>
      <c r="K3587">
        <v>49.125762019999982</v>
      </c>
      <c r="L3587">
        <v>-2964.5</v>
      </c>
      <c r="M3587">
        <v>0</v>
      </c>
      <c r="N3587">
        <v>0</v>
      </c>
      <c r="O3587">
        <v>-20.45373014996785</v>
      </c>
      <c r="P3587">
        <v>833235</v>
      </c>
    </row>
    <row r="3588" spans="1:16" x14ac:dyDescent="0.25">
      <c r="A3588" s="10">
        <v>42933</v>
      </c>
      <c r="B3588">
        <v>-6572</v>
      </c>
      <c r="C3588">
        <v>0</v>
      </c>
      <c r="D3588">
        <v>0</v>
      </c>
      <c r="E3588">
        <v>0</v>
      </c>
      <c r="F3588">
        <v>0</v>
      </c>
      <c r="G3588">
        <v>-366.8651075399415</v>
      </c>
      <c r="H3588">
        <v>159.52015082999421</v>
      </c>
      <c r="I3588">
        <v>0</v>
      </c>
      <c r="J3588">
        <v>0</v>
      </c>
      <c r="K3588">
        <v>104</v>
      </c>
      <c r="L3588">
        <v>-6461.0999999999995</v>
      </c>
      <c r="M3588">
        <v>0</v>
      </c>
      <c r="N3588">
        <v>0</v>
      </c>
      <c r="O3588">
        <v>-7.5550432900532556</v>
      </c>
      <c r="P3588">
        <v>826663</v>
      </c>
    </row>
    <row r="3589" spans="1:16" x14ac:dyDescent="0.25">
      <c r="A3589" s="10">
        <v>42934</v>
      </c>
      <c r="B3589">
        <v>-8653</v>
      </c>
      <c r="C3589">
        <v>0</v>
      </c>
      <c r="D3589">
        <v>0</v>
      </c>
      <c r="E3589">
        <v>0</v>
      </c>
      <c r="F3589">
        <v>0</v>
      </c>
      <c r="G3589">
        <v>155.8496730701379</v>
      </c>
      <c r="H3589">
        <v>-8256.7376329100007</v>
      </c>
      <c r="I3589">
        <v>0</v>
      </c>
      <c r="J3589">
        <v>0</v>
      </c>
      <c r="K3589">
        <v>57.6</v>
      </c>
      <c r="L3589">
        <v>-547.5</v>
      </c>
      <c r="M3589">
        <v>0</v>
      </c>
      <c r="N3589">
        <v>0</v>
      </c>
      <c r="O3589">
        <v>-62.212040160137263</v>
      </c>
      <c r="P3589">
        <v>818010</v>
      </c>
    </row>
    <row r="3590" spans="1:16" x14ac:dyDescent="0.25">
      <c r="A3590" s="10">
        <v>42935</v>
      </c>
      <c r="B3590">
        <v>59027</v>
      </c>
      <c r="C3590">
        <v>0</v>
      </c>
      <c r="D3590">
        <v>0</v>
      </c>
      <c r="E3590">
        <v>0</v>
      </c>
      <c r="F3590">
        <v>0</v>
      </c>
      <c r="G3590">
        <v>97.505982520015095</v>
      </c>
      <c r="H3590">
        <v>-6045.5875595999969</v>
      </c>
      <c r="I3590">
        <v>0</v>
      </c>
      <c r="J3590">
        <v>0</v>
      </c>
      <c r="K3590">
        <v>46.3</v>
      </c>
      <c r="L3590">
        <v>65285.600000000013</v>
      </c>
      <c r="M3590">
        <v>0</v>
      </c>
      <c r="N3590">
        <v>0</v>
      </c>
      <c r="O3590">
        <v>-356.81842292002688</v>
      </c>
      <c r="P3590">
        <v>877037</v>
      </c>
    </row>
    <row r="3591" spans="1:16" x14ac:dyDescent="0.25">
      <c r="A3591" s="10">
        <v>42936</v>
      </c>
      <c r="B3591">
        <v>-9827</v>
      </c>
      <c r="C3591">
        <v>0</v>
      </c>
      <c r="D3591">
        <v>0</v>
      </c>
      <c r="E3591">
        <v>0</v>
      </c>
      <c r="F3591">
        <v>0</v>
      </c>
      <c r="G3591">
        <v>81.255179760141971</v>
      </c>
      <c r="H3591">
        <v>-4650.7751925300108</v>
      </c>
      <c r="I3591">
        <v>0</v>
      </c>
      <c r="J3591">
        <v>0</v>
      </c>
      <c r="K3591">
        <v>61.1</v>
      </c>
      <c r="L3591">
        <v>-5451.9</v>
      </c>
      <c r="M3591">
        <v>0</v>
      </c>
      <c r="N3591">
        <v>0</v>
      </c>
      <c r="O3591">
        <v>133.3200127698681</v>
      </c>
      <c r="P3591">
        <v>867210</v>
      </c>
    </row>
    <row r="3592" spans="1:16" x14ac:dyDescent="0.25">
      <c r="A3592" s="10">
        <v>42937</v>
      </c>
      <c r="B3592">
        <v>-11265</v>
      </c>
      <c r="C3592">
        <v>0</v>
      </c>
      <c r="D3592">
        <v>0</v>
      </c>
      <c r="E3592">
        <v>0</v>
      </c>
      <c r="F3592">
        <v>0</v>
      </c>
      <c r="G3592">
        <v>-51.801123820465357</v>
      </c>
      <c r="H3592">
        <v>2954.6315934799932</v>
      </c>
      <c r="I3592">
        <v>0</v>
      </c>
      <c r="J3592">
        <v>0</v>
      </c>
      <c r="K3592">
        <v>45.1</v>
      </c>
      <c r="L3592">
        <v>-14060.5</v>
      </c>
      <c r="M3592">
        <v>0</v>
      </c>
      <c r="N3592">
        <v>0</v>
      </c>
      <c r="O3592">
        <v>-152.4304696595282</v>
      </c>
      <c r="P3592">
        <v>855945</v>
      </c>
    </row>
    <row r="3593" spans="1:16" x14ac:dyDescent="0.25">
      <c r="A3593" s="10">
        <v>42940</v>
      </c>
      <c r="B3593">
        <v>4593</v>
      </c>
      <c r="C3593">
        <v>0</v>
      </c>
      <c r="D3593">
        <v>8669.15</v>
      </c>
      <c r="E3593">
        <v>0</v>
      </c>
      <c r="F3593">
        <v>0</v>
      </c>
      <c r="G3593">
        <v>5.5114003701874026</v>
      </c>
      <c r="H3593">
        <v>3773.5390645599982</v>
      </c>
      <c r="I3593">
        <v>0</v>
      </c>
      <c r="J3593">
        <v>0</v>
      </c>
      <c r="K3593">
        <v>123.5</v>
      </c>
      <c r="L3593">
        <v>-7961.4000000000005</v>
      </c>
      <c r="M3593">
        <v>0</v>
      </c>
      <c r="N3593">
        <v>0</v>
      </c>
      <c r="O3593">
        <v>-17.30046493018472</v>
      </c>
      <c r="P3593">
        <v>860538</v>
      </c>
    </row>
    <row r="3594" spans="1:16" x14ac:dyDescent="0.25">
      <c r="A3594" s="10">
        <v>42941</v>
      </c>
      <c r="B3594">
        <v>5409</v>
      </c>
      <c r="C3594">
        <v>0</v>
      </c>
      <c r="D3594">
        <v>0</v>
      </c>
      <c r="E3594">
        <v>0</v>
      </c>
      <c r="F3594">
        <v>0</v>
      </c>
      <c r="G3594">
        <v>125.74784329019749</v>
      </c>
      <c r="H3594">
        <v>6180.379179570009</v>
      </c>
      <c r="I3594">
        <v>0</v>
      </c>
      <c r="J3594">
        <v>0</v>
      </c>
      <c r="K3594">
        <v>45.061499580000003</v>
      </c>
      <c r="L3594">
        <v>-841</v>
      </c>
      <c r="M3594">
        <v>0</v>
      </c>
      <c r="N3594">
        <v>0</v>
      </c>
      <c r="O3594">
        <v>-101.1885224402065</v>
      </c>
      <c r="P3594">
        <v>865947</v>
      </c>
    </row>
    <row r="3595" spans="1:16" x14ac:dyDescent="0.25">
      <c r="A3595" s="10">
        <v>42942</v>
      </c>
      <c r="B3595">
        <v>488</v>
      </c>
      <c r="C3595">
        <v>0</v>
      </c>
      <c r="D3595">
        <v>0</v>
      </c>
      <c r="E3595">
        <v>0</v>
      </c>
      <c r="F3595">
        <v>0</v>
      </c>
      <c r="G3595">
        <v>-211.28040799990501</v>
      </c>
      <c r="H3595">
        <v>3927.3588432200049</v>
      </c>
      <c r="I3595">
        <v>0</v>
      </c>
      <c r="J3595">
        <v>0</v>
      </c>
      <c r="K3595">
        <v>56.5</v>
      </c>
      <c r="L3595">
        <v>-3385.6</v>
      </c>
      <c r="M3595">
        <v>0</v>
      </c>
      <c r="N3595">
        <v>0</v>
      </c>
      <c r="O3595">
        <v>101.0215647798999</v>
      </c>
      <c r="P3595">
        <v>866435</v>
      </c>
    </row>
    <row r="3596" spans="1:16" x14ac:dyDescent="0.25">
      <c r="A3596" s="10">
        <v>42943</v>
      </c>
      <c r="B3596">
        <v>-4454</v>
      </c>
      <c r="C3596">
        <v>0</v>
      </c>
      <c r="D3596">
        <v>0</v>
      </c>
      <c r="E3596">
        <v>0</v>
      </c>
      <c r="F3596">
        <v>0</v>
      </c>
      <c r="G3596">
        <v>151.45996976965449</v>
      </c>
      <c r="H3596">
        <v>-1004.483306160007</v>
      </c>
      <c r="I3596">
        <v>0</v>
      </c>
      <c r="J3596">
        <v>0</v>
      </c>
      <c r="K3596">
        <v>58.7</v>
      </c>
      <c r="L3596">
        <v>-3681.9</v>
      </c>
      <c r="M3596">
        <v>0</v>
      </c>
      <c r="N3596">
        <v>0</v>
      </c>
      <c r="O3596">
        <v>22.223336390352781</v>
      </c>
      <c r="P3596">
        <v>861981</v>
      </c>
    </row>
    <row r="3597" spans="1:16" x14ac:dyDescent="0.25">
      <c r="A3597" s="10">
        <v>42944</v>
      </c>
      <c r="B3597">
        <v>-6686</v>
      </c>
      <c r="C3597">
        <v>-5419.8309999999992</v>
      </c>
      <c r="D3597">
        <v>0</v>
      </c>
      <c r="E3597">
        <v>-7200</v>
      </c>
      <c r="F3597">
        <v>6500</v>
      </c>
      <c r="G3597">
        <v>2.4625055601180752</v>
      </c>
      <c r="H3597">
        <v>-204.0654924400005</v>
      </c>
      <c r="I3597">
        <v>0</v>
      </c>
      <c r="J3597">
        <v>0</v>
      </c>
      <c r="K3597">
        <v>45.3</v>
      </c>
      <c r="L3597">
        <v>-237.59999999999991</v>
      </c>
      <c r="M3597">
        <v>0</v>
      </c>
      <c r="N3597">
        <v>0</v>
      </c>
      <c r="O3597">
        <v>-172.2660131201184</v>
      </c>
      <c r="P3597">
        <v>855295</v>
      </c>
    </row>
    <row r="3598" spans="1:16" x14ac:dyDescent="0.25">
      <c r="A3598" s="10">
        <v>42947</v>
      </c>
      <c r="B3598">
        <v>-23021</v>
      </c>
      <c r="C3598">
        <v>0</v>
      </c>
      <c r="D3598">
        <v>0</v>
      </c>
      <c r="E3598">
        <v>0</v>
      </c>
      <c r="F3598">
        <v>0</v>
      </c>
      <c r="G3598">
        <v>13.023883179878281</v>
      </c>
      <c r="H3598">
        <v>-22871.18338755998</v>
      </c>
      <c r="I3598">
        <v>0</v>
      </c>
      <c r="J3598">
        <v>0</v>
      </c>
      <c r="K3598">
        <v>107.77</v>
      </c>
      <c r="L3598">
        <v>-89.299999999999955</v>
      </c>
      <c r="M3598">
        <v>0</v>
      </c>
      <c r="N3598">
        <v>0</v>
      </c>
      <c r="O3598">
        <v>-181.3104956198942</v>
      </c>
      <c r="P3598">
        <v>832274</v>
      </c>
    </row>
    <row r="3599" spans="1:16" x14ac:dyDescent="0.25">
      <c r="A3599" s="10">
        <v>42948</v>
      </c>
      <c r="B3599">
        <v>38692</v>
      </c>
      <c r="C3599">
        <v>0</v>
      </c>
      <c r="D3599">
        <v>0</v>
      </c>
      <c r="E3599">
        <v>0</v>
      </c>
      <c r="F3599">
        <v>0</v>
      </c>
      <c r="G3599">
        <v>201.28192808989411</v>
      </c>
      <c r="H3599">
        <v>39243.446476250021</v>
      </c>
      <c r="I3599">
        <v>0</v>
      </c>
      <c r="J3599">
        <v>0</v>
      </c>
      <c r="K3599">
        <v>66.3</v>
      </c>
      <c r="L3599">
        <v>-1012.9</v>
      </c>
      <c r="M3599">
        <v>0</v>
      </c>
      <c r="N3599">
        <v>0</v>
      </c>
      <c r="O3599">
        <v>193.87159566008489</v>
      </c>
      <c r="P3599">
        <v>870966</v>
      </c>
    </row>
    <row r="3600" spans="1:16" x14ac:dyDescent="0.25">
      <c r="A3600" s="10">
        <v>42949</v>
      </c>
      <c r="B3600">
        <v>-361</v>
      </c>
      <c r="C3600">
        <v>0</v>
      </c>
      <c r="D3600">
        <v>0</v>
      </c>
      <c r="E3600">
        <v>0</v>
      </c>
      <c r="F3600">
        <v>0</v>
      </c>
      <c r="G3600">
        <v>-46.608952579622382</v>
      </c>
      <c r="H3600">
        <v>1823.3781017699951</v>
      </c>
      <c r="I3600">
        <v>0</v>
      </c>
      <c r="J3600">
        <v>0</v>
      </c>
      <c r="K3600">
        <v>44.6</v>
      </c>
      <c r="L3600">
        <v>-2073.9</v>
      </c>
      <c r="M3600">
        <v>0</v>
      </c>
      <c r="N3600">
        <v>0</v>
      </c>
      <c r="O3600">
        <v>-108.4691491903727</v>
      </c>
      <c r="P3600">
        <v>870605</v>
      </c>
    </row>
    <row r="3601" spans="1:16" x14ac:dyDescent="0.25">
      <c r="A3601" s="10">
        <v>42950</v>
      </c>
      <c r="B3601">
        <v>675</v>
      </c>
      <c r="C3601">
        <v>-748.10500000000002</v>
      </c>
      <c r="D3601">
        <v>0</v>
      </c>
      <c r="E3601">
        <v>0</v>
      </c>
      <c r="F3601">
        <v>0</v>
      </c>
      <c r="G3601">
        <v>-49.336195640032123</v>
      </c>
      <c r="H3601">
        <v>4422.4827683800104</v>
      </c>
      <c r="I3601">
        <v>0</v>
      </c>
      <c r="J3601">
        <v>0</v>
      </c>
      <c r="K3601">
        <v>57</v>
      </c>
      <c r="L3601">
        <v>-3167.9</v>
      </c>
      <c r="M3601">
        <v>0</v>
      </c>
      <c r="N3601">
        <v>0</v>
      </c>
      <c r="O3601">
        <v>160.85842726002139</v>
      </c>
      <c r="P3601">
        <v>871280</v>
      </c>
    </row>
    <row r="3602" spans="1:16" x14ac:dyDescent="0.25">
      <c r="A3602" s="10">
        <v>42951</v>
      </c>
      <c r="B3602">
        <v>-3465</v>
      </c>
      <c r="C3602">
        <v>0</v>
      </c>
      <c r="D3602">
        <v>0</v>
      </c>
      <c r="E3602">
        <v>0</v>
      </c>
      <c r="F3602">
        <v>0</v>
      </c>
      <c r="G3602">
        <v>-0.42852834006307461</v>
      </c>
      <c r="H3602">
        <v>2461.398396050005</v>
      </c>
      <c r="I3602">
        <v>0</v>
      </c>
      <c r="J3602">
        <v>0</v>
      </c>
      <c r="K3602">
        <v>40.200000000000003</v>
      </c>
      <c r="L3602">
        <v>-5929.4</v>
      </c>
      <c r="M3602">
        <v>0</v>
      </c>
      <c r="N3602">
        <v>0</v>
      </c>
      <c r="O3602">
        <v>-36.769867709941629</v>
      </c>
      <c r="P3602">
        <v>867815</v>
      </c>
    </row>
    <row r="3603" spans="1:16" x14ac:dyDescent="0.25">
      <c r="A3603" s="10">
        <v>42954</v>
      </c>
      <c r="B3603">
        <v>2315</v>
      </c>
      <c r="C3603">
        <v>-2924.2539999999999</v>
      </c>
      <c r="D3603">
        <v>8826</v>
      </c>
      <c r="E3603">
        <v>0</v>
      </c>
      <c r="F3603">
        <v>0</v>
      </c>
      <c r="G3603">
        <v>-5.5677988399238529</v>
      </c>
      <c r="H3603">
        <v>2161.8463618500032</v>
      </c>
      <c r="I3603">
        <v>0</v>
      </c>
      <c r="J3603">
        <v>0</v>
      </c>
      <c r="K3603">
        <v>73.3</v>
      </c>
      <c r="L3603">
        <v>-5465</v>
      </c>
      <c r="M3603">
        <v>0</v>
      </c>
      <c r="N3603">
        <v>0</v>
      </c>
      <c r="O3603">
        <v>-351.32456301007909</v>
      </c>
      <c r="P3603">
        <v>870130</v>
      </c>
    </row>
    <row r="3604" spans="1:16" x14ac:dyDescent="0.25">
      <c r="A3604" s="10">
        <v>42955</v>
      </c>
      <c r="B3604">
        <v>-5037</v>
      </c>
      <c r="C3604">
        <v>-3686.4920000000002</v>
      </c>
      <c r="D3604">
        <v>0</v>
      </c>
      <c r="E3604">
        <v>0</v>
      </c>
      <c r="F3604">
        <v>0</v>
      </c>
      <c r="G3604">
        <v>45.405055109770728</v>
      </c>
      <c r="H3604">
        <v>1992.867724049996</v>
      </c>
      <c r="I3604">
        <v>0</v>
      </c>
      <c r="J3604">
        <v>-74.399999999999636</v>
      </c>
      <c r="K3604">
        <v>17.700000000000369</v>
      </c>
      <c r="L3604">
        <v>-3515.3</v>
      </c>
      <c r="M3604">
        <v>0</v>
      </c>
      <c r="N3604">
        <v>0</v>
      </c>
      <c r="O3604">
        <v>183.21922084023211</v>
      </c>
      <c r="P3604">
        <v>865093</v>
      </c>
    </row>
    <row r="3605" spans="1:16" x14ac:dyDescent="0.25">
      <c r="A3605" s="10">
        <v>42956</v>
      </c>
      <c r="B3605">
        <v>-9677</v>
      </c>
      <c r="C3605">
        <v>-10373.585349999999</v>
      </c>
      <c r="D3605">
        <v>0</v>
      </c>
      <c r="E3605">
        <v>0</v>
      </c>
      <c r="F3605">
        <v>0</v>
      </c>
      <c r="G3605">
        <v>20.469817480319829</v>
      </c>
      <c r="H3605">
        <v>1247.709676520004</v>
      </c>
      <c r="I3605">
        <v>0</v>
      </c>
      <c r="J3605">
        <v>0</v>
      </c>
      <c r="K3605">
        <v>25</v>
      </c>
      <c r="L3605">
        <v>-583.30000000000007</v>
      </c>
      <c r="M3605">
        <v>0</v>
      </c>
      <c r="N3605">
        <v>0</v>
      </c>
      <c r="O3605">
        <v>-13.29414400032438</v>
      </c>
      <c r="P3605">
        <v>855416</v>
      </c>
    </row>
    <row r="3606" spans="1:16" x14ac:dyDescent="0.25">
      <c r="A3606" s="10">
        <v>42957</v>
      </c>
      <c r="B3606">
        <v>-7062</v>
      </c>
      <c r="C3606">
        <v>-5286.3706999999986</v>
      </c>
      <c r="D3606">
        <v>0</v>
      </c>
      <c r="E3606">
        <v>0</v>
      </c>
      <c r="F3606">
        <v>0</v>
      </c>
      <c r="G3606">
        <v>53.179937289739932</v>
      </c>
      <c r="H3606">
        <v>-1135.9983973900089</v>
      </c>
      <c r="I3606">
        <v>0</v>
      </c>
      <c r="J3606">
        <v>0</v>
      </c>
      <c r="K3606">
        <v>27.7</v>
      </c>
      <c r="L3606">
        <v>-691.45049999999992</v>
      </c>
      <c r="M3606">
        <v>0</v>
      </c>
      <c r="N3606">
        <v>0</v>
      </c>
      <c r="O3606">
        <v>-29.060339899731659</v>
      </c>
      <c r="P3606">
        <v>848354</v>
      </c>
    </row>
    <row r="3607" spans="1:16" x14ac:dyDescent="0.25">
      <c r="A3607" s="10">
        <v>42958</v>
      </c>
      <c r="B3607">
        <v>-10123</v>
      </c>
      <c r="C3607">
        <v>-4171.9996000000001</v>
      </c>
      <c r="D3607">
        <v>0</v>
      </c>
      <c r="E3607">
        <v>0</v>
      </c>
      <c r="F3607">
        <v>0</v>
      </c>
      <c r="G3607">
        <v>-391.31942673982883</v>
      </c>
      <c r="H3607">
        <v>-624.51060937999864</v>
      </c>
      <c r="I3607">
        <v>0</v>
      </c>
      <c r="J3607">
        <v>0</v>
      </c>
      <c r="K3607">
        <v>30.311225260000001</v>
      </c>
      <c r="L3607">
        <v>-4933.8</v>
      </c>
      <c r="M3607">
        <v>0</v>
      </c>
      <c r="N3607">
        <v>0</v>
      </c>
      <c r="O3607">
        <v>-31.68158914017258</v>
      </c>
      <c r="P3607">
        <v>838231</v>
      </c>
    </row>
    <row r="3608" spans="1:16" x14ac:dyDescent="0.25">
      <c r="A3608" s="10">
        <v>42961</v>
      </c>
      <c r="B3608">
        <v>3394</v>
      </c>
      <c r="C3608">
        <v>0</v>
      </c>
      <c r="D3608">
        <v>8856</v>
      </c>
      <c r="E3608">
        <v>0</v>
      </c>
      <c r="F3608">
        <v>0</v>
      </c>
      <c r="G3608">
        <v>-91.094946160253585</v>
      </c>
      <c r="H3608">
        <v>-3393.3102248799992</v>
      </c>
      <c r="I3608">
        <v>0</v>
      </c>
      <c r="J3608">
        <v>0</v>
      </c>
      <c r="K3608">
        <v>75.099999999999994</v>
      </c>
      <c r="L3608">
        <v>-2078.6</v>
      </c>
      <c r="M3608">
        <v>0</v>
      </c>
      <c r="N3608">
        <v>0</v>
      </c>
      <c r="O3608">
        <v>25.90517104025275</v>
      </c>
      <c r="P3608">
        <v>841625</v>
      </c>
    </row>
    <row r="3609" spans="1:16" x14ac:dyDescent="0.25">
      <c r="A3609" s="10">
        <v>42962</v>
      </c>
      <c r="B3609">
        <v>-2426</v>
      </c>
      <c r="C3609">
        <v>0</v>
      </c>
      <c r="D3609">
        <v>0</v>
      </c>
      <c r="E3609">
        <v>0</v>
      </c>
      <c r="F3609">
        <v>0</v>
      </c>
      <c r="G3609">
        <v>173.0977696101202</v>
      </c>
      <c r="H3609">
        <v>-307.8018572400033</v>
      </c>
      <c r="I3609">
        <v>0</v>
      </c>
      <c r="J3609">
        <v>0</v>
      </c>
      <c r="K3609">
        <v>27.6</v>
      </c>
      <c r="L3609">
        <v>-2230.9</v>
      </c>
      <c r="M3609">
        <v>0</v>
      </c>
      <c r="N3609">
        <v>0</v>
      </c>
      <c r="O3609">
        <v>-87.995912370116727</v>
      </c>
      <c r="P3609">
        <v>839199</v>
      </c>
    </row>
    <row r="3610" spans="1:16" x14ac:dyDescent="0.25">
      <c r="A3610" s="10">
        <v>42963</v>
      </c>
      <c r="B3610">
        <v>61047</v>
      </c>
      <c r="C3610">
        <v>0</v>
      </c>
      <c r="D3610">
        <v>0</v>
      </c>
      <c r="E3610">
        <v>0</v>
      </c>
      <c r="F3610">
        <v>0</v>
      </c>
      <c r="G3610">
        <v>-705.64587775995608</v>
      </c>
      <c r="H3610">
        <v>-23693.509731890012</v>
      </c>
      <c r="I3610">
        <v>0</v>
      </c>
      <c r="J3610">
        <v>0</v>
      </c>
      <c r="K3610">
        <v>23.326117310000001</v>
      </c>
      <c r="L3610">
        <v>86259.1</v>
      </c>
      <c r="M3610">
        <v>0</v>
      </c>
      <c r="N3610">
        <v>0</v>
      </c>
      <c r="O3610">
        <v>-836.27050766004538</v>
      </c>
      <c r="P3610">
        <v>900246</v>
      </c>
    </row>
    <row r="3611" spans="1:16" x14ac:dyDescent="0.25">
      <c r="A3611" s="10">
        <v>42964</v>
      </c>
      <c r="B3611">
        <v>-18560</v>
      </c>
      <c r="C3611">
        <v>0</v>
      </c>
      <c r="D3611">
        <v>0</v>
      </c>
      <c r="E3611">
        <v>0</v>
      </c>
      <c r="F3611">
        <v>0</v>
      </c>
      <c r="G3611">
        <v>673.87519441994004</v>
      </c>
      <c r="H3611">
        <v>-9227.7943490199978</v>
      </c>
      <c r="I3611">
        <v>0</v>
      </c>
      <c r="J3611">
        <v>0</v>
      </c>
      <c r="K3611">
        <v>39.799999999999997</v>
      </c>
      <c r="L3611">
        <v>-10237.200000000001</v>
      </c>
      <c r="M3611">
        <v>0</v>
      </c>
      <c r="N3611">
        <v>0</v>
      </c>
      <c r="O3611">
        <v>191.31915460005911</v>
      </c>
      <c r="P3611">
        <v>881686</v>
      </c>
    </row>
    <row r="3612" spans="1:16" x14ac:dyDescent="0.25">
      <c r="A3612" s="10">
        <v>42965</v>
      </c>
      <c r="B3612">
        <v>-20297</v>
      </c>
      <c r="C3612">
        <v>0</v>
      </c>
      <c r="D3612">
        <v>0</v>
      </c>
      <c r="E3612">
        <v>0</v>
      </c>
      <c r="F3612">
        <v>0</v>
      </c>
      <c r="G3612">
        <v>-65.97149281991878</v>
      </c>
      <c r="H3612">
        <v>-3053.4802214299998</v>
      </c>
      <c r="I3612">
        <v>0</v>
      </c>
      <c r="J3612">
        <v>0</v>
      </c>
      <c r="K3612">
        <v>44.8</v>
      </c>
      <c r="L3612">
        <v>-17309.7</v>
      </c>
      <c r="M3612">
        <v>0</v>
      </c>
      <c r="N3612">
        <v>0</v>
      </c>
      <c r="O3612">
        <v>87.351714249920036</v>
      </c>
      <c r="P3612">
        <v>861389</v>
      </c>
    </row>
    <row r="3613" spans="1:16" x14ac:dyDescent="0.25">
      <c r="A3613" s="10">
        <v>42969</v>
      </c>
      <c r="B3613">
        <v>9387</v>
      </c>
      <c r="C3613">
        <v>0</v>
      </c>
      <c r="D3613">
        <v>8641.1</v>
      </c>
      <c r="E3613">
        <v>0</v>
      </c>
      <c r="F3613">
        <v>0</v>
      </c>
      <c r="G3613">
        <v>71.493569739751536</v>
      </c>
      <c r="H3613">
        <v>6045.0733095699979</v>
      </c>
      <c r="I3613">
        <v>0</v>
      </c>
      <c r="J3613">
        <v>0</v>
      </c>
      <c r="K3613">
        <v>156.69999999999999</v>
      </c>
      <c r="L3613">
        <v>-5706.0000000000009</v>
      </c>
      <c r="M3613">
        <v>0</v>
      </c>
      <c r="N3613">
        <v>0</v>
      </c>
      <c r="O3613">
        <v>178.63312069025119</v>
      </c>
      <c r="P3613">
        <v>870776</v>
      </c>
    </row>
    <row r="3614" spans="1:16" x14ac:dyDescent="0.25">
      <c r="A3614" s="10">
        <v>42970</v>
      </c>
      <c r="B3614">
        <v>2425</v>
      </c>
      <c r="C3614">
        <v>0</v>
      </c>
      <c r="D3614">
        <v>0</v>
      </c>
      <c r="E3614">
        <v>0</v>
      </c>
      <c r="F3614">
        <v>0</v>
      </c>
      <c r="G3614">
        <v>278.62990922056491</v>
      </c>
      <c r="H3614">
        <v>10223.50279617</v>
      </c>
      <c r="I3614">
        <v>0</v>
      </c>
      <c r="J3614">
        <v>0</v>
      </c>
      <c r="K3614">
        <v>64.099999999999994</v>
      </c>
      <c r="L3614">
        <v>-8140.2</v>
      </c>
      <c r="M3614">
        <v>0</v>
      </c>
      <c r="N3614">
        <v>0</v>
      </c>
      <c r="O3614">
        <v>-1.0327053905615691</v>
      </c>
      <c r="P3614">
        <v>873201</v>
      </c>
    </row>
    <row r="3615" spans="1:16" x14ac:dyDescent="0.25">
      <c r="A3615" s="10">
        <v>42971</v>
      </c>
      <c r="B3615">
        <v>-13504</v>
      </c>
      <c r="C3615">
        <v>0</v>
      </c>
      <c r="D3615">
        <v>0</v>
      </c>
      <c r="E3615">
        <v>0</v>
      </c>
      <c r="F3615">
        <v>0</v>
      </c>
      <c r="G3615">
        <v>-148.3645981101734</v>
      </c>
      <c r="H3615">
        <v>-3659.2581023899979</v>
      </c>
      <c r="I3615">
        <v>0</v>
      </c>
      <c r="J3615">
        <v>0</v>
      </c>
      <c r="K3615">
        <v>32.746631370000003</v>
      </c>
      <c r="L3615">
        <v>-9673.6999999999989</v>
      </c>
      <c r="M3615">
        <v>0</v>
      </c>
      <c r="N3615">
        <v>0</v>
      </c>
      <c r="O3615">
        <v>-55.423930869829931</v>
      </c>
      <c r="P3615">
        <v>859697</v>
      </c>
    </row>
    <row r="3616" spans="1:16" x14ac:dyDescent="0.25">
      <c r="A3616" s="10">
        <v>42972</v>
      </c>
      <c r="B3616">
        <v>-12030</v>
      </c>
      <c r="C3616">
        <v>0</v>
      </c>
      <c r="D3616">
        <v>0</v>
      </c>
      <c r="E3616">
        <v>0</v>
      </c>
      <c r="F3616">
        <v>0</v>
      </c>
      <c r="G3616">
        <v>-26.656954840299559</v>
      </c>
      <c r="H3616">
        <v>1450.731126680002</v>
      </c>
      <c r="I3616">
        <v>0</v>
      </c>
      <c r="J3616">
        <v>0</v>
      </c>
      <c r="K3616">
        <v>70.011271359999995</v>
      </c>
      <c r="L3616">
        <v>-13759</v>
      </c>
      <c r="M3616">
        <v>0</v>
      </c>
      <c r="N3616">
        <v>0</v>
      </c>
      <c r="O3616">
        <v>234.91455680029779</v>
      </c>
      <c r="P3616">
        <v>847667</v>
      </c>
    </row>
    <row r="3617" spans="1:16" x14ac:dyDescent="0.25">
      <c r="A3617" s="10">
        <v>42975</v>
      </c>
      <c r="B3617">
        <v>11504</v>
      </c>
      <c r="C3617">
        <v>0</v>
      </c>
      <c r="D3617">
        <v>10333.379999999999</v>
      </c>
      <c r="E3617">
        <v>0</v>
      </c>
      <c r="F3617">
        <v>0</v>
      </c>
      <c r="G3617">
        <v>79.296594269853642</v>
      </c>
      <c r="H3617">
        <v>5604.3670105700003</v>
      </c>
      <c r="I3617">
        <v>0</v>
      </c>
      <c r="J3617">
        <v>0</v>
      </c>
      <c r="K3617">
        <v>81.3</v>
      </c>
      <c r="L3617">
        <v>-4572.1000000000004</v>
      </c>
      <c r="M3617">
        <v>0</v>
      </c>
      <c r="N3617">
        <v>0</v>
      </c>
      <c r="O3617">
        <v>-22.243604839852939</v>
      </c>
      <c r="P3617">
        <v>859171</v>
      </c>
    </row>
    <row r="3618" spans="1:16" x14ac:dyDescent="0.25">
      <c r="A3618" s="10">
        <v>42976</v>
      </c>
      <c r="B3618">
        <v>-3701</v>
      </c>
      <c r="C3618">
        <v>0</v>
      </c>
      <c r="D3618">
        <v>0</v>
      </c>
      <c r="E3618">
        <v>0</v>
      </c>
      <c r="F3618">
        <v>0</v>
      </c>
      <c r="G3618">
        <v>-48.065348370035821</v>
      </c>
      <c r="H3618">
        <v>1662.957796050003</v>
      </c>
      <c r="I3618">
        <v>0</v>
      </c>
      <c r="J3618">
        <v>0</v>
      </c>
      <c r="K3618">
        <v>60.3</v>
      </c>
      <c r="L3618">
        <v>-5268.0999999999995</v>
      </c>
      <c r="M3618">
        <v>0</v>
      </c>
      <c r="N3618">
        <v>0</v>
      </c>
      <c r="O3618">
        <v>-108.09244767996771</v>
      </c>
      <c r="P3618">
        <v>855470</v>
      </c>
    </row>
    <row r="3619" spans="1:16" x14ac:dyDescent="0.25">
      <c r="A3619" s="10">
        <v>42977</v>
      </c>
      <c r="B3619">
        <v>-7940</v>
      </c>
      <c r="C3619">
        <v>0</v>
      </c>
      <c r="D3619">
        <v>0</v>
      </c>
      <c r="E3619">
        <v>0</v>
      </c>
      <c r="F3619">
        <v>0</v>
      </c>
      <c r="G3619">
        <v>-85.413924929563109</v>
      </c>
      <c r="H3619">
        <v>-415.5800482199993</v>
      </c>
      <c r="I3619">
        <v>0</v>
      </c>
      <c r="J3619">
        <v>0</v>
      </c>
      <c r="K3619">
        <v>42.6</v>
      </c>
      <c r="L3619">
        <v>-7641.4000000000005</v>
      </c>
      <c r="M3619">
        <v>0</v>
      </c>
      <c r="N3619">
        <v>0</v>
      </c>
      <c r="O3619">
        <v>159.79397314956259</v>
      </c>
      <c r="P3619">
        <v>847530</v>
      </c>
    </row>
    <row r="3620" spans="1:16" x14ac:dyDescent="0.25">
      <c r="A3620" s="10">
        <v>42978</v>
      </c>
      <c r="B3620">
        <v>-9132</v>
      </c>
      <c r="C3620">
        <v>0</v>
      </c>
      <c r="D3620">
        <v>0</v>
      </c>
      <c r="E3620">
        <v>0</v>
      </c>
      <c r="F3620">
        <v>0</v>
      </c>
      <c r="G3620">
        <v>-20.576924510231411</v>
      </c>
      <c r="H3620">
        <v>-5827.1508971100047</v>
      </c>
      <c r="I3620">
        <v>0</v>
      </c>
      <c r="J3620">
        <v>0</v>
      </c>
      <c r="K3620">
        <v>52.3</v>
      </c>
      <c r="L3620">
        <v>-3274.2</v>
      </c>
      <c r="M3620">
        <v>0</v>
      </c>
      <c r="N3620">
        <v>0</v>
      </c>
      <c r="O3620">
        <v>-62.372178379764222</v>
      </c>
      <c r="P3620">
        <v>838398</v>
      </c>
    </row>
    <row r="3621" spans="1:16" x14ac:dyDescent="0.25">
      <c r="A3621" s="10">
        <v>42979</v>
      </c>
      <c r="B3621">
        <v>27219</v>
      </c>
      <c r="C3621">
        <v>0</v>
      </c>
      <c r="D3621">
        <v>0</v>
      </c>
      <c r="E3621">
        <v>0</v>
      </c>
      <c r="F3621">
        <v>0</v>
      </c>
      <c r="G3621">
        <v>20.844324100167981</v>
      </c>
      <c r="H3621">
        <v>29320.461203340001</v>
      </c>
      <c r="I3621">
        <v>0</v>
      </c>
      <c r="J3621">
        <v>0</v>
      </c>
      <c r="K3621">
        <v>55.4</v>
      </c>
      <c r="L3621">
        <v>-2132.6</v>
      </c>
      <c r="M3621">
        <v>0</v>
      </c>
      <c r="N3621">
        <v>0</v>
      </c>
      <c r="O3621">
        <v>-45.105527440165318</v>
      </c>
      <c r="P3621">
        <v>865617</v>
      </c>
    </row>
    <row r="3622" spans="1:16" x14ac:dyDescent="0.25">
      <c r="A3622" s="10">
        <v>42982</v>
      </c>
      <c r="B3622">
        <v>2645</v>
      </c>
      <c r="C3622">
        <v>0</v>
      </c>
      <c r="D3622">
        <v>0</v>
      </c>
      <c r="E3622">
        <v>0</v>
      </c>
      <c r="F3622">
        <v>0</v>
      </c>
      <c r="G3622">
        <v>-138.9091476700948</v>
      </c>
      <c r="H3622">
        <v>4287.6425019700037</v>
      </c>
      <c r="I3622">
        <v>0</v>
      </c>
      <c r="J3622">
        <v>0</v>
      </c>
      <c r="K3622">
        <v>63.186422700000001</v>
      </c>
      <c r="L3622">
        <v>-1555.7</v>
      </c>
      <c r="M3622">
        <v>0</v>
      </c>
      <c r="N3622">
        <v>0</v>
      </c>
      <c r="O3622">
        <v>-11.21977699990866</v>
      </c>
      <c r="P3622">
        <v>868262</v>
      </c>
    </row>
    <row r="3623" spans="1:16" x14ac:dyDescent="0.25">
      <c r="A3623" s="10">
        <v>42983</v>
      </c>
      <c r="B3623">
        <v>4756</v>
      </c>
      <c r="C3623">
        <v>0</v>
      </c>
      <c r="D3623">
        <v>8621.25</v>
      </c>
      <c r="E3623">
        <v>0</v>
      </c>
      <c r="F3623">
        <v>0</v>
      </c>
      <c r="G3623">
        <v>-66.766905640053437</v>
      </c>
      <c r="H3623">
        <v>-1946.8538677300021</v>
      </c>
      <c r="I3623">
        <v>0</v>
      </c>
      <c r="J3623">
        <v>0</v>
      </c>
      <c r="K3623">
        <v>31.243486350000001</v>
      </c>
      <c r="L3623">
        <v>-1874.3</v>
      </c>
      <c r="M3623">
        <v>0</v>
      </c>
      <c r="N3623">
        <v>0</v>
      </c>
      <c r="O3623">
        <v>-8.5727129799442991</v>
      </c>
      <c r="P3623">
        <v>873018</v>
      </c>
    </row>
    <row r="3624" spans="1:16" x14ac:dyDescent="0.25">
      <c r="A3624" s="10">
        <v>42984</v>
      </c>
      <c r="B3624">
        <v>-6322</v>
      </c>
      <c r="C3624">
        <v>0</v>
      </c>
      <c r="D3624">
        <v>0</v>
      </c>
      <c r="E3624">
        <v>0</v>
      </c>
      <c r="F3624">
        <v>0</v>
      </c>
      <c r="G3624">
        <v>158.01379514991569</v>
      </c>
      <c r="H3624">
        <v>-923.46477879999657</v>
      </c>
      <c r="I3624">
        <v>0</v>
      </c>
      <c r="J3624">
        <v>0</v>
      </c>
      <c r="K3624">
        <v>20.040376689999999</v>
      </c>
      <c r="L3624">
        <v>-5548.4</v>
      </c>
      <c r="M3624">
        <v>0</v>
      </c>
      <c r="N3624">
        <v>0</v>
      </c>
      <c r="O3624">
        <v>-28.189393039919381</v>
      </c>
      <c r="P3624">
        <v>866696</v>
      </c>
    </row>
    <row r="3625" spans="1:16" x14ac:dyDescent="0.25">
      <c r="A3625" s="10">
        <v>42985</v>
      </c>
      <c r="B3625">
        <v>-6691</v>
      </c>
      <c r="C3625">
        <v>0</v>
      </c>
      <c r="D3625">
        <v>0</v>
      </c>
      <c r="E3625">
        <v>0</v>
      </c>
      <c r="F3625">
        <v>0</v>
      </c>
      <c r="G3625">
        <v>-120.8177108897038</v>
      </c>
      <c r="H3625">
        <v>768.62984549999965</v>
      </c>
      <c r="I3625">
        <v>0</v>
      </c>
      <c r="J3625">
        <v>0</v>
      </c>
      <c r="K3625">
        <v>21.441595400000001</v>
      </c>
      <c r="L3625">
        <v>-7206.7999999999993</v>
      </c>
      <c r="M3625">
        <v>0</v>
      </c>
      <c r="N3625">
        <v>0</v>
      </c>
      <c r="O3625">
        <v>-153.4537300102962</v>
      </c>
      <c r="P3625">
        <v>860005</v>
      </c>
    </row>
    <row r="3626" spans="1:16" x14ac:dyDescent="0.25">
      <c r="A3626" s="10">
        <v>42986</v>
      </c>
      <c r="B3626">
        <v>-2764</v>
      </c>
      <c r="C3626">
        <v>0</v>
      </c>
      <c r="D3626">
        <v>0</v>
      </c>
      <c r="E3626">
        <v>0</v>
      </c>
      <c r="F3626">
        <v>0</v>
      </c>
      <c r="G3626">
        <v>14.26094057008968</v>
      </c>
      <c r="H3626">
        <v>723.2515730199957</v>
      </c>
      <c r="I3626">
        <v>0</v>
      </c>
      <c r="J3626">
        <v>-73</v>
      </c>
      <c r="K3626">
        <v>14.69999999999982</v>
      </c>
      <c r="L3626">
        <v>-3410.5</v>
      </c>
      <c r="M3626">
        <v>0</v>
      </c>
      <c r="N3626">
        <v>0</v>
      </c>
      <c r="O3626">
        <v>-32.712513590085202</v>
      </c>
      <c r="P3626">
        <v>857241</v>
      </c>
    </row>
    <row r="3627" spans="1:16" x14ac:dyDescent="0.25">
      <c r="A3627" s="10">
        <v>42989</v>
      </c>
      <c r="B3627">
        <v>12436</v>
      </c>
      <c r="C3627">
        <v>0</v>
      </c>
      <c r="D3627">
        <v>0</v>
      </c>
      <c r="E3627">
        <v>0</v>
      </c>
      <c r="F3627">
        <v>13500</v>
      </c>
      <c r="G3627">
        <v>-293.69021741006333</v>
      </c>
      <c r="H3627">
        <v>3090.7874750699962</v>
      </c>
      <c r="I3627">
        <v>0</v>
      </c>
      <c r="J3627">
        <v>0</v>
      </c>
      <c r="K3627">
        <v>59.7</v>
      </c>
      <c r="L3627">
        <v>-4153.8</v>
      </c>
      <c r="M3627">
        <v>0</v>
      </c>
      <c r="N3627">
        <v>0</v>
      </c>
      <c r="O3627">
        <v>233.0027423400679</v>
      </c>
      <c r="P3627">
        <v>869677</v>
      </c>
    </row>
    <row r="3628" spans="1:16" x14ac:dyDescent="0.25">
      <c r="A3628" s="10">
        <v>42990</v>
      </c>
      <c r="B3628">
        <v>-1833</v>
      </c>
      <c r="C3628">
        <v>0</v>
      </c>
      <c r="D3628">
        <v>0</v>
      </c>
      <c r="E3628">
        <v>0</v>
      </c>
      <c r="F3628">
        <v>0</v>
      </c>
      <c r="G3628">
        <v>-79.126918990102553</v>
      </c>
      <c r="H3628">
        <v>316.10453982000041</v>
      </c>
      <c r="I3628">
        <v>0</v>
      </c>
      <c r="J3628">
        <v>0</v>
      </c>
      <c r="K3628">
        <v>13.350863609999999</v>
      </c>
      <c r="L3628">
        <v>-2008.2</v>
      </c>
      <c r="M3628">
        <v>0</v>
      </c>
      <c r="N3628">
        <v>0</v>
      </c>
      <c r="O3628">
        <v>-75.12848443989779</v>
      </c>
      <c r="P3628">
        <v>867844</v>
      </c>
    </row>
    <row r="3629" spans="1:16" x14ac:dyDescent="0.25">
      <c r="A3629" s="10">
        <v>42991</v>
      </c>
      <c r="B3629">
        <v>-360</v>
      </c>
      <c r="C3629">
        <v>0</v>
      </c>
      <c r="D3629">
        <v>0</v>
      </c>
      <c r="E3629">
        <v>0</v>
      </c>
      <c r="F3629">
        <v>0</v>
      </c>
      <c r="G3629">
        <v>-361.90547034011757</v>
      </c>
      <c r="H3629">
        <v>3443.352197639997</v>
      </c>
      <c r="I3629">
        <v>0</v>
      </c>
      <c r="J3629">
        <v>0</v>
      </c>
      <c r="K3629">
        <v>19.2</v>
      </c>
      <c r="L3629">
        <v>-3423.7763691200398</v>
      </c>
      <c r="M3629">
        <v>0</v>
      </c>
      <c r="N3629">
        <v>0</v>
      </c>
      <c r="O3629">
        <v>-36.870358179839421</v>
      </c>
      <c r="P3629">
        <v>867484</v>
      </c>
    </row>
    <row r="3630" spans="1:16" x14ac:dyDescent="0.25">
      <c r="A3630" s="10">
        <v>42992</v>
      </c>
      <c r="B3630">
        <v>-6449</v>
      </c>
      <c r="C3630">
        <v>0</v>
      </c>
      <c r="D3630">
        <v>0</v>
      </c>
      <c r="E3630">
        <v>0</v>
      </c>
      <c r="F3630">
        <v>0</v>
      </c>
      <c r="G3630">
        <v>-85.223047409877651</v>
      </c>
      <c r="H3630">
        <v>-2061.9889318399978</v>
      </c>
      <c r="I3630">
        <v>0</v>
      </c>
      <c r="J3630">
        <v>0</v>
      </c>
      <c r="K3630">
        <v>19.5</v>
      </c>
      <c r="L3630">
        <v>-4387.8</v>
      </c>
      <c r="M3630">
        <v>0</v>
      </c>
      <c r="N3630">
        <v>0</v>
      </c>
      <c r="O3630">
        <v>66.511979249876092</v>
      </c>
      <c r="P3630">
        <v>861035</v>
      </c>
    </row>
    <row r="3631" spans="1:16" x14ac:dyDescent="0.25">
      <c r="A3631" s="10">
        <v>42993</v>
      </c>
      <c r="B3631">
        <v>-15799</v>
      </c>
      <c r="C3631">
        <v>0</v>
      </c>
      <c r="D3631">
        <v>0</v>
      </c>
      <c r="E3631">
        <v>-6900</v>
      </c>
      <c r="F3631">
        <v>0</v>
      </c>
      <c r="G3631">
        <v>-171.69362915986281</v>
      </c>
      <c r="H3631">
        <v>-5053.8957880700036</v>
      </c>
      <c r="I3631">
        <v>0</v>
      </c>
      <c r="J3631">
        <v>0</v>
      </c>
      <c r="K3631">
        <v>22.3</v>
      </c>
      <c r="L3631">
        <v>-3666.8</v>
      </c>
      <c r="M3631">
        <v>0</v>
      </c>
      <c r="N3631">
        <v>0</v>
      </c>
      <c r="O3631">
        <v>-28.910582770133619</v>
      </c>
      <c r="P3631">
        <v>845236</v>
      </c>
    </row>
    <row r="3632" spans="1:16" x14ac:dyDescent="0.25">
      <c r="A3632" s="10">
        <v>42996</v>
      </c>
      <c r="B3632">
        <v>18274</v>
      </c>
      <c r="C3632">
        <v>0</v>
      </c>
      <c r="D3632">
        <v>16972</v>
      </c>
      <c r="E3632">
        <v>7600</v>
      </c>
      <c r="F3632">
        <v>0</v>
      </c>
      <c r="G3632">
        <v>141.42208943979921</v>
      </c>
      <c r="H3632">
        <v>-3442.9048029100009</v>
      </c>
      <c r="I3632">
        <v>0</v>
      </c>
      <c r="J3632">
        <v>0</v>
      </c>
      <c r="K3632">
        <v>64.68366709</v>
      </c>
      <c r="L3632">
        <v>-3010.0320000000002</v>
      </c>
      <c r="M3632">
        <v>0</v>
      </c>
      <c r="N3632">
        <v>0</v>
      </c>
      <c r="O3632">
        <v>-51.168953619798422</v>
      </c>
      <c r="P3632">
        <v>863510</v>
      </c>
    </row>
    <row r="3633" spans="1:16" x14ac:dyDescent="0.25">
      <c r="A3633" s="10">
        <v>42997</v>
      </c>
      <c r="B3633">
        <v>-6010</v>
      </c>
      <c r="C3633">
        <v>0</v>
      </c>
      <c r="D3633">
        <v>0</v>
      </c>
      <c r="E3633">
        <v>0</v>
      </c>
      <c r="F3633">
        <v>0</v>
      </c>
      <c r="G3633">
        <v>195.46696652009089</v>
      </c>
      <c r="H3633">
        <v>-799.02834465999331</v>
      </c>
      <c r="I3633">
        <v>0</v>
      </c>
      <c r="J3633">
        <v>0</v>
      </c>
      <c r="K3633">
        <v>24.986597830000001</v>
      </c>
      <c r="L3633">
        <v>-5360.7</v>
      </c>
      <c r="M3633">
        <v>0</v>
      </c>
      <c r="N3633">
        <v>0</v>
      </c>
      <c r="O3633">
        <v>-70.725219690098129</v>
      </c>
      <c r="P3633">
        <v>857500</v>
      </c>
    </row>
    <row r="3634" spans="1:16" x14ac:dyDescent="0.25">
      <c r="A3634" s="10">
        <v>42998</v>
      </c>
      <c r="B3634">
        <v>68612</v>
      </c>
      <c r="C3634">
        <v>0</v>
      </c>
      <c r="D3634">
        <v>0</v>
      </c>
      <c r="E3634">
        <v>0</v>
      </c>
      <c r="F3634">
        <v>0</v>
      </c>
      <c r="G3634">
        <v>-639.93213298023625</v>
      </c>
      <c r="H3634">
        <v>-4505.0760273100022</v>
      </c>
      <c r="I3634">
        <v>0</v>
      </c>
      <c r="J3634">
        <v>0</v>
      </c>
      <c r="K3634">
        <v>9.3483376800000002</v>
      </c>
      <c r="L3634">
        <v>73777</v>
      </c>
      <c r="M3634">
        <v>0</v>
      </c>
      <c r="N3634">
        <v>0</v>
      </c>
      <c r="O3634">
        <v>-29.340177389761081</v>
      </c>
      <c r="P3634">
        <v>926112</v>
      </c>
    </row>
    <row r="3635" spans="1:16" x14ac:dyDescent="0.25">
      <c r="A3635" s="10">
        <v>42999</v>
      </c>
      <c r="B3635">
        <v>-6032</v>
      </c>
      <c r="C3635">
        <v>0</v>
      </c>
      <c r="D3635">
        <v>0</v>
      </c>
      <c r="E3635">
        <v>0</v>
      </c>
      <c r="F3635">
        <v>0</v>
      </c>
      <c r="G3635">
        <v>-1056.46488335969</v>
      </c>
      <c r="H3635">
        <v>4580.6280172100014</v>
      </c>
      <c r="I3635">
        <v>0</v>
      </c>
      <c r="J3635">
        <v>0</v>
      </c>
      <c r="K3635">
        <v>17.95001336</v>
      </c>
      <c r="L3635">
        <v>-9682.9</v>
      </c>
      <c r="M3635">
        <v>0</v>
      </c>
      <c r="N3635">
        <v>0</v>
      </c>
      <c r="O3635">
        <v>108.78685278968879</v>
      </c>
      <c r="P3635">
        <v>920080</v>
      </c>
    </row>
    <row r="3636" spans="1:16" x14ac:dyDescent="0.25">
      <c r="A3636" s="10">
        <v>43000</v>
      </c>
      <c r="B3636">
        <v>-26465</v>
      </c>
      <c r="C3636">
        <v>0</v>
      </c>
      <c r="D3636">
        <v>0</v>
      </c>
      <c r="E3636">
        <v>0</v>
      </c>
      <c r="F3636">
        <v>0</v>
      </c>
      <c r="G3636">
        <v>-106.4969385004883</v>
      </c>
      <c r="H3636">
        <v>-18421.936636099999</v>
      </c>
      <c r="I3636">
        <v>0</v>
      </c>
      <c r="J3636">
        <v>0</v>
      </c>
      <c r="K3636">
        <v>23.9</v>
      </c>
      <c r="L3636">
        <v>-9722.5</v>
      </c>
      <c r="M3636">
        <v>0</v>
      </c>
      <c r="N3636">
        <v>0</v>
      </c>
      <c r="O3636">
        <v>1762.033574600488</v>
      </c>
      <c r="P3636">
        <v>893615</v>
      </c>
    </row>
    <row r="3637" spans="1:16" x14ac:dyDescent="0.25">
      <c r="A3637" s="10">
        <v>43003</v>
      </c>
      <c r="B3637">
        <v>-13498</v>
      </c>
      <c r="C3637">
        <v>0</v>
      </c>
      <c r="D3637">
        <v>0</v>
      </c>
      <c r="E3637">
        <v>0</v>
      </c>
      <c r="F3637">
        <v>0</v>
      </c>
      <c r="G3637">
        <v>357.05222000018688</v>
      </c>
      <c r="H3637">
        <v>-4112.203808930004</v>
      </c>
      <c r="I3637">
        <v>0</v>
      </c>
      <c r="J3637">
        <v>0</v>
      </c>
      <c r="K3637">
        <v>85.312784850000014</v>
      </c>
      <c r="L3637">
        <v>-9814.4</v>
      </c>
      <c r="M3637">
        <v>0</v>
      </c>
      <c r="N3637">
        <v>0</v>
      </c>
      <c r="O3637">
        <v>-13.76119592018404</v>
      </c>
      <c r="P3637">
        <v>880117</v>
      </c>
    </row>
    <row r="3638" spans="1:16" x14ac:dyDescent="0.25">
      <c r="A3638" s="10">
        <v>43004</v>
      </c>
      <c r="B3638">
        <v>23473</v>
      </c>
      <c r="C3638">
        <v>0</v>
      </c>
      <c r="D3638">
        <v>36558.269999999997</v>
      </c>
      <c r="E3638">
        <v>0</v>
      </c>
      <c r="F3638">
        <v>0</v>
      </c>
      <c r="G3638">
        <v>-158.93606909977279</v>
      </c>
      <c r="H3638">
        <v>-5896.1237769799918</v>
      </c>
      <c r="I3638">
        <v>0</v>
      </c>
      <c r="J3638">
        <v>0</v>
      </c>
      <c r="K3638">
        <v>31.807153060000001</v>
      </c>
      <c r="L3638">
        <v>-7135.2</v>
      </c>
      <c r="M3638">
        <v>0</v>
      </c>
      <c r="N3638">
        <v>0</v>
      </c>
      <c r="O3638">
        <v>73.182693019767612</v>
      </c>
      <c r="P3638">
        <v>903590</v>
      </c>
    </row>
    <row r="3639" spans="1:16" x14ac:dyDescent="0.25">
      <c r="A3639" s="10">
        <v>43005</v>
      </c>
      <c r="B3639">
        <v>-16609</v>
      </c>
      <c r="C3639">
        <v>0</v>
      </c>
      <c r="D3639">
        <v>0</v>
      </c>
      <c r="E3639">
        <v>0</v>
      </c>
      <c r="F3639">
        <v>0</v>
      </c>
      <c r="G3639">
        <v>137.69378445007791</v>
      </c>
      <c r="H3639">
        <v>-11716.60630119999</v>
      </c>
      <c r="I3639">
        <v>0</v>
      </c>
      <c r="J3639">
        <v>0</v>
      </c>
      <c r="K3639">
        <v>37.403627499999999</v>
      </c>
      <c r="L3639">
        <v>-5018.3999999999996</v>
      </c>
      <c r="M3639">
        <v>0</v>
      </c>
      <c r="N3639">
        <v>0</v>
      </c>
      <c r="O3639">
        <v>-49.091110750084042</v>
      </c>
      <c r="P3639">
        <v>886981</v>
      </c>
    </row>
    <row r="3640" spans="1:16" x14ac:dyDescent="0.25">
      <c r="A3640" s="10">
        <v>43006</v>
      </c>
      <c r="B3640">
        <v>-11758</v>
      </c>
      <c r="C3640">
        <v>0</v>
      </c>
      <c r="D3640">
        <v>0</v>
      </c>
      <c r="E3640">
        <v>0</v>
      </c>
      <c r="F3640">
        <v>0</v>
      </c>
      <c r="G3640">
        <v>-121.75783171012201</v>
      </c>
      <c r="H3640">
        <v>-9455.6591494500171</v>
      </c>
      <c r="I3640">
        <v>0</v>
      </c>
      <c r="J3640">
        <v>0</v>
      </c>
      <c r="K3640">
        <v>44.5</v>
      </c>
      <c r="L3640">
        <v>-2105.1</v>
      </c>
      <c r="M3640">
        <v>0</v>
      </c>
      <c r="N3640">
        <v>0</v>
      </c>
      <c r="O3640">
        <v>-119.983018839861</v>
      </c>
      <c r="P3640">
        <v>875223</v>
      </c>
    </row>
    <row r="3641" spans="1:16" x14ac:dyDescent="0.25">
      <c r="A3641" s="10">
        <v>43007</v>
      </c>
      <c r="B3641">
        <v>-7118</v>
      </c>
      <c r="C3641">
        <v>0</v>
      </c>
      <c r="D3641">
        <v>0</v>
      </c>
      <c r="E3641">
        <v>0</v>
      </c>
      <c r="F3641">
        <v>0</v>
      </c>
      <c r="G3641">
        <v>-69.394657859952716</v>
      </c>
      <c r="H3641">
        <v>3749.2026061600191</v>
      </c>
      <c r="I3641">
        <v>0</v>
      </c>
      <c r="J3641">
        <v>0</v>
      </c>
      <c r="K3641">
        <v>54.9</v>
      </c>
      <c r="L3641">
        <v>-10799.1</v>
      </c>
      <c r="M3641">
        <v>0</v>
      </c>
      <c r="N3641">
        <v>0</v>
      </c>
      <c r="O3641">
        <v>-53.607948300065623</v>
      </c>
      <c r="P3641">
        <v>868105</v>
      </c>
    </row>
    <row r="3642" spans="1:16" x14ac:dyDescent="0.25">
      <c r="A3642" s="10">
        <v>43010</v>
      </c>
      <c r="B3642">
        <v>23533</v>
      </c>
      <c r="C3642">
        <v>0</v>
      </c>
      <c r="D3642">
        <v>0</v>
      </c>
      <c r="E3642">
        <v>0</v>
      </c>
      <c r="F3642">
        <v>0</v>
      </c>
      <c r="G3642">
        <v>-3.7230591803077928</v>
      </c>
      <c r="H3642">
        <v>26565.845911190001</v>
      </c>
      <c r="I3642">
        <v>0</v>
      </c>
      <c r="J3642">
        <v>0</v>
      </c>
      <c r="K3642">
        <v>126.5</v>
      </c>
      <c r="L3642">
        <v>-3122.7</v>
      </c>
      <c r="M3642">
        <v>0</v>
      </c>
      <c r="N3642">
        <v>0</v>
      </c>
      <c r="O3642">
        <v>-32.92285200969345</v>
      </c>
      <c r="P3642">
        <v>891638</v>
      </c>
    </row>
    <row r="3643" spans="1:16" x14ac:dyDescent="0.25">
      <c r="A3643" s="10">
        <v>43011</v>
      </c>
      <c r="B3643">
        <v>-5930</v>
      </c>
      <c r="C3643">
        <v>0</v>
      </c>
      <c r="D3643">
        <v>0</v>
      </c>
      <c r="E3643">
        <v>0</v>
      </c>
      <c r="F3643">
        <v>0</v>
      </c>
      <c r="G3643">
        <v>230.65843621000951</v>
      </c>
      <c r="H3643">
        <v>-3602.5875924700008</v>
      </c>
      <c r="I3643">
        <v>0</v>
      </c>
      <c r="J3643">
        <v>0</v>
      </c>
      <c r="K3643">
        <v>30.691836179999999</v>
      </c>
      <c r="L3643">
        <v>-2521.1999999999998</v>
      </c>
      <c r="M3643">
        <v>0</v>
      </c>
      <c r="N3643">
        <v>0</v>
      </c>
      <c r="O3643">
        <v>-67.562679920008307</v>
      </c>
      <c r="P3643">
        <v>885708</v>
      </c>
    </row>
    <row r="3644" spans="1:16" x14ac:dyDescent="0.25">
      <c r="A3644" s="10">
        <v>43012</v>
      </c>
      <c r="B3644">
        <v>16341</v>
      </c>
      <c r="C3644">
        <v>0</v>
      </c>
      <c r="D3644">
        <v>17428.3</v>
      </c>
      <c r="E3644">
        <v>0</v>
      </c>
      <c r="F3644">
        <v>0</v>
      </c>
      <c r="G3644">
        <v>108.851673170335</v>
      </c>
      <c r="H3644">
        <v>3492.3963004300022</v>
      </c>
      <c r="I3644">
        <v>0</v>
      </c>
      <c r="J3644">
        <v>0</v>
      </c>
      <c r="K3644">
        <v>66.2</v>
      </c>
      <c r="L3644">
        <v>-4709.5</v>
      </c>
      <c r="M3644">
        <v>0</v>
      </c>
      <c r="N3644">
        <v>0</v>
      </c>
      <c r="O3644">
        <v>-45.247973600336273</v>
      </c>
      <c r="P3644">
        <v>902049</v>
      </c>
    </row>
    <row r="3645" spans="1:16" x14ac:dyDescent="0.25">
      <c r="A3645" s="10">
        <v>43013</v>
      </c>
      <c r="B3645">
        <v>1625</v>
      </c>
      <c r="C3645">
        <v>0</v>
      </c>
      <c r="D3645">
        <v>0</v>
      </c>
      <c r="E3645">
        <v>0</v>
      </c>
      <c r="F3645">
        <v>0</v>
      </c>
      <c r="G3645">
        <v>-195.77810546013421</v>
      </c>
      <c r="H3645">
        <v>4468.197213569998</v>
      </c>
      <c r="I3645">
        <v>0</v>
      </c>
      <c r="J3645">
        <v>0</v>
      </c>
      <c r="K3645">
        <v>57.6</v>
      </c>
      <c r="L3645">
        <v>-2694.3</v>
      </c>
      <c r="M3645">
        <v>0</v>
      </c>
      <c r="N3645">
        <v>0</v>
      </c>
      <c r="O3645">
        <v>-10.71910810986356</v>
      </c>
      <c r="P3645">
        <v>903674</v>
      </c>
    </row>
    <row r="3646" spans="1:16" x14ac:dyDescent="0.25">
      <c r="A3646" s="10">
        <v>43014</v>
      </c>
      <c r="B3646">
        <v>-8343</v>
      </c>
      <c r="C3646">
        <v>0</v>
      </c>
      <c r="D3646">
        <v>0</v>
      </c>
      <c r="E3646">
        <v>0</v>
      </c>
      <c r="F3646">
        <v>0</v>
      </c>
      <c r="G3646">
        <v>3.7815164898882472</v>
      </c>
      <c r="H3646">
        <v>877.75293970000348</v>
      </c>
      <c r="I3646">
        <v>0</v>
      </c>
      <c r="J3646">
        <v>0</v>
      </c>
      <c r="K3646">
        <v>33.712707929999993</v>
      </c>
      <c r="L3646">
        <v>-8969.9</v>
      </c>
      <c r="M3646">
        <v>0</v>
      </c>
      <c r="N3646">
        <v>0</v>
      </c>
      <c r="O3646">
        <v>-288.34716411989291</v>
      </c>
      <c r="P3646">
        <v>895331</v>
      </c>
    </row>
    <row r="3647" spans="1:16" x14ac:dyDescent="0.25">
      <c r="A3647" s="10">
        <v>43017</v>
      </c>
      <c r="B3647">
        <v>1157</v>
      </c>
      <c r="C3647">
        <v>0</v>
      </c>
      <c r="D3647">
        <v>0</v>
      </c>
      <c r="E3647">
        <v>0</v>
      </c>
      <c r="F3647">
        <v>0</v>
      </c>
      <c r="G3647">
        <v>-1100.1886889900941</v>
      </c>
      <c r="H3647">
        <v>7375.8999273199952</v>
      </c>
      <c r="I3647">
        <v>0</v>
      </c>
      <c r="J3647">
        <v>-70.199999999999818</v>
      </c>
      <c r="K3647">
        <v>60.599999999999987</v>
      </c>
      <c r="L3647">
        <v>-5040.3999999999996</v>
      </c>
      <c r="M3647">
        <v>0</v>
      </c>
      <c r="N3647">
        <v>0</v>
      </c>
      <c r="O3647">
        <v>-68.711238329901789</v>
      </c>
      <c r="P3647">
        <v>896488</v>
      </c>
    </row>
    <row r="3648" spans="1:16" x14ac:dyDescent="0.25">
      <c r="A3648" s="10">
        <v>43018</v>
      </c>
      <c r="B3648">
        <v>-10120</v>
      </c>
      <c r="C3648">
        <v>0</v>
      </c>
      <c r="D3648">
        <v>0</v>
      </c>
      <c r="E3648">
        <v>0</v>
      </c>
      <c r="F3648">
        <v>0</v>
      </c>
      <c r="G3648">
        <v>-37.755227909600947</v>
      </c>
      <c r="H3648">
        <v>-6623.6162923000011</v>
      </c>
      <c r="I3648">
        <v>0</v>
      </c>
      <c r="J3648">
        <v>0</v>
      </c>
      <c r="K3648">
        <v>37.734393619999992</v>
      </c>
      <c r="L3648">
        <v>-3463.4</v>
      </c>
      <c r="M3648">
        <v>0</v>
      </c>
      <c r="N3648">
        <v>0</v>
      </c>
      <c r="O3648">
        <v>-32.962873410397883</v>
      </c>
      <c r="P3648">
        <v>886368</v>
      </c>
    </row>
    <row r="3649" spans="1:16" x14ac:dyDescent="0.25">
      <c r="A3649" s="10">
        <v>43019</v>
      </c>
      <c r="B3649">
        <v>1773</v>
      </c>
      <c r="C3649">
        <v>0</v>
      </c>
      <c r="D3649">
        <v>0</v>
      </c>
      <c r="E3649">
        <v>0</v>
      </c>
      <c r="F3649">
        <v>0</v>
      </c>
      <c r="G3649">
        <v>84.48246813997271</v>
      </c>
      <c r="H3649">
        <v>6967.1293021899983</v>
      </c>
      <c r="I3649">
        <v>0</v>
      </c>
      <c r="J3649">
        <v>0</v>
      </c>
      <c r="K3649">
        <v>53.3</v>
      </c>
      <c r="L3649">
        <v>-5274.2</v>
      </c>
      <c r="M3649">
        <v>0</v>
      </c>
      <c r="N3649">
        <v>0</v>
      </c>
      <c r="O3649">
        <v>-57.711770329971337</v>
      </c>
      <c r="P3649">
        <v>888141</v>
      </c>
    </row>
    <row r="3650" spans="1:16" x14ac:dyDescent="0.25">
      <c r="A3650" s="10">
        <v>43020</v>
      </c>
      <c r="B3650">
        <v>1183</v>
      </c>
      <c r="C3650">
        <v>0</v>
      </c>
      <c r="D3650">
        <v>8715.6</v>
      </c>
      <c r="E3650">
        <v>0</v>
      </c>
      <c r="F3650">
        <v>0</v>
      </c>
      <c r="G3650">
        <v>-538.44993619995239</v>
      </c>
      <c r="H3650">
        <v>-831.26579908000713</v>
      </c>
      <c r="I3650">
        <v>0</v>
      </c>
      <c r="J3650">
        <v>0</v>
      </c>
      <c r="K3650">
        <v>24.7</v>
      </c>
      <c r="L3650">
        <v>-7172.9140000000007</v>
      </c>
      <c r="M3650">
        <v>0</v>
      </c>
      <c r="N3650">
        <v>0</v>
      </c>
      <c r="O3650">
        <v>985.32973527996</v>
      </c>
      <c r="P3650">
        <v>889324</v>
      </c>
    </row>
    <row r="3651" spans="1:16" x14ac:dyDescent="0.25">
      <c r="A3651" s="10">
        <v>43021</v>
      </c>
      <c r="B3651">
        <v>-8297</v>
      </c>
      <c r="C3651">
        <v>0</v>
      </c>
      <c r="D3651">
        <v>0</v>
      </c>
      <c r="E3651">
        <v>0</v>
      </c>
      <c r="F3651">
        <v>0</v>
      </c>
      <c r="G3651">
        <v>495.73770237968398</v>
      </c>
      <c r="H3651">
        <v>-2832.419852679996</v>
      </c>
      <c r="I3651">
        <v>0</v>
      </c>
      <c r="J3651">
        <v>0</v>
      </c>
      <c r="K3651">
        <v>33.799999999999997</v>
      </c>
      <c r="L3651">
        <v>-6388.5</v>
      </c>
      <c r="M3651">
        <v>0</v>
      </c>
      <c r="N3651">
        <v>0</v>
      </c>
      <c r="O3651">
        <v>394.38215030031131</v>
      </c>
      <c r="P3651">
        <v>881027</v>
      </c>
    </row>
    <row r="3652" spans="1:16" x14ac:dyDescent="0.25">
      <c r="A3652" s="10">
        <v>43025</v>
      </c>
      <c r="B3652">
        <v>-7790</v>
      </c>
      <c r="C3652">
        <v>0</v>
      </c>
      <c r="D3652">
        <v>0</v>
      </c>
      <c r="E3652">
        <v>0</v>
      </c>
      <c r="F3652">
        <v>0</v>
      </c>
      <c r="G3652">
        <v>-427.83324133998241</v>
      </c>
      <c r="H3652">
        <v>-6026.3677434900092</v>
      </c>
      <c r="I3652">
        <v>0</v>
      </c>
      <c r="J3652">
        <v>0</v>
      </c>
      <c r="K3652">
        <v>123.2</v>
      </c>
      <c r="L3652">
        <v>-1350.599999999999</v>
      </c>
      <c r="M3652">
        <v>0</v>
      </c>
      <c r="N3652">
        <v>0</v>
      </c>
      <c r="O3652">
        <v>-108.39901517000909</v>
      </c>
      <c r="P3652">
        <v>873237</v>
      </c>
    </row>
    <row r="3653" spans="1:16" x14ac:dyDescent="0.25">
      <c r="A3653" s="10">
        <v>43026</v>
      </c>
      <c r="B3653">
        <v>39849</v>
      </c>
      <c r="C3653">
        <v>0</v>
      </c>
      <c r="D3653">
        <v>0</v>
      </c>
      <c r="E3653">
        <v>0</v>
      </c>
      <c r="F3653">
        <v>0</v>
      </c>
      <c r="G3653">
        <v>19.158344840063361</v>
      </c>
      <c r="H3653">
        <v>-24948.779628870001</v>
      </c>
      <c r="I3653">
        <v>0</v>
      </c>
      <c r="J3653">
        <v>0</v>
      </c>
      <c r="K3653">
        <v>25.2</v>
      </c>
      <c r="L3653">
        <v>64820.350000000013</v>
      </c>
      <c r="M3653">
        <v>0</v>
      </c>
      <c r="N3653">
        <v>0</v>
      </c>
      <c r="O3653">
        <v>-66.928715970061603</v>
      </c>
      <c r="P3653">
        <v>913086</v>
      </c>
    </row>
    <row r="3654" spans="1:16" x14ac:dyDescent="0.25">
      <c r="A3654" s="10">
        <v>43027</v>
      </c>
      <c r="B3654">
        <v>-20512</v>
      </c>
      <c r="C3654">
        <v>0</v>
      </c>
      <c r="D3654">
        <v>0</v>
      </c>
      <c r="E3654">
        <v>0</v>
      </c>
      <c r="F3654">
        <v>0</v>
      </c>
      <c r="G3654">
        <v>307.93966523990372</v>
      </c>
      <c r="H3654">
        <v>-19746.964720539981</v>
      </c>
      <c r="I3654">
        <v>0</v>
      </c>
      <c r="J3654">
        <v>0</v>
      </c>
      <c r="K3654">
        <v>33.349545740000003</v>
      </c>
      <c r="L3654">
        <v>-1169.0999999999999</v>
      </c>
      <c r="M3654">
        <v>0</v>
      </c>
      <c r="N3654">
        <v>0</v>
      </c>
      <c r="O3654">
        <v>62.775509560077623</v>
      </c>
      <c r="P3654">
        <v>892574</v>
      </c>
    </row>
    <row r="3655" spans="1:16" x14ac:dyDescent="0.25">
      <c r="A3655" s="10">
        <v>43028</v>
      </c>
      <c r="B3655">
        <v>-4531</v>
      </c>
      <c r="C3655">
        <v>0</v>
      </c>
      <c r="D3655">
        <v>8701.25</v>
      </c>
      <c r="E3655">
        <v>0</v>
      </c>
      <c r="F3655">
        <v>0</v>
      </c>
      <c r="G3655">
        <v>-711.3460676597166</v>
      </c>
      <c r="H3655">
        <v>-1267.394738789983</v>
      </c>
      <c r="I3655">
        <v>0</v>
      </c>
      <c r="J3655">
        <v>0</v>
      </c>
      <c r="K3655">
        <v>48.9</v>
      </c>
      <c r="L3655">
        <v>-11266.9</v>
      </c>
      <c r="M3655">
        <v>0</v>
      </c>
      <c r="N3655">
        <v>0</v>
      </c>
      <c r="O3655">
        <v>-35.509193550300907</v>
      </c>
      <c r="P3655">
        <v>888043</v>
      </c>
    </row>
    <row r="3656" spans="1:16" x14ac:dyDescent="0.25">
      <c r="A3656" s="10">
        <v>43031</v>
      </c>
      <c r="B3656">
        <v>3531</v>
      </c>
      <c r="C3656">
        <v>0</v>
      </c>
      <c r="D3656">
        <v>0</v>
      </c>
      <c r="E3656">
        <v>0</v>
      </c>
      <c r="F3656">
        <v>0</v>
      </c>
      <c r="G3656">
        <v>671.86441447965785</v>
      </c>
      <c r="H3656">
        <v>10669.178374249979</v>
      </c>
      <c r="I3656">
        <v>0</v>
      </c>
      <c r="J3656">
        <v>0</v>
      </c>
      <c r="K3656">
        <v>107.2</v>
      </c>
      <c r="L3656">
        <v>-7909.4000000000005</v>
      </c>
      <c r="M3656">
        <v>0</v>
      </c>
      <c r="N3656">
        <v>0</v>
      </c>
      <c r="O3656">
        <v>-7.842788729640052</v>
      </c>
      <c r="P3656">
        <v>891574</v>
      </c>
    </row>
    <row r="3657" spans="1:16" x14ac:dyDescent="0.25">
      <c r="A3657" s="10">
        <v>43032</v>
      </c>
      <c r="B3657">
        <v>-6284</v>
      </c>
      <c r="C3657">
        <v>0</v>
      </c>
      <c r="D3657">
        <v>0</v>
      </c>
      <c r="E3657">
        <v>0</v>
      </c>
      <c r="F3657">
        <v>0</v>
      </c>
      <c r="G3657">
        <v>222.10047322036209</v>
      </c>
      <c r="H3657">
        <v>7903.50514862001</v>
      </c>
      <c r="I3657">
        <v>0</v>
      </c>
      <c r="J3657">
        <v>0</v>
      </c>
      <c r="K3657">
        <v>64.400000000000006</v>
      </c>
      <c r="L3657">
        <v>-14453.4</v>
      </c>
      <c r="M3657">
        <v>0</v>
      </c>
      <c r="N3657">
        <v>0</v>
      </c>
      <c r="O3657">
        <v>-20.605621840372081</v>
      </c>
      <c r="P3657">
        <v>885290</v>
      </c>
    </row>
    <row r="3658" spans="1:16" x14ac:dyDescent="0.25">
      <c r="A3658" s="10">
        <v>43033</v>
      </c>
      <c r="B3658">
        <v>-11185</v>
      </c>
      <c r="C3658">
        <v>0</v>
      </c>
      <c r="D3658">
        <v>0</v>
      </c>
      <c r="E3658">
        <v>0</v>
      </c>
      <c r="F3658">
        <v>0</v>
      </c>
      <c r="G3658">
        <v>-298.76448521998122</v>
      </c>
      <c r="H3658">
        <v>-3312.1958992</v>
      </c>
      <c r="I3658">
        <v>0</v>
      </c>
      <c r="J3658">
        <v>0</v>
      </c>
      <c r="K3658">
        <v>126.7</v>
      </c>
      <c r="L3658">
        <v>-7633.1</v>
      </c>
      <c r="M3658">
        <v>0</v>
      </c>
      <c r="N3658">
        <v>0</v>
      </c>
      <c r="O3658">
        <v>-67.639615580018287</v>
      </c>
      <c r="P3658">
        <v>874105</v>
      </c>
    </row>
    <row r="3659" spans="1:16" x14ac:dyDescent="0.25">
      <c r="A3659" s="10">
        <v>43034</v>
      </c>
      <c r="B3659">
        <v>-4134</v>
      </c>
      <c r="C3659">
        <v>0</v>
      </c>
      <c r="D3659">
        <v>0</v>
      </c>
      <c r="E3659">
        <v>0</v>
      </c>
      <c r="F3659">
        <v>0</v>
      </c>
      <c r="G3659">
        <v>115.5136026897589</v>
      </c>
      <c r="H3659">
        <v>333.79283294999908</v>
      </c>
      <c r="I3659">
        <v>0</v>
      </c>
      <c r="J3659">
        <v>0</v>
      </c>
      <c r="K3659">
        <v>65.2</v>
      </c>
      <c r="L3659">
        <v>-4867.3999999999996</v>
      </c>
      <c r="M3659">
        <v>0</v>
      </c>
      <c r="N3659">
        <v>0</v>
      </c>
      <c r="O3659">
        <v>218.89356436024181</v>
      </c>
      <c r="P3659">
        <v>869971</v>
      </c>
    </row>
    <row r="3660" spans="1:16" x14ac:dyDescent="0.25">
      <c r="A3660" s="10">
        <v>43035</v>
      </c>
      <c r="B3660">
        <v>25511</v>
      </c>
      <c r="C3660">
        <v>0</v>
      </c>
      <c r="D3660">
        <v>11815.7592</v>
      </c>
      <c r="E3660">
        <v>0</v>
      </c>
      <c r="F3660">
        <v>13500</v>
      </c>
      <c r="G3660">
        <v>335.95524306001818</v>
      </c>
      <c r="H3660">
        <v>4540.6327824499886</v>
      </c>
      <c r="I3660">
        <v>0</v>
      </c>
      <c r="J3660">
        <v>0</v>
      </c>
      <c r="K3660">
        <v>43.3</v>
      </c>
      <c r="L3660">
        <v>-4703.3</v>
      </c>
      <c r="M3660">
        <v>0</v>
      </c>
      <c r="N3660">
        <v>0</v>
      </c>
      <c r="O3660">
        <v>-21.347225510008141</v>
      </c>
      <c r="P3660">
        <v>895482</v>
      </c>
    </row>
    <row r="3661" spans="1:16" x14ac:dyDescent="0.25">
      <c r="A3661" s="10">
        <v>43038</v>
      </c>
      <c r="B3661">
        <v>-14240</v>
      </c>
      <c r="C3661">
        <v>0</v>
      </c>
      <c r="D3661">
        <v>0</v>
      </c>
      <c r="E3661">
        <v>0</v>
      </c>
      <c r="F3661">
        <v>0</v>
      </c>
      <c r="G3661">
        <v>-188.2675245201512</v>
      </c>
      <c r="H3661">
        <v>-8812.1240308900014</v>
      </c>
      <c r="I3661">
        <v>0</v>
      </c>
      <c r="J3661">
        <v>0</v>
      </c>
      <c r="K3661">
        <v>98.6</v>
      </c>
      <c r="L3661">
        <v>-5261.2</v>
      </c>
      <c r="M3661">
        <v>0</v>
      </c>
      <c r="N3661">
        <v>0</v>
      </c>
      <c r="O3661">
        <v>-77.008444589847926</v>
      </c>
      <c r="P3661">
        <v>881242</v>
      </c>
    </row>
    <row r="3662" spans="1:16" x14ac:dyDescent="0.25">
      <c r="A3662" s="10">
        <v>43039</v>
      </c>
      <c r="B3662">
        <v>-11138</v>
      </c>
      <c r="C3662">
        <v>0</v>
      </c>
      <c r="D3662">
        <v>0</v>
      </c>
      <c r="E3662">
        <v>0</v>
      </c>
      <c r="F3662">
        <v>0</v>
      </c>
      <c r="G3662">
        <v>148.93314083011279</v>
      </c>
      <c r="H3662">
        <v>-10814.084939409981</v>
      </c>
      <c r="I3662">
        <v>0</v>
      </c>
      <c r="J3662">
        <v>0</v>
      </c>
      <c r="K3662">
        <v>71.274293940000007</v>
      </c>
      <c r="L3662">
        <v>-446.6</v>
      </c>
      <c r="M3662">
        <v>0</v>
      </c>
      <c r="N3662">
        <v>0</v>
      </c>
      <c r="O3662">
        <v>-97.522495360134059</v>
      </c>
      <c r="P3662">
        <v>870104</v>
      </c>
    </row>
    <row r="3663" spans="1:16" x14ac:dyDescent="0.25">
      <c r="A3663" s="10">
        <v>43040</v>
      </c>
      <c r="B3663">
        <v>36545</v>
      </c>
      <c r="C3663">
        <v>0</v>
      </c>
      <c r="D3663">
        <v>0</v>
      </c>
      <c r="E3663">
        <v>0</v>
      </c>
      <c r="F3663">
        <v>0</v>
      </c>
      <c r="G3663">
        <v>-74.473203779950467</v>
      </c>
      <c r="H3663">
        <v>37407.755411899991</v>
      </c>
      <c r="I3663">
        <v>0</v>
      </c>
      <c r="J3663">
        <v>0</v>
      </c>
      <c r="K3663">
        <v>155</v>
      </c>
      <c r="L3663">
        <v>-953.90000000000009</v>
      </c>
      <c r="M3663">
        <v>0</v>
      </c>
      <c r="N3663">
        <v>0</v>
      </c>
      <c r="O3663">
        <v>10.61779187995999</v>
      </c>
      <c r="P3663">
        <v>906649</v>
      </c>
    </row>
    <row r="3664" spans="1:16" x14ac:dyDescent="0.25">
      <c r="A3664" s="10">
        <v>43041</v>
      </c>
      <c r="B3664">
        <v>13119</v>
      </c>
      <c r="C3664">
        <v>0</v>
      </c>
      <c r="D3664">
        <v>0</v>
      </c>
      <c r="E3664">
        <v>0</v>
      </c>
      <c r="F3664">
        <v>0</v>
      </c>
      <c r="G3664">
        <v>119.32377209982739</v>
      </c>
      <c r="H3664">
        <v>13824.33719224999</v>
      </c>
      <c r="I3664">
        <v>0</v>
      </c>
      <c r="J3664">
        <v>0</v>
      </c>
      <c r="K3664">
        <v>51.9</v>
      </c>
      <c r="L3664">
        <v>-928</v>
      </c>
      <c r="M3664">
        <v>0</v>
      </c>
      <c r="N3664">
        <v>0</v>
      </c>
      <c r="O3664">
        <v>51.439035650178987</v>
      </c>
      <c r="P3664">
        <v>919768</v>
      </c>
    </row>
    <row r="3665" spans="1:16" x14ac:dyDescent="0.25">
      <c r="A3665" s="10">
        <v>43042</v>
      </c>
      <c r="B3665">
        <v>-1928</v>
      </c>
      <c r="C3665">
        <v>0</v>
      </c>
      <c r="D3665">
        <v>0</v>
      </c>
      <c r="E3665">
        <v>0</v>
      </c>
      <c r="F3665">
        <v>0</v>
      </c>
      <c r="G3665">
        <v>-35.289773940093262</v>
      </c>
      <c r="H3665">
        <v>2193.760009979997</v>
      </c>
      <c r="I3665">
        <v>0</v>
      </c>
      <c r="J3665">
        <v>0</v>
      </c>
      <c r="K3665">
        <v>32</v>
      </c>
      <c r="L3665">
        <v>-4240.5</v>
      </c>
      <c r="M3665">
        <v>0</v>
      </c>
      <c r="N3665">
        <v>0</v>
      </c>
      <c r="O3665">
        <v>122.0297639600967</v>
      </c>
      <c r="P3665">
        <v>917840</v>
      </c>
    </row>
    <row r="3666" spans="1:16" x14ac:dyDescent="0.25">
      <c r="A3666" s="10">
        <v>43046</v>
      </c>
      <c r="B3666">
        <v>55</v>
      </c>
      <c r="C3666">
        <v>0</v>
      </c>
      <c r="D3666">
        <v>0</v>
      </c>
      <c r="E3666">
        <v>0</v>
      </c>
      <c r="F3666">
        <v>0</v>
      </c>
      <c r="G3666">
        <v>-225.0846884196452</v>
      </c>
      <c r="H3666">
        <v>1730.789283040001</v>
      </c>
      <c r="I3666">
        <v>0</v>
      </c>
      <c r="J3666">
        <v>0</v>
      </c>
      <c r="K3666">
        <v>111.74166639000001</v>
      </c>
      <c r="L3666">
        <v>-1390.8</v>
      </c>
      <c r="M3666">
        <v>0</v>
      </c>
      <c r="N3666">
        <v>0</v>
      </c>
      <c r="O3666">
        <v>-171.64626101035671</v>
      </c>
      <c r="P3666">
        <v>917895</v>
      </c>
    </row>
    <row r="3667" spans="1:16" x14ac:dyDescent="0.25">
      <c r="A3667" s="10">
        <v>43047</v>
      </c>
      <c r="B3667">
        <v>-2366</v>
      </c>
      <c r="C3667">
        <v>0</v>
      </c>
      <c r="D3667">
        <v>0</v>
      </c>
      <c r="E3667">
        <v>0</v>
      </c>
      <c r="F3667">
        <v>0</v>
      </c>
      <c r="G3667">
        <v>142.30754422989909</v>
      </c>
      <c r="H3667">
        <v>-1881.818080860008</v>
      </c>
      <c r="I3667">
        <v>0</v>
      </c>
      <c r="J3667">
        <v>0</v>
      </c>
      <c r="K3667">
        <v>44.5</v>
      </c>
      <c r="L3667">
        <v>-332.8</v>
      </c>
      <c r="M3667">
        <v>0</v>
      </c>
      <c r="N3667">
        <v>0</v>
      </c>
      <c r="O3667">
        <v>-338.18946336989097</v>
      </c>
      <c r="P3667">
        <v>915529</v>
      </c>
    </row>
    <row r="3668" spans="1:16" x14ac:dyDescent="0.25">
      <c r="A3668" s="10">
        <v>43048</v>
      </c>
      <c r="B3668">
        <v>3206</v>
      </c>
      <c r="C3668">
        <v>0</v>
      </c>
      <c r="D3668">
        <v>0</v>
      </c>
      <c r="E3668">
        <v>0</v>
      </c>
      <c r="F3668">
        <v>0</v>
      </c>
      <c r="G3668">
        <v>-49.640613370273371</v>
      </c>
      <c r="H3668">
        <v>4958.8248910900002</v>
      </c>
      <c r="I3668">
        <v>0</v>
      </c>
      <c r="J3668">
        <v>-67.699999999999818</v>
      </c>
      <c r="K3668">
        <v>25.100000000000179</v>
      </c>
      <c r="L3668">
        <v>-1604.7</v>
      </c>
      <c r="M3668">
        <v>0</v>
      </c>
      <c r="N3668">
        <v>0</v>
      </c>
      <c r="O3668">
        <v>-55.884277719727287</v>
      </c>
      <c r="P3668">
        <v>918735</v>
      </c>
    </row>
    <row r="3669" spans="1:16" x14ac:dyDescent="0.25">
      <c r="A3669" s="10">
        <v>43049</v>
      </c>
      <c r="B3669">
        <v>-6041</v>
      </c>
      <c r="C3669">
        <v>0</v>
      </c>
      <c r="D3669">
        <v>0</v>
      </c>
      <c r="E3669">
        <v>0</v>
      </c>
      <c r="F3669">
        <v>0</v>
      </c>
      <c r="G3669">
        <v>-161.84627343977351</v>
      </c>
      <c r="H3669">
        <v>-3602.717426280004</v>
      </c>
      <c r="I3669">
        <v>0</v>
      </c>
      <c r="J3669">
        <v>0</v>
      </c>
      <c r="K3669">
        <v>28.2</v>
      </c>
      <c r="L3669">
        <v>-2306.9</v>
      </c>
      <c r="M3669">
        <v>0</v>
      </c>
      <c r="N3669">
        <v>0</v>
      </c>
      <c r="O3669">
        <v>2.2636997197769229</v>
      </c>
      <c r="P3669">
        <v>912694</v>
      </c>
    </row>
    <row r="3670" spans="1:16" x14ac:dyDescent="0.25">
      <c r="A3670" s="10">
        <v>43052</v>
      </c>
      <c r="B3670">
        <v>-7102</v>
      </c>
      <c r="C3670">
        <v>0</v>
      </c>
      <c r="D3670">
        <v>0</v>
      </c>
      <c r="E3670">
        <v>0</v>
      </c>
      <c r="F3670">
        <v>0</v>
      </c>
      <c r="G3670">
        <v>-57.598065729838893</v>
      </c>
      <c r="H3670">
        <v>-4316.5771154499962</v>
      </c>
      <c r="I3670">
        <v>0</v>
      </c>
      <c r="J3670">
        <v>0</v>
      </c>
      <c r="K3670">
        <v>63.726510649999987</v>
      </c>
      <c r="L3670">
        <v>-2744.8</v>
      </c>
      <c r="M3670">
        <v>0</v>
      </c>
      <c r="N3670">
        <v>0</v>
      </c>
      <c r="O3670">
        <v>-46.751329470164627</v>
      </c>
      <c r="P3670">
        <v>905592</v>
      </c>
    </row>
    <row r="3671" spans="1:16" x14ac:dyDescent="0.25">
      <c r="A3671" s="10">
        <v>43053</v>
      </c>
      <c r="B3671">
        <v>-7488</v>
      </c>
      <c r="C3671">
        <v>0</v>
      </c>
      <c r="D3671">
        <v>0</v>
      </c>
      <c r="E3671">
        <v>0</v>
      </c>
      <c r="F3671">
        <v>0</v>
      </c>
      <c r="G3671">
        <v>107.83278280008901</v>
      </c>
      <c r="H3671">
        <v>-6798.3217981100024</v>
      </c>
      <c r="I3671">
        <v>0</v>
      </c>
      <c r="J3671">
        <v>0</v>
      </c>
      <c r="K3671">
        <v>59.134839829999997</v>
      </c>
      <c r="L3671">
        <v>-854.30000000000007</v>
      </c>
      <c r="M3671">
        <v>0</v>
      </c>
      <c r="N3671">
        <v>0</v>
      </c>
      <c r="O3671">
        <v>-2.3458245200865311</v>
      </c>
      <c r="P3671">
        <v>898104</v>
      </c>
    </row>
    <row r="3672" spans="1:16" x14ac:dyDescent="0.25">
      <c r="A3672" s="10">
        <v>43054</v>
      </c>
      <c r="B3672">
        <v>34424</v>
      </c>
      <c r="C3672">
        <v>0</v>
      </c>
      <c r="D3672">
        <v>0</v>
      </c>
      <c r="E3672">
        <v>0</v>
      </c>
      <c r="F3672">
        <v>0</v>
      </c>
      <c r="G3672">
        <v>-159.39940145998119</v>
      </c>
      <c r="H3672">
        <v>-26047.63594412</v>
      </c>
      <c r="I3672">
        <v>0</v>
      </c>
      <c r="J3672">
        <v>0</v>
      </c>
      <c r="K3672">
        <v>44</v>
      </c>
      <c r="L3672">
        <v>60649.14</v>
      </c>
      <c r="M3672">
        <v>0</v>
      </c>
      <c r="N3672">
        <v>0</v>
      </c>
      <c r="O3672">
        <v>-62.104654420021689</v>
      </c>
      <c r="P3672">
        <v>932528</v>
      </c>
    </row>
    <row r="3673" spans="1:16" x14ac:dyDescent="0.25">
      <c r="A3673" s="10">
        <v>43055</v>
      </c>
      <c r="B3673">
        <v>-31542</v>
      </c>
      <c r="C3673">
        <v>0</v>
      </c>
      <c r="D3673">
        <v>0</v>
      </c>
      <c r="E3673">
        <v>0</v>
      </c>
      <c r="F3673">
        <v>0</v>
      </c>
      <c r="G3673">
        <v>8.5800158498714154</v>
      </c>
      <c r="H3673">
        <v>-23146.979778389999</v>
      </c>
      <c r="I3673">
        <v>0</v>
      </c>
      <c r="J3673">
        <v>0</v>
      </c>
      <c r="K3673">
        <v>42.2</v>
      </c>
      <c r="L3673">
        <v>-8504.2000000000007</v>
      </c>
      <c r="M3673">
        <v>0</v>
      </c>
      <c r="N3673">
        <v>0</v>
      </c>
      <c r="O3673">
        <v>58.399762540127988</v>
      </c>
      <c r="P3673">
        <v>900986</v>
      </c>
    </row>
    <row r="3674" spans="1:16" x14ac:dyDescent="0.25">
      <c r="A3674" s="10">
        <v>43056</v>
      </c>
      <c r="B3674">
        <v>-16657</v>
      </c>
      <c r="C3674">
        <v>0</v>
      </c>
      <c r="D3674">
        <v>0</v>
      </c>
      <c r="E3674">
        <v>0</v>
      </c>
      <c r="F3674">
        <v>0</v>
      </c>
      <c r="G3674">
        <v>-328.68360237004782</v>
      </c>
      <c r="H3674">
        <v>-7957.2717083300086</v>
      </c>
      <c r="I3674">
        <v>0</v>
      </c>
      <c r="J3674">
        <v>0</v>
      </c>
      <c r="K3674">
        <v>48.9</v>
      </c>
      <c r="L3674">
        <v>-8361.5</v>
      </c>
      <c r="M3674">
        <v>0</v>
      </c>
      <c r="N3674">
        <v>0</v>
      </c>
      <c r="O3674">
        <v>-58.444689299943278</v>
      </c>
      <c r="P3674">
        <v>884329</v>
      </c>
    </row>
    <row r="3675" spans="1:16" x14ac:dyDescent="0.25">
      <c r="A3675" s="10">
        <v>43060</v>
      </c>
      <c r="B3675">
        <v>8893</v>
      </c>
      <c r="C3675">
        <v>0</v>
      </c>
      <c r="D3675">
        <v>6994.68</v>
      </c>
      <c r="E3675">
        <v>0</v>
      </c>
      <c r="F3675">
        <v>0</v>
      </c>
      <c r="G3675">
        <v>-7201.213471289936</v>
      </c>
      <c r="H3675">
        <v>16487.12368210002</v>
      </c>
      <c r="I3675">
        <v>0</v>
      </c>
      <c r="J3675">
        <v>0</v>
      </c>
      <c r="K3675">
        <v>228.72361509000001</v>
      </c>
      <c r="L3675">
        <v>-7543.9999999999991</v>
      </c>
      <c r="M3675">
        <v>0</v>
      </c>
      <c r="N3675">
        <v>0</v>
      </c>
      <c r="O3675">
        <v>-72.313825900085789</v>
      </c>
      <c r="P3675">
        <v>893222</v>
      </c>
    </row>
    <row r="3676" spans="1:16" x14ac:dyDescent="0.25">
      <c r="A3676" s="10">
        <v>43061</v>
      </c>
      <c r="B3676">
        <v>8730</v>
      </c>
      <c r="C3676">
        <v>0</v>
      </c>
      <c r="D3676">
        <v>0</v>
      </c>
      <c r="E3676">
        <v>0</v>
      </c>
      <c r="F3676">
        <v>0</v>
      </c>
      <c r="G3676">
        <v>7743.9608780199314</v>
      </c>
      <c r="H3676">
        <v>2968.5904600299982</v>
      </c>
      <c r="I3676">
        <v>0</v>
      </c>
      <c r="J3676">
        <v>0</v>
      </c>
      <c r="K3676">
        <v>146.6</v>
      </c>
      <c r="L3676">
        <v>-2141.9</v>
      </c>
      <c r="M3676">
        <v>0</v>
      </c>
      <c r="N3676">
        <v>0</v>
      </c>
      <c r="O3676">
        <v>12.748661950069801</v>
      </c>
      <c r="P3676">
        <v>901952</v>
      </c>
    </row>
    <row r="3677" spans="1:16" x14ac:dyDescent="0.25">
      <c r="A3677" s="10">
        <v>43062</v>
      </c>
      <c r="B3677">
        <v>4025</v>
      </c>
      <c r="C3677">
        <v>0</v>
      </c>
      <c r="D3677">
        <v>0</v>
      </c>
      <c r="E3677">
        <v>0</v>
      </c>
      <c r="F3677">
        <v>0</v>
      </c>
      <c r="G3677">
        <v>41.104937700125731</v>
      </c>
      <c r="H3677">
        <v>5443.8309377800033</v>
      </c>
      <c r="I3677">
        <v>0</v>
      </c>
      <c r="J3677">
        <v>0</v>
      </c>
      <c r="K3677">
        <v>84.8</v>
      </c>
      <c r="L3677">
        <v>-1463</v>
      </c>
      <c r="M3677">
        <v>0</v>
      </c>
      <c r="N3677">
        <v>0</v>
      </c>
      <c r="O3677">
        <v>-81.735875480128755</v>
      </c>
      <c r="P3677">
        <v>905977</v>
      </c>
    </row>
    <row r="3678" spans="1:16" x14ac:dyDescent="0.25">
      <c r="A3678" s="10">
        <v>43063</v>
      </c>
      <c r="B3678">
        <v>14668</v>
      </c>
      <c r="C3678">
        <v>0</v>
      </c>
      <c r="D3678">
        <v>7840.4400000000014</v>
      </c>
      <c r="E3678">
        <v>0</v>
      </c>
      <c r="F3678">
        <v>13500</v>
      </c>
      <c r="G3678">
        <v>-84.227394739999369</v>
      </c>
      <c r="H3678">
        <v>-1157.622172310017</v>
      </c>
      <c r="I3678">
        <v>0</v>
      </c>
      <c r="J3678">
        <v>0</v>
      </c>
      <c r="K3678">
        <v>71.5</v>
      </c>
      <c r="L3678">
        <v>-5475.5</v>
      </c>
      <c r="M3678">
        <v>0</v>
      </c>
      <c r="N3678">
        <v>0</v>
      </c>
      <c r="O3678">
        <v>-26.590432949984098</v>
      </c>
      <c r="P3678">
        <v>920645</v>
      </c>
    </row>
    <row r="3679" spans="1:16" x14ac:dyDescent="0.25">
      <c r="A3679" s="10">
        <v>43066</v>
      </c>
      <c r="B3679">
        <v>-18403</v>
      </c>
      <c r="C3679">
        <v>0</v>
      </c>
      <c r="D3679">
        <v>0</v>
      </c>
      <c r="E3679">
        <v>0</v>
      </c>
      <c r="F3679">
        <v>0</v>
      </c>
      <c r="G3679">
        <v>-9.1714087999291252</v>
      </c>
      <c r="H3679">
        <v>-12665.966808359981</v>
      </c>
      <c r="I3679">
        <v>0</v>
      </c>
      <c r="J3679">
        <v>0</v>
      </c>
      <c r="K3679">
        <v>31.6</v>
      </c>
      <c r="L3679">
        <v>-5785.2000000000007</v>
      </c>
      <c r="M3679">
        <v>0</v>
      </c>
      <c r="N3679">
        <v>0</v>
      </c>
      <c r="O3679">
        <v>25.738217159912171</v>
      </c>
      <c r="P3679">
        <v>902242</v>
      </c>
    </row>
    <row r="3680" spans="1:16" x14ac:dyDescent="0.25">
      <c r="A3680" s="10">
        <v>43067</v>
      </c>
      <c r="B3680">
        <v>-11612</v>
      </c>
      <c r="C3680">
        <v>0</v>
      </c>
      <c r="D3680">
        <v>0</v>
      </c>
      <c r="E3680">
        <v>0</v>
      </c>
      <c r="F3680">
        <v>0</v>
      </c>
      <c r="G3680">
        <v>-36.856215540178347</v>
      </c>
      <c r="H3680">
        <v>-7477.6230084300041</v>
      </c>
      <c r="I3680">
        <v>0</v>
      </c>
      <c r="J3680">
        <v>0</v>
      </c>
      <c r="K3680">
        <v>122</v>
      </c>
      <c r="L3680">
        <v>-4219.9000000000005</v>
      </c>
      <c r="M3680">
        <v>0</v>
      </c>
      <c r="N3680">
        <v>0</v>
      </c>
      <c r="O3680">
        <v>0.37922397018301268</v>
      </c>
      <c r="P3680">
        <v>890630</v>
      </c>
    </row>
    <row r="3681" spans="1:16" x14ac:dyDescent="0.25">
      <c r="A3681" s="10">
        <v>43068</v>
      </c>
      <c r="B3681">
        <v>5038</v>
      </c>
      <c r="C3681">
        <v>0</v>
      </c>
      <c r="D3681">
        <v>0</v>
      </c>
      <c r="E3681">
        <v>0</v>
      </c>
      <c r="F3681">
        <v>0</v>
      </c>
      <c r="G3681">
        <v>-239.7034623999856</v>
      </c>
      <c r="H3681">
        <v>6986.1942366599978</v>
      </c>
      <c r="I3681">
        <v>0</v>
      </c>
      <c r="J3681">
        <v>0</v>
      </c>
      <c r="K3681">
        <v>171.8</v>
      </c>
      <c r="L3681">
        <v>-1815.5</v>
      </c>
      <c r="M3681">
        <v>0</v>
      </c>
      <c r="N3681">
        <v>0</v>
      </c>
      <c r="O3681">
        <v>-64.790774260012398</v>
      </c>
      <c r="P3681">
        <v>895668</v>
      </c>
    </row>
    <row r="3682" spans="1:16" x14ac:dyDescent="0.25">
      <c r="A3682" s="10">
        <v>43069</v>
      </c>
      <c r="B3682">
        <v>-15355</v>
      </c>
      <c r="C3682">
        <v>0</v>
      </c>
      <c r="D3682">
        <v>0</v>
      </c>
      <c r="E3682">
        <v>0</v>
      </c>
      <c r="F3682">
        <v>0</v>
      </c>
      <c r="G3682">
        <v>325.51592857977209</v>
      </c>
      <c r="H3682">
        <v>-13342.480913490001</v>
      </c>
      <c r="I3682">
        <v>0</v>
      </c>
      <c r="J3682">
        <v>0</v>
      </c>
      <c r="K3682">
        <v>82.7</v>
      </c>
      <c r="L3682">
        <v>-2441</v>
      </c>
      <c r="M3682">
        <v>0</v>
      </c>
      <c r="N3682">
        <v>0</v>
      </c>
      <c r="O3682">
        <v>20.26498491022685</v>
      </c>
      <c r="P3682">
        <v>880313</v>
      </c>
    </row>
    <row r="3683" spans="1:16" x14ac:dyDescent="0.25">
      <c r="A3683" s="10">
        <v>43070</v>
      </c>
      <c r="B3683">
        <v>50988</v>
      </c>
      <c r="C3683">
        <v>0</v>
      </c>
      <c r="D3683">
        <v>0</v>
      </c>
      <c r="E3683">
        <v>0</v>
      </c>
      <c r="F3683">
        <v>0</v>
      </c>
      <c r="G3683">
        <v>-99.720949909577939</v>
      </c>
      <c r="H3683">
        <v>55206.098737559987</v>
      </c>
      <c r="I3683">
        <v>0</v>
      </c>
      <c r="J3683">
        <v>0</v>
      </c>
      <c r="K3683">
        <v>90.3</v>
      </c>
      <c r="L3683">
        <v>-4276.7999999999993</v>
      </c>
      <c r="M3683">
        <v>0</v>
      </c>
      <c r="N3683">
        <v>0</v>
      </c>
      <c r="O3683">
        <v>68.122212349582696</v>
      </c>
      <c r="P3683">
        <v>931301</v>
      </c>
    </row>
    <row r="3684" spans="1:16" x14ac:dyDescent="0.25">
      <c r="A3684" s="10">
        <v>43073</v>
      </c>
      <c r="B3684">
        <v>1380</v>
      </c>
      <c r="C3684">
        <v>0</v>
      </c>
      <c r="D3684">
        <v>0</v>
      </c>
      <c r="E3684">
        <v>0</v>
      </c>
      <c r="F3684">
        <v>0</v>
      </c>
      <c r="G3684">
        <v>-592.19555335028701</v>
      </c>
      <c r="H3684">
        <v>4227.5273614899997</v>
      </c>
      <c r="I3684">
        <v>0</v>
      </c>
      <c r="J3684">
        <v>0</v>
      </c>
      <c r="K3684">
        <v>66.900000000000006</v>
      </c>
      <c r="L3684">
        <v>-2248.6</v>
      </c>
      <c r="M3684">
        <v>0</v>
      </c>
      <c r="N3684">
        <v>0</v>
      </c>
      <c r="O3684">
        <v>-73.631808139712945</v>
      </c>
      <c r="P3684">
        <v>932681</v>
      </c>
    </row>
    <row r="3685" spans="1:16" x14ac:dyDescent="0.25">
      <c r="A3685" s="10">
        <v>43074</v>
      </c>
      <c r="B3685">
        <v>5298</v>
      </c>
      <c r="C3685">
        <v>0</v>
      </c>
      <c r="D3685">
        <v>6904.32</v>
      </c>
      <c r="E3685">
        <v>0</v>
      </c>
      <c r="F3685">
        <v>0</v>
      </c>
      <c r="G3685">
        <v>494.65337968024181</v>
      </c>
      <c r="H3685">
        <v>913.52258176999749</v>
      </c>
      <c r="I3685">
        <v>0</v>
      </c>
      <c r="J3685">
        <v>0</v>
      </c>
      <c r="K3685">
        <v>46.1</v>
      </c>
      <c r="L3685">
        <v>-2966.1</v>
      </c>
      <c r="M3685">
        <v>0</v>
      </c>
      <c r="N3685">
        <v>0</v>
      </c>
      <c r="O3685">
        <v>-94.49596145023898</v>
      </c>
      <c r="P3685">
        <v>937979</v>
      </c>
    </row>
    <row r="3686" spans="1:16" x14ac:dyDescent="0.25">
      <c r="A3686" s="10">
        <v>43075</v>
      </c>
      <c r="B3686">
        <v>-258</v>
      </c>
      <c r="C3686">
        <v>0</v>
      </c>
      <c r="D3686">
        <v>0</v>
      </c>
      <c r="E3686">
        <v>0</v>
      </c>
      <c r="F3686">
        <v>0</v>
      </c>
      <c r="G3686">
        <v>111.5064861198705</v>
      </c>
      <c r="H3686">
        <v>-179.08509597999361</v>
      </c>
      <c r="I3686">
        <v>0</v>
      </c>
      <c r="J3686">
        <v>0</v>
      </c>
      <c r="K3686">
        <v>130.69999999999999</v>
      </c>
      <c r="L3686">
        <v>-454.4</v>
      </c>
      <c r="M3686">
        <v>0</v>
      </c>
      <c r="N3686">
        <v>0</v>
      </c>
      <c r="O3686">
        <v>133.2786098601232</v>
      </c>
      <c r="P3686">
        <v>937721</v>
      </c>
    </row>
    <row r="3687" spans="1:16" x14ac:dyDescent="0.25">
      <c r="A3687" s="10">
        <v>43076</v>
      </c>
      <c r="B3687">
        <v>9382</v>
      </c>
      <c r="C3687">
        <v>0</v>
      </c>
      <c r="D3687">
        <v>0</v>
      </c>
      <c r="E3687">
        <v>0</v>
      </c>
      <c r="F3687">
        <v>13000</v>
      </c>
      <c r="G3687">
        <v>-86.832744189672326</v>
      </c>
      <c r="H3687">
        <v>-1724.5881379999989</v>
      </c>
      <c r="I3687">
        <v>0</v>
      </c>
      <c r="J3687">
        <v>0</v>
      </c>
      <c r="K3687">
        <v>43.2</v>
      </c>
      <c r="L3687">
        <v>-1472.5</v>
      </c>
      <c r="M3687">
        <v>0</v>
      </c>
      <c r="N3687">
        <v>0</v>
      </c>
      <c r="O3687">
        <v>-377.27911781032861</v>
      </c>
      <c r="P3687">
        <v>947103</v>
      </c>
    </row>
    <row r="3688" spans="1:16" x14ac:dyDescent="0.25">
      <c r="A3688" s="10">
        <v>43080</v>
      </c>
      <c r="B3688">
        <v>1090</v>
      </c>
      <c r="C3688">
        <v>0</v>
      </c>
      <c r="D3688">
        <v>0</v>
      </c>
      <c r="E3688">
        <v>0</v>
      </c>
      <c r="F3688">
        <v>0</v>
      </c>
      <c r="G3688">
        <v>-139.64766624026819</v>
      </c>
      <c r="H3688">
        <v>1618.9838675400019</v>
      </c>
      <c r="I3688">
        <v>0</v>
      </c>
      <c r="J3688">
        <v>-61.399999999999643</v>
      </c>
      <c r="K3688">
        <v>163.30000000000041</v>
      </c>
      <c r="L3688">
        <v>-854.40000000000055</v>
      </c>
      <c r="M3688">
        <v>0</v>
      </c>
      <c r="N3688">
        <v>0</v>
      </c>
      <c r="O3688">
        <v>363.16379870026549</v>
      </c>
      <c r="P3688">
        <v>948193</v>
      </c>
    </row>
    <row r="3689" spans="1:16" x14ac:dyDescent="0.25">
      <c r="A3689" s="10">
        <v>43081</v>
      </c>
      <c r="B3689">
        <v>5837</v>
      </c>
      <c r="C3689">
        <v>0</v>
      </c>
      <c r="D3689">
        <v>0</v>
      </c>
      <c r="E3689">
        <v>0</v>
      </c>
      <c r="F3689">
        <v>0</v>
      </c>
      <c r="G3689">
        <v>-0.90425233011292505</v>
      </c>
      <c r="H3689">
        <v>3380.7869991499902</v>
      </c>
      <c r="I3689">
        <v>0</v>
      </c>
      <c r="J3689">
        <v>0</v>
      </c>
      <c r="K3689">
        <v>48</v>
      </c>
      <c r="L3689">
        <v>2439.9</v>
      </c>
      <c r="M3689">
        <v>0</v>
      </c>
      <c r="N3689">
        <v>0</v>
      </c>
      <c r="O3689">
        <v>-30.782746819877321</v>
      </c>
      <c r="P3689">
        <v>954030</v>
      </c>
    </row>
    <row r="3690" spans="1:16" x14ac:dyDescent="0.25">
      <c r="A3690" s="10">
        <v>43082</v>
      </c>
      <c r="B3690">
        <v>10164</v>
      </c>
      <c r="C3690">
        <v>0</v>
      </c>
      <c r="D3690">
        <v>0</v>
      </c>
      <c r="E3690">
        <v>0</v>
      </c>
      <c r="F3690">
        <v>0</v>
      </c>
      <c r="G3690">
        <v>-220.06479281003999</v>
      </c>
      <c r="H3690">
        <v>8261.1155567799942</v>
      </c>
      <c r="I3690">
        <v>0</v>
      </c>
      <c r="J3690">
        <v>0</v>
      </c>
      <c r="K3690">
        <v>40.409468889999999</v>
      </c>
      <c r="L3690">
        <v>2087.6999999999998</v>
      </c>
      <c r="M3690">
        <v>0</v>
      </c>
      <c r="N3690">
        <v>0</v>
      </c>
      <c r="O3690">
        <v>-5.1602328599539753</v>
      </c>
      <c r="P3690">
        <v>964194</v>
      </c>
    </row>
    <row r="3691" spans="1:16" x14ac:dyDescent="0.25">
      <c r="A3691" s="10">
        <v>43083</v>
      </c>
      <c r="B3691">
        <v>-3080</v>
      </c>
      <c r="C3691">
        <v>0</v>
      </c>
      <c r="D3691">
        <v>0</v>
      </c>
      <c r="E3691">
        <v>0</v>
      </c>
      <c r="F3691">
        <v>0</v>
      </c>
      <c r="G3691">
        <v>154.8219849901171</v>
      </c>
      <c r="H3691">
        <v>-5408.0138210699952</v>
      </c>
      <c r="I3691">
        <v>0</v>
      </c>
      <c r="J3691">
        <v>0</v>
      </c>
      <c r="K3691">
        <v>26.082256000000001</v>
      </c>
      <c r="L3691">
        <v>2031.5</v>
      </c>
      <c r="M3691">
        <v>0</v>
      </c>
      <c r="N3691">
        <v>0</v>
      </c>
      <c r="O3691">
        <v>115.6095800798779</v>
      </c>
      <c r="P3691">
        <v>961114</v>
      </c>
    </row>
    <row r="3692" spans="1:16" x14ac:dyDescent="0.25">
      <c r="A3692" s="10">
        <v>43084</v>
      </c>
      <c r="B3692">
        <v>32282</v>
      </c>
      <c r="C3692">
        <v>0</v>
      </c>
      <c r="D3692">
        <v>0</v>
      </c>
      <c r="E3692">
        <v>0</v>
      </c>
      <c r="F3692">
        <v>0</v>
      </c>
      <c r="G3692">
        <v>179.19913643997609</v>
      </c>
      <c r="H3692">
        <v>25993.66384171</v>
      </c>
      <c r="I3692">
        <v>0</v>
      </c>
      <c r="J3692">
        <v>0</v>
      </c>
      <c r="K3692">
        <v>37.4</v>
      </c>
      <c r="L3692">
        <v>6104.2999999999993</v>
      </c>
      <c r="M3692">
        <v>0</v>
      </c>
      <c r="N3692">
        <v>0</v>
      </c>
      <c r="O3692">
        <v>-32.562978149971599</v>
      </c>
      <c r="P3692">
        <v>993396</v>
      </c>
    </row>
    <row r="3693" spans="1:16" x14ac:dyDescent="0.25">
      <c r="A3693" s="10">
        <v>43087</v>
      </c>
      <c r="B3693">
        <v>-2020</v>
      </c>
      <c r="C3693">
        <v>0</v>
      </c>
      <c r="D3693">
        <v>0</v>
      </c>
      <c r="E3693">
        <v>0</v>
      </c>
      <c r="F3693">
        <v>0</v>
      </c>
      <c r="G3693">
        <v>-108.2213156398211</v>
      </c>
      <c r="H3693">
        <v>-7194.9027141000124</v>
      </c>
      <c r="I3693">
        <v>0</v>
      </c>
      <c r="J3693">
        <v>0</v>
      </c>
      <c r="K3693">
        <v>55.774648429999992</v>
      </c>
      <c r="L3693">
        <v>5255.2</v>
      </c>
      <c r="M3693">
        <v>0</v>
      </c>
      <c r="N3693">
        <v>0</v>
      </c>
      <c r="O3693">
        <v>-27.850618690166812</v>
      </c>
      <c r="P3693">
        <v>991376</v>
      </c>
    </row>
    <row r="3694" spans="1:16" x14ac:dyDescent="0.25">
      <c r="A3694" s="10">
        <v>43088</v>
      </c>
      <c r="B3694">
        <v>-3175</v>
      </c>
      <c r="C3694">
        <v>0</v>
      </c>
      <c r="D3694">
        <v>0</v>
      </c>
      <c r="E3694">
        <v>0</v>
      </c>
      <c r="F3694">
        <v>0</v>
      </c>
      <c r="G3694">
        <v>157.40212914982669</v>
      </c>
      <c r="H3694">
        <v>-8249.6199785100034</v>
      </c>
      <c r="I3694">
        <v>0</v>
      </c>
      <c r="J3694">
        <v>0</v>
      </c>
      <c r="K3694">
        <v>4.6932223000000057</v>
      </c>
      <c r="L3694">
        <v>4801.5</v>
      </c>
      <c r="M3694">
        <v>0</v>
      </c>
      <c r="N3694">
        <v>0</v>
      </c>
      <c r="O3694">
        <v>111.0246270601763</v>
      </c>
      <c r="P3694">
        <v>988201</v>
      </c>
    </row>
    <row r="3695" spans="1:16" x14ac:dyDescent="0.25">
      <c r="A3695" s="10">
        <v>43089</v>
      </c>
      <c r="B3695">
        <v>88739</v>
      </c>
      <c r="C3695">
        <v>0</v>
      </c>
      <c r="D3695">
        <v>0</v>
      </c>
      <c r="E3695">
        <v>0</v>
      </c>
      <c r="F3695">
        <v>0</v>
      </c>
      <c r="G3695">
        <v>-170.8973234200821</v>
      </c>
      <c r="H3695">
        <v>-26554.06053940998</v>
      </c>
      <c r="I3695">
        <v>0</v>
      </c>
      <c r="J3695">
        <v>0</v>
      </c>
      <c r="K3695">
        <v>15.763287180000001</v>
      </c>
      <c r="L3695">
        <v>115289.36</v>
      </c>
      <c r="M3695">
        <v>0</v>
      </c>
      <c r="N3695">
        <v>0</v>
      </c>
      <c r="O3695">
        <v>158.8345756500639</v>
      </c>
      <c r="P3695">
        <v>1076940</v>
      </c>
    </row>
    <row r="3696" spans="1:16" x14ac:dyDescent="0.25">
      <c r="A3696" s="10">
        <v>43090</v>
      </c>
      <c r="B3696">
        <v>-41553</v>
      </c>
      <c r="C3696">
        <v>0</v>
      </c>
      <c r="D3696">
        <v>0</v>
      </c>
      <c r="E3696">
        <v>0</v>
      </c>
      <c r="F3696">
        <v>0</v>
      </c>
      <c r="G3696">
        <v>12.66567029000217</v>
      </c>
      <c r="H3696">
        <v>-24205.223504400001</v>
      </c>
      <c r="I3696">
        <v>0</v>
      </c>
      <c r="J3696">
        <v>0</v>
      </c>
      <c r="K3696">
        <v>30.902324789999991</v>
      </c>
      <c r="L3696">
        <v>-17539.400000000001</v>
      </c>
      <c r="M3696">
        <v>0</v>
      </c>
      <c r="N3696">
        <v>0</v>
      </c>
      <c r="O3696">
        <v>148.05550931999599</v>
      </c>
      <c r="P3696">
        <v>1035387</v>
      </c>
    </row>
    <row r="3697" spans="1:16" x14ac:dyDescent="0.25">
      <c r="A3697" s="10">
        <v>43091</v>
      </c>
      <c r="B3697">
        <v>-3265</v>
      </c>
      <c r="C3697">
        <v>0</v>
      </c>
      <c r="D3697">
        <v>0</v>
      </c>
      <c r="E3697">
        <v>0</v>
      </c>
      <c r="F3697">
        <v>0</v>
      </c>
      <c r="G3697">
        <v>215.97859697012319</v>
      </c>
      <c r="H3697">
        <v>15644.87579523999</v>
      </c>
      <c r="I3697">
        <v>0</v>
      </c>
      <c r="J3697">
        <v>0</v>
      </c>
      <c r="K3697">
        <v>53.965043319999999</v>
      </c>
      <c r="L3697">
        <v>-19134.599999999999</v>
      </c>
      <c r="M3697">
        <v>0</v>
      </c>
      <c r="N3697">
        <v>0</v>
      </c>
      <c r="O3697">
        <v>-45.219435530115149</v>
      </c>
      <c r="P3697">
        <v>1032122</v>
      </c>
    </row>
    <row r="3698" spans="1:16" x14ac:dyDescent="0.25">
      <c r="A3698" s="10">
        <v>43095</v>
      </c>
      <c r="B3698">
        <v>-7151</v>
      </c>
      <c r="C3698">
        <v>0</v>
      </c>
      <c r="D3698">
        <v>0</v>
      </c>
      <c r="E3698">
        <v>0</v>
      </c>
      <c r="F3698">
        <v>0</v>
      </c>
      <c r="G3698">
        <v>76.484273300156204</v>
      </c>
      <c r="H3698">
        <v>-2462.7671584399941</v>
      </c>
      <c r="I3698">
        <v>0</v>
      </c>
      <c r="J3698">
        <v>0</v>
      </c>
      <c r="K3698">
        <v>115.87344371</v>
      </c>
      <c r="L3698">
        <v>-4896.1000000000004</v>
      </c>
      <c r="M3698">
        <v>0</v>
      </c>
      <c r="N3698">
        <v>0</v>
      </c>
      <c r="O3698">
        <v>15.50944142983808</v>
      </c>
      <c r="P3698">
        <v>1024971</v>
      </c>
    </row>
    <row r="3699" spans="1:16" x14ac:dyDescent="0.25">
      <c r="A3699" s="10">
        <v>43096</v>
      </c>
      <c r="B3699">
        <v>-19591</v>
      </c>
      <c r="C3699">
        <v>0</v>
      </c>
      <c r="D3699">
        <v>10037.225</v>
      </c>
      <c r="E3699">
        <v>0</v>
      </c>
      <c r="F3699">
        <v>0</v>
      </c>
      <c r="G3699">
        <v>-112.3667772102648</v>
      </c>
      <c r="H3699">
        <v>-25235.637162909999</v>
      </c>
      <c r="I3699">
        <v>0</v>
      </c>
      <c r="J3699">
        <v>0</v>
      </c>
      <c r="K3699">
        <v>67.900000000000006</v>
      </c>
      <c r="L3699">
        <v>-4480.4000000000005</v>
      </c>
      <c r="M3699">
        <v>0</v>
      </c>
      <c r="N3699">
        <v>0</v>
      </c>
      <c r="O3699">
        <v>132.27894012027031</v>
      </c>
      <c r="P3699">
        <v>1005380</v>
      </c>
    </row>
    <row r="3700" spans="1:16" x14ac:dyDescent="0.25">
      <c r="A3700" s="10">
        <v>43097</v>
      </c>
      <c r="B3700">
        <v>4574</v>
      </c>
      <c r="C3700">
        <v>0</v>
      </c>
      <c r="D3700">
        <v>0</v>
      </c>
      <c r="E3700">
        <v>0</v>
      </c>
      <c r="F3700">
        <v>0</v>
      </c>
      <c r="G3700">
        <v>-258.05652866998088</v>
      </c>
      <c r="H3700">
        <v>6056.1391825600003</v>
      </c>
      <c r="I3700">
        <v>0</v>
      </c>
      <c r="J3700">
        <v>0</v>
      </c>
      <c r="K3700">
        <v>128.6</v>
      </c>
      <c r="L3700">
        <v>-1483.3</v>
      </c>
      <c r="M3700">
        <v>0</v>
      </c>
      <c r="N3700">
        <v>0</v>
      </c>
      <c r="O3700">
        <v>130.61734610998059</v>
      </c>
      <c r="P3700">
        <v>1009954</v>
      </c>
    </row>
    <row r="3701" spans="1:16" x14ac:dyDescent="0.25">
      <c r="A3701" s="10">
        <v>43098</v>
      </c>
      <c r="B3701">
        <v>-8841</v>
      </c>
      <c r="C3701">
        <v>0</v>
      </c>
      <c r="D3701">
        <v>0</v>
      </c>
      <c r="E3701">
        <v>0</v>
      </c>
      <c r="F3701">
        <v>0</v>
      </c>
      <c r="G3701">
        <v>136.84096300972979</v>
      </c>
      <c r="H3701">
        <v>-7212.0900092600059</v>
      </c>
      <c r="I3701">
        <v>0</v>
      </c>
      <c r="J3701">
        <v>0</v>
      </c>
      <c r="K3701">
        <v>103.67112410999999</v>
      </c>
      <c r="L3701">
        <v>-1857.9</v>
      </c>
      <c r="M3701">
        <v>0</v>
      </c>
      <c r="N3701">
        <v>0</v>
      </c>
      <c r="O3701">
        <v>-11.522077859724231</v>
      </c>
      <c r="P3701">
        <v>1001113</v>
      </c>
    </row>
    <row r="3702" spans="1:16" x14ac:dyDescent="0.25">
      <c r="A3702" s="10">
        <v>43102</v>
      </c>
      <c r="B3702">
        <v>77458</v>
      </c>
      <c r="C3702">
        <v>0</v>
      </c>
      <c r="D3702">
        <v>0</v>
      </c>
      <c r="E3702">
        <v>23300</v>
      </c>
      <c r="F3702">
        <v>0</v>
      </c>
      <c r="G3702">
        <v>-1477.5497285298729</v>
      </c>
      <c r="H3702">
        <v>64570.516267310013</v>
      </c>
      <c r="I3702">
        <v>0</v>
      </c>
      <c r="J3702">
        <v>0</v>
      </c>
      <c r="K3702">
        <v>236.2</v>
      </c>
      <c r="L3702">
        <v>-9168.5999999999985</v>
      </c>
      <c r="M3702">
        <v>0</v>
      </c>
      <c r="N3702">
        <v>0</v>
      </c>
      <c r="O3702">
        <v>-2.5665387801418551</v>
      </c>
      <c r="P3702">
        <v>1078571</v>
      </c>
    </row>
    <row r="3703" spans="1:16" x14ac:dyDescent="0.25">
      <c r="A3703" s="10">
        <v>43103</v>
      </c>
      <c r="B3703">
        <v>-16314</v>
      </c>
      <c r="C3703">
        <v>0</v>
      </c>
      <c r="D3703">
        <v>0</v>
      </c>
      <c r="E3703">
        <v>0</v>
      </c>
      <c r="F3703">
        <v>0</v>
      </c>
      <c r="G3703">
        <v>-446.94626400958617</v>
      </c>
      <c r="H3703">
        <v>-4243.8895875699964</v>
      </c>
      <c r="I3703">
        <v>0</v>
      </c>
      <c r="J3703">
        <v>0</v>
      </c>
      <c r="K3703">
        <v>44.2</v>
      </c>
      <c r="L3703">
        <v>-11772.6</v>
      </c>
      <c r="M3703">
        <v>0</v>
      </c>
      <c r="N3703">
        <v>0</v>
      </c>
      <c r="O3703">
        <v>105.2358515795822</v>
      </c>
      <c r="P3703">
        <v>1062257</v>
      </c>
    </row>
    <row r="3704" spans="1:16" x14ac:dyDescent="0.25">
      <c r="A3704" s="10">
        <v>43104</v>
      </c>
      <c r="B3704">
        <v>-16895</v>
      </c>
      <c r="C3704">
        <v>0</v>
      </c>
      <c r="D3704">
        <v>0</v>
      </c>
      <c r="E3704">
        <v>0</v>
      </c>
      <c r="F3704">
        <v>0</v>
      </c>
      <c r="G3704">
        <v>110.9723229599676</v>
      </c>
      <c r="H3704">
        <v>-7753.998343579995</v>
      </c>
      <c r="I3704">
        <v>0</v>
      </c>
      <c r="J3704">
        <v>0</v>
      </c>
      <c r="K3704">
        <v>20</v>
      </c>
      <c r="L3704">
        <v>-9348.9</v>
      </c>
      <c r="M3704">
        <v>0</v>
      </c>
      <c r="N3704">
        <v>0</v>
      </c>
      <c r="O3704">
        <v>76.926020620026975</v>
      </c>
      <c r="P3704">
        <v>1045362</v>
      </c>
    </row>
    <row r="3705" spans="1:16" x14ac:dyDescent="0.25">
      <c r="A3705" s="10">
        <v>43105</v>
      </c>
      <c r="B3705">
        <v>-5631</v>
      </c>
      <c r="C3705">
        <v>0</v>
      </c>
      <c r="D3705">
        <v>0</v>
      </c>
      <c r="E3705">
        <v>0</v>
      </c>
      <c r="F3705">
        <v>0</v>
      </c>
      <c r="G3705">
        <v>-85.355442040247738</v>
      </c>
      <c r="H3705">
        <v>304.03020999</v>
      </c>
      <c r="I3705">
        <v>0</v>
      </c>
      <c r="J3705">
        <v>0</v>
      </c>
      <c r="K3705">
        <v>63.7</v>
      </c>
      <c r="L3705">
        <v>-5769.9000000000005</v>
      </c>
      <c r="M3705">
        <v>0</v>
      </c>
      <c r="N3705">
        <v>0</v>
      </c>
      <c r="O3705">
        <v>-143.47476794975151</v>
      </c>
      <c r="P3705">
        <v>1039731</v>
      </c>
    </row>
    <row r="3706" spans="1:16" x14ac:dyDescent="0.25">
      <c r="A3706" s="10">
        <v>43108</v>
      </c>
      <c r="B3706">
        <v>-13026</v>
      </c>
      <c r="C3706">
        <v>0</v>
      </c>
      <c r="D3706">
        <v>0</v>
      </c>
      <c r="E3706">
        <v>0</v>
      </c>
      <c r="F3706">
        <v>0</v>
      </c>
      <c r="G3706">
        <v>-168.40946940000671</v>
      </c>
      <c r="H3706">
        <v>-7628.3780138900038</v>
      </c>
      <c r="I3706">
        <v>0</v>
      </c>
      <c r="J3706">
        <v>0</v>
      </c>
      <c r="K3706">
        <v>17.8</v>
      </c>
      <c r="L3706">
        <v>-5139.2999999999993</v>
      </c>
      <c r="M3706">
        <v>0</v>
      </c>
      <c r="N3706">
        <v>0</v>
      </c>
      <c r="O3706">
        <v>-107.7125167099904</v>
      </c>
      <c r="P3706">
        <v>1026705</v>
      </c>
    </row>
    <row r="3707" spans="1:16" x14ac:dyDescent="0.25">
      <c r="A3707" s="10">
        <v>43109</v>
      </c>
      <c r="B3707">
        <v>-8753</v>
      </c>
      <c r="C3707">
        <v>0</v>
      </c>
      <c r="D3707">
        <v>0</v>
      </c>
      <c r="E3707">
        <v>0</v>
      </c>
      <c r="F3707">
        <v>0</v>
      </c>
      <c r="G3707">
        <v>510.97165733960679</v>
      </c>
      <c r="H3707">
        <v>-6615.6793756499974</v>
      </c>
      <c r="I3707">
        <v>0</v>
      </c>
      <c r="J3707">
        <v>-57.899999999999643</v>
      </c>
      <c r="K3707">
        <v>33.900000000000361</v>
      </c>
      <c r="L3707">
        <v>-2610.8000000000002</v>
      </c>
      <c r="M3707">
        <v>0</v>
      </c>
      <c r="N3707">
        <v>0</v>
      </c>
      <c r="O3707">
        <v>-13.49228168961017</v>
      </c>
      <c r="P3707">
        <v>1017952</v>
      </c>
    </row>
    <row r="3708" spans="1:16" x14ac:dyDescent="0.25">
      <c r="A3708" s="10">
        <v>43110</v>
      </c>
      <c r="B3708">
        <v>8835</v>
      </c>
      <c r="C3708">
        <v>0</v>
      </c>
      <c r="D3708">
        <v>0</v>
      </c>
      <c r="E3708">
        <v>0</v>
      </c>
      <c r="F3708">
        <v>0</v>
      </c>
      <c r="G3708">
        <v>85.866007250282649</v>
      </c>
      <c r="H3708">
        <v>10932.192299779999</v>
      </c>
      <c r="I3708">
        <v>0</v>
      </c>
      <c r="J3708">
        <v>0</v>
      </c>
      <c r="K3708">
        <v>63.9</v>
      </c>
      <c r="L3708">
        <v>-2117.3000000000002</v>
      </c>
      <c r="M3708">
        <v>0</v>
      </c>
      <c r="N3708">
        <v>0</v>
      </c>
      <c r="O3708">
        <v>-129.65830703028189</v>
      </c>
      <c r="P3708">
        <v>1026787</v>
      </c>
    </row>
    <row r="3709" spans="1:16" x14ac:dyDescent="0.25">
      <c r="A3709" s="10">
        <v>43111</v>
      </c>
      <c r="B3709">
        <v>6168</v>
      </c>
      <c r="C3709">
        <v>0</v>
      </c>
      <c r="D3709">
        <v>0</v>
      </c>
      <c r="E3709">
        <v>0</v>
      </c>
      <c r="F3709">
        <v>0</v>
      </c>
      <c r="G3709">
        <v>-395.53635264985189</v>
      </c>
      <c r="H3709">
        <v>12058.173687050001</v>
      </c>
      <c r="I3709">
        <v>-4009.05206</v>
      </c>
      <c r="J3709">
        <v>0</v>
      </c>
      <c r="K3709">
        <v>53.300000000000182</v>
      </c>
      <c r="L3709">
        <v>-1543.1</v>
      </c>
      <c r="M3709">
        <v>0</v>
      </c>
      <c r="N3709">
        <v>0</v>
      </c>
      <c r="O3709">
        <v>4.2147255998490429</v>
      </c>
      <c r="P3709">
        <v>1032955</v>
      </c>
    </row>
    <row r="3710" spans="1:16" x14ac:dyDescent="0.25">
      <c r="A3710" s="10">
        <v>43112</v>
      </c>
      <c r="B3710">
        <v>-5751</v>
      </c>
      <c r="C3710">
        <v>0</v>
      </c>
      <c r="D3710">
        <v>0</v>
      </c>
      <c r="E3710">
        <v>0</v>
      </c>
      <c r="F3710">
        <v>0</v>
      </c>
      <c r="G3710">
        <v>277.06687266009561</v>
      </c>
      <c r="H3710">
        <v>11842.25047907</v>
      </c>
      <c r="I3710">
        <v>-15199.579758</v>
      </c>
      <c r="J3710">
        <v>0</v>
      </c>
      <c r="K3710">
        <v>64.300000000000182</v>
      </c>
      <c r="L3710">
        <v>-2725.5</v>
      </c>
      <c r="M3710">
        <v>0</v>
      </c>
      <c r="N3710">
        <v>0</v>
      </c>
      <c r="O3710">
        <v>-9.537593730094521</v>
      </c>
      <c r="P3710">
        <v>1027204</v>
      </c>
    </row>
    <row r="3711" spans="1:16" x14ac:dyDescent="0.25">
      <c r="A3711" s="10">
        <v>43115</v>
      </c>
      <c r="B3711">
        <v>-10863</v>
      </c>
      <c r="C3711">
        <v>0</v>
      </c>
      <c r="D3711">
        <v>0</v>
      </c>
      <c r="E3711">
        <v>0</v>
      </c>
      <c r="F3711">
        <v>0</v>
      </c>
      <c r="G3711">
        <v>-801.79971105022491</v>
      </c>
      <c r="H3711">
        <v>7692.0386111099979</v>
      </c>
      <c r="I3711">
        <v>-15298.065156000001</v>
      </c>
      <c r="J3711">
        <v>0</v>
      </c>
      <c r="K3711">
        <v>54.899999999999643</v>
      </c>
      <c r="L3711">
        <v>-2439.6</v>
      </c>
      <c r="M3711">
        <v>0</v>
      </c>
      <c r="N3711">
        <v>0</v>
      </c>
      <c r="O3711">
        <v>-70.473744059768435</v>
      </c>
      <c r="P3711">
        <v>1016341</v>
      </c>
    </row>
    <row r="3712" spans="1:16" x14ac:dyDescent="0.25">
      <c r="A3712" s="10">
        <v>43116</v>
      </c>
      <c r="B3712">
        <v>-6096</v>
      </c>
      <c r="C3712">
        <v>0</v>
      </c>
      <c r="D3712">
        <v>0</v>
      </c>
      <c r="E3712">
        <v>0</v>
      </c>
      <c r="F3712">
        <v>0</v>
      </c>
      <c r="G3712">
        <v>359.63162275996177</v>
      </c>
      <c r="H3712">
        <v>-2625.4710882799991</v>
      </c>
      <c r="I3712">
        <v>-3897.6342359999981</v>
      </c>
      <c r="J3712">
        <v>0</v>
      </c>
      <c r="K3712">
        <v>68.399999999999636</v>
      </c>
      <c r="L3712">
        <v>0</v>
      </c>
      <c r="M3712">
        <v>0</v>
      </c>
      <c r="N3712">
        <v>0</v>
      </c>
      <c r="O3712">
        <v>-0.92629847996431636</v>
      </c>
      <c r="P3712">
        <v>1010245</v>
      </c>
    </row>
    <row r="3713" spans="1:16" x14ac:dyDescent="0.25">
      <c r="A3713" s="10">
        <v>43117</v>
      </c>
      <c r="B3713">
        <v>50343</v>
      </c>
      <c r="C3713">
        <v>0</v>
      </c>
      <c r="D3713">
        <v>0</v>
      </c>
      <c r="E3713">
        <v>0</v>
      </c>
      <c r="F3713">
        <v>0</v>
      </c>
      <c r="G3713">
        <v>400.68509021055218</v>
      </c>
      <c r="H3713">
        <v>390.21697572999977</v>
      </c>
      <c r="I3713">
        <v>-8953.2180000000008</v>
      </c>
      <c r="J3713">
        <v>0</v>
      </c>
      <c r="K3713">
        <v>32.899999999999643</v>
      </c>
      <c r="L3713">
        <v>58752.22</v>
      </c>
      <c r="M3713">
        <v>0</v>
      </c>
      <c r="N3713">
        <v>0</v>
      </c>
      <c r="O3713">
        <v>-279.80406594055393</v>
      </c>
      <c r="P3713">
        <v>1060588</v>
      </c>
    </row>
    <row r="3714" spans="1:16" x14ac:dyDescent="0.25">
      <c r="A3714" s="10">
        <v>43118</v>
      </c>
      <c r="B3714">
        <v>-18722</v>
      </c>
      <c r="C3714">
        <v>0</v>
      </c>
      <c r="D3714">
        <v>28337.55</v>
      </c>
      <c r="E3714">
        <v>0</v>
      </c>
      <c r="F3714">
        <v>0</v>
      </c>
      <c r="G3714">
        <v>-40.625291870176277</v>
      </c>
      <c r="H3714">
        <v>-3355.0136022800002</v>
      </c>
      <c r="I3714">
        <v>-37563.723519999992</v>
      </c>
      <c r="J3714">
        <v>0</v>
      </c>
      <c r="K3714">
        <v>13.34385262999966</v>
      </c>
      <c r="L3714">
        <v>-6459.7</v>
      </c>
      <c r="M3714">
        <v>0</v>
      </c>
      <c r="N3714">
        <v>0</v>
      </c>
      <c r="O3714">
        <v>346.16856152016561</v>
      </c>
      <c r="P3714">
        <v>1041866</v>
      </c>
    </row>
    <row r="3715" spans="1:16" x14ac:dyDescent="0.25">
      <c r="A3715" s="10">
        <v>43119</v>
      </c>
      <c r="B3715">
        <v>-8714</v>
      </c>
      <c r="C3715">
        <v>0</v>
      </c>
      <c r="D3715">
        <v>0</v>
      </c>
      <c r="E3715">
        <v>0</v>
      </c>
      <c r="F3715">
        <v>0</v>
      </c>
      <c r="G3715">
        <v>149.39651397972369</v>
      </c>
      <c r="H3715">
        <v>2080.6266983099958</v>
      </c>
      <c r="I3715">
        <v>-1929.4184789999999</v>
      </c>
      <c r="J3715">
        <v>0</v>
      </c>
      <c r="K3715">
        <v>88.647789030000098</v>
      </c>
      <c r="L3715">
        <v>-9258.7999999999993</v>
      </c>
      <c r="M3715">
        <v>0</v>
      </c>
      <c r="N3715">
        <v>0</v>
      </c>
      <c r="O3715">
        <v>155.54747768028031</v>
      </c>
      <c r="P3715">
        <v>1033152</v>
      </c>
    </row>
    <row r="3716" spans="1:16" x14ac:dyDescent="0.25">
      <c r="A3716" s="10">
        <v>43122</v>
      </c>
      <c r="B3716">
        <v>-2862</v>
      </c>
      <c r="C3716">
        <v>0</v>
      </c>
      <c r="D3716">
        <v>0</v>
      </c>
      <c r="E3716">
        <v>0</v>
      </c>
      <c r="F3716">
        <v>0</v>
      </c>
      <c r="G3716">
        <v>-53.937686779773777</v>
      </c>
      <c r="H3716">
        <v>1461.8213081899989</v>
      </c>
      <c r="I3716">
        <v>-1226.5908659999991</v>
      </c>
      <c r="J3716">
        <v>0</v>
      </c>
      <c r="K3716">
        <v>106.23484400000019</v>
      </c>
      <c r="L3716">
        <v>-3094.5</v>
      </c>
      <c r="M3716">
        <v>0</v>
      </c>
      <c r="N3716">
        <v>0</v>
      </c>
      <c r="O3716">
        <v>-55.027599410227047</v>
      </c>
      <c r="P3716">
        <v>1030290</v>
      </c>
    </row>
    <row r="3717" spans="1:16" x14ac:dyDescent="0.25">
      <c r="A3717" s="10">
        <v>43123</v>
      </c>
      <c r="B3717">
        <v>-18289</v>
      </c>
      <c r="C3717">
        <v>0</v>
      </c>
      <c r="D3717">
        <v>0</v>
      </c>
      <c r="E3717">
        <v>0</v>
      </c>
      <c r="F3717">
        <v>0</v>
      </c>
      <c r="G3717">
        <v>296.30746652970959</v>
      </c>
      <c r="H3717">
        <v>7873.6961787700002</v>
      </c>
      <c r="I3717">
        <v>-15377.649316000001</v>
      </c>
      <c r="J3717">
        <v>0</v>
      </c>
      <c r="K3717">
        <v>69.065763999999817</v>
      </c>
      <c r="L3717">
        <v>-11038.4</v>
      </c>
      <c r="M3717">
        <v>0</v>
      </c>
      <c r="N3717">
        <v>0</v>
      </c>
      <c r="O3717">
        <v>-112.0200932997119</v>
      </c>
      <c r="P3717">
        <v>1012001</v>
      </c>
    </row>
    <row r="3718" spans="1:16" x14ac:dyDescent="0.25">
      <c r="A3718" s="10">
        <v>43124</v>
      </c>
      <c r="B3718">
        <v>-10147</v>
      </c>
      <c r="C3718">
        <v>0</v>
      </c>
      <c r="D3718">
        <v>0</v>
      </c>
      <c r="E3718">
        <v>0</v>
      </c>
      <c r="F3718">
        <v>0</v>
      </c>
      <c r="G3718">
        <v>-152.55768256980161</v>
      </c>
      <c r="H3718">
        <v>-726.4292902899997</v>
      </c>
      <c r="I3718">
        <v>4625.2115999999951</v>
      </c>
      <c r="J3718">
        <v>0</v>
      </c>
      <c r="K3718">
        <v>60.281999999999996</v>
      </c>
      <c r="L3718">
        <v>-13864.3</v>
      </c>
      <c r="M3718">
        <v>0</v>
      </c>
      <c r="N3718">
        <v>0</v>
      </c>
      <c r="O3718">
        <v>-89.206627140193817</v>
      </c>
      <c r="P3718">
        <v>1001854</v>
      </c>
    </row>
    <row r="3719" spans="1:16" x14ac:dyDescent="0.25">
      <c r="A3719" s="10">
        <v>43125</v>
      </c>
      <c r="B3719">
        <v>29055</v>
      </c>
      <c r="C3719">
        <v>0</v>
      </c>
      <c r="D3719">
        <v>29288.7</v>
      </c>
      <c r="E3719">
        <v>0</v>
      </c>
      <c r="F3719">
        <v>0</v>
      </c>
      <c r="G3719">
        <v>-24.70392957012227</v>
      </c>
      <c r="H3719">
        <v>-2448.5715611600008</v>
      </c>
      <c r="I3719">
        <v>32310.841884000009</v>
      </c>
      <c r="J3719">
        <v>0</v>
      </c>
      <c r="K3719">
        <v>224.62441999999959</v>
      </c>
      <c r="L3719">
        <v>-30286.1</v>
      </c>
      <c r="M3719">
        <v>0</v>
      </c>
      <c r="N3719">
        <v>0</v>
      </c>
      <c r="O3719">
        <v>-9.7908132698896218</v>
      </c>
      <c r="P3719">
        <v>1030909</v>
      </c>
    </row>
    <row r="3720" spans="1:16" x14ac:dyDescent="0.25">
      <c r="A3720" s="10">
        <v>43126</v>
      </c>
      <c r="B3720">
        <v>-11914</v>
      </c>
      <c r="C3720">
        <v>0</v>
      </c>
      <c r="D3720">
        <v>0</v>
      </c>
      <c r="E3720">
        <v>0</v>
      </c>
      <c r="F3720">
        <v>0</v>
      </c>
      <c r="G3720">
        <v>254.56822256985109</v>
      </c>
      <c r="H3720">
        <v>1580.0917467899999</v>
      </c>
      <c r="I3720">
        <v>3652.4817570000009</v>
      </c>
      <c r="J3720">
        <v>0</v>
      </c>
      <c r="K3720">
        <v>101.9017629999996</v>
      </c>
      <c r="L3720">
        <v>-17645.7</v>
      </c>
      <c r="M3720">
        <v>0</v>
      </c>
      <c r="N3720">
        <v>0</v>
      </c>
      <c r="O3720">
        <v>142.6565106401504</v>
      </c>
      <c r="P3720">
        <v>1018995</v>
      </c>
    </row>
    <row r="3721" spans="1:16" x14ac:dyDescent="0.25">
      <c r="A3721" s="10">
        <v>43129</v>
      </c>
      <c r="B3721">
        <v>-13994</v>
      </c>
      <c r="C3721">
        <v>0</v>
      </c>
      <c r="D3721">
        <v>0</v>
      </c>
      <c r="E3721">
        <v>0</v>
      </c>
      <c r="F3721">
        <v>0</v>
      </c>
      <c r="G3721">
        <v>39.632685310101813</v>
      </c>
      <c r="H3721">
        <v>-5714.5380203800032</v>
      </c>
      <c r="I3721">
        <v>-2884.71153</v>
      </c>
      <c r="J3721">
        <v>0</v>
      </c>
      <c r="K3721">
        <v>106.9439780000004</v>
      </c>
      <c r="L3721">
        <v>-5484.7</v>
      </c>
      <c r="M3721">
        <v>0</v>
      </c>
      <c r="N3721">
        <v>0</v>
      </c>
      <c r="O3721">
        <v>-56.627112930098519</v>
      </c>
      <c r="P3721">
        <v>1005001</v>
      </c>
    </row>
    <row r="3722" spans="1:16" x14ac:dyDescent="0.25">
      <c r="A3722" s="10">
        <v>43130</v>
      </c>
      <c r="B3722">
        <v>-2047</v>
      </c>
      <c r="C3722">
        <v>0</v>
      </c>
      <c r="D3722">
        <v>0</v>
      </c>
      <c r="E3722">
        <v>0</v>
      </c>
      <c r="F3722">
        <v>0</v>
      </c>
      <c r="G3722">
        <v>-149.73738875979049</v>
      </c>
      <c r="H3722">
        <v>-4543.5839117200012</v>
      </c>
      <c r="I3722">
        <v>7400.6269119999997</v>
      </c>
      <c r="J3722">
        <v>0</v>
      </c>
      <c r="K3722">
        <v>124.5164480000002</v>
      </c>
      <c r="L3722">
        <v>-4799.7</v>
      </c>
      <c r="M3722">
        <v>0</v>
      </c>
      <c r="N3722">
        <v>0</v>
      </c>
      <c r="O3722">
        <v>-79.122059520208495</v>
      </c>
      <c r="P3722">
        <v>1002954</v>
      </c>
    </row>
    <row r="3723" spans="1:16" x14ac:dyDescent="0.25">
      <c r="A3723" s="10">
        <v>43131</v>
      </c>
      <c r="B3723">
        <v>-36865</v>
      </c>
      <c r="C3723">
        <v>0</v>
      </c>
      <c r="D3723">
        <v>0</v>
      </c>
      <c r="E3723">
        <v>0</v>
      </c>
      <c r="F3723">
        <v>0</v>
      </c>
      <c r="G3723">
        <v>-70.561079880257452</v>
      </c>
      <c r="H3723">
        <v>-25763.372619509999</v>
      </c>
      <c r="I3723">
        <v>-10558.345728000009</v>
      </c>
      <c r="J3723">
        <v>0</v>
      </c>
      <c r="K3723">
        <v>46.993600000000001</v>
      </c>
      <c r="L3723">
        <v>-444.3</v>
      </c>
      <c r="M3723">
        <v>0</v>
      </c>
      <c r="N3723">
        <v>0</v>
      </c>
      <c r="O3723">
        <v>-75.414172609732489</v>
      </c>
      <c r="P3723">
        <v>966089</v>
      </c>
    </row>
    <row r="3724" spans="1:16" x14ac:dyDescent="0.25">
      <c r="A3724" s="10">
        <v>43132</v>
      </c>
      <c r="B3724">
        <v>58931</v>
      </c>
      <c r="C3724">
        <v>0</v>
      </c>
      <c r="D3724">
        <v>19652.5</v>
      </c>
      <c r="E3724">
        <v>0</v>
      </c>
      <c r="F3724">
        <v>0</v>
      </c>
      <c r="G3724">
        <v>-357.4620790399664</v>
      </c>
      <c r="H3724">
        <v>36933.795160119938</v>
      </c>
      <c r="I3724">
        <v>5120.9767680000004</v>
      </c>
      <c r="J3724">
        <v>0</v>
      </c>
      <c r="K3724">
        <v>82.966303999999639</v>
      </c>
      <c r="L3724">
        <v>-2302.3000000000002</v>
      </c>
      <c r="M3724">
        <v>0</v>
      </c>
      <c r="N3724">
        <v>0</v>
      </c>
      <c r="O3724">
        <v>-199.47615307997191</v>
      </c>
      <c r="P3724">
        <v>1025020</v>
      </c>
    </row>
    <row r="3725" spans="1:16" x14ac:dyDescent="0.25">
      <c r="A3725" s="10">
        <v>43133</v>
      </c>
      <c r="B3725">
        <v>-1061</v>
      </c>
      <c r="C3725">
        <v>0</v>
      </c>
      <c r="D3725">
        <v>0</v>
      </c>
      <c r="E3725">
        <v>0</v>
      </c>
      <c r="F3725">
        <v>0</v>
      </c>
      <c r="G3725">
        <v>534.72008493999488</v>
      </c>
      <c r="H3725">
        <v>-950.93920853000054</v>
      </c>
      <c r="I3725">
        <v>8987.3291519999984</v>
      </c>
      <c r="J3725">
        <v>0</v>
      </c>
      <c r="K3725">
        <v>76.483519999999999</v>
      </c>
      <c r="L3725">
        <v>-9755.9</v>
      </c>
      <c r="M3725">
        <v>0</v>
      </c>
      <c r="N3725">
        <v>0</v>
      </c>
      <c r="O3725">
        <v>47.306451590007057</v>
      </c>
      <c r="P3725">
        <v>1023959</v>
      </c>
    </row>
    <row r="3726" spans="1:16" x14ac:dyDescent="0.25">
      <c r="A3726" s="10">
        <v>43136</v>
      </c>
      <c r="B3726">
        <v>9024</v>
      </c>
      <c r="C3726">
        <v>0</v>
      </c>
      <c r="D3726">
        <v>0</v>
      </c>
      <c r="E3726">
        <v>0</v>
      </c>
      <c r="F3726">
        <v>0</v>
      </c>
      <c r="G3726">
        <v>-263.53965003997439</v>
      </c>
      <c r="H3726">
        <v>1886.569015739999</v>
      </c>
      <c r="I3726">
        <v>12562.103524</v>
      </c>
      <c r="J3726">
        <v>0</v>
      </c>
      <c r="K3726">
        <v>117.5324479999996</v>
      </c>
      <c r="L3726">
        <v>-5345.5</v>
      </c>
      <c r="M3726">
        <v>0</v>
      </c>
      <c r="N3726">
        <v>0</v>
      </c>
      <c r="O3726">
        <v>66.834662299977566</v>
      </c>
      <c r="P3726">
        <v>1032983</v>
      </c>
    </row>
    <row r="3727" spans="1:16" x14ac:dyDescent="0.25">
      <c r="A3727" s="10">
        <v>43137</v>
      </c>
      <c r="B3727">
        <v>-5580</v>
      </c>
      <c r="C3727">
        <v>0</v>
      </c>
      <c r="D3727">
        <v>0</v>
      </c>
      <c r="E3727">
        <v>0</v>
      </c>
      <c r="F3727">
        <v>0</v>
      </c>
      <c r="G3727">
        <v>85.450958109861034</v>
      </c>
      <c r="H3727">
        <v>1345.1794364200009</v>
      </c>
      <c r="I3727">
        <v>-3220.676718000002</v>
      </c>
      <c r="J3727">
        <v>0</v>
      </c>
      <c r="K3727">
        <v>71.84335999999999</v>
      </c>
      <c r="L3727">
        <v>-3830.1</v>
      </c>
      <c r="M3727">
        <v>0</v>
      </c>
      <c r="N3727">
        <v>0</v>
      </c>
      <c r="O3727">
        <v>-31.697036529859911</v>
      </c>
      <c r="P3727">
        <v>1027403</v>
      </c>
    </row>
    <row r="3728" spans="1:16" x14ac:dyDescent="0.25">
      <c r="A3728" s="10">
        <v>43138</v>
      </c>
      <c r="B3728">
        <v>41786</v>
      </c>
      <c r="C3728">
        <v>0</v>
      </c>
      <c r="D3728">
        <v>39380</v>
      </c>
      <c r="E3728">
        <v>0</v>
      </c>
      <c r="F3728">
        <v>0</v>
      </c>
      <c r="G3728">
        <v>-89.760596619990963</v>
      </c>
      <c r="H3728">
        <v>-2106.0334466899999</v>
      </c>
      <c r="I3728">
        <v>6860.1388799999986</v>
      </c>
      <c r="J3728">
        <v>0</v>
      </c>
      <c r="K3728">
        <v>89.74787200000037</v>
      </c>
      <c r="L3728">
        <v>-2032.4</v>
      </c>
      <c r="M3728">
        <v>0</v>
      </c>
      <c r="N3728">
        <v>0</v>
      </c>
      <c r="O3728">
        <v>-315.69270869000758</v>
      </c>
      <c r="P3728">
        <v>1069189</v>
      </c>
    </row>
    <row r="3729" spans="1:16" x14ac:dyDescent="0.25">
      <c r="A3729" s="10">
        <v>43139</v>
      </c>
      <c r="B3729">
        <v>-13227.30000000005</v>
      </c>
      <c r="C3729">
        <v>0</v>
      </c>
      <c r="D3729">
        <v>0</v>
      </c>
      <c r="E3729">
        <v>0</v>
      </c>
      <c r="F3729">
        <v>0</v>
      </c>
      <c r="G3729">
        <v>-4026.986760229865</v>
      </c>
      <c r="H3729">
        <v>-583.40569746000074</v>
      </c>
      <c r="I3729">
        <v>-6246.2584320000024</v>
      </c>
      <c r="J3729">
        <v>-51.899999999999643</v>
      </c>
      <c r="K3729">
        <v>28.543071999999999</v>
      </c>
      <c r="L3729">
        <v>-2339.8000000000002</v>
      </c>
      <c r="M3729">
        <v>0</v>
      </c>
      <c r="N3729">
        <v>0</v>
      </c>
      <c r="O3729">
        <v>-7.4921823101787624</v>
      </c>
      <c r="P3729">
        <v>1055961.7</v>
      </c>
    </row>
    <row r="3730" spans="1:16" x14ac:dyDescent="0.25">
      <c r="A3730" s="10">
        <v>43140</v>
      </c>
      <c r="B3730">
        <v>10133.600000000089</v>
      </c>
      <c r="C3730">
        <v>0</v>
      </c>
      <c r="D3730">
        <v>0</v>
      </c>
      <c r="E3730">
        <v>0</v>
      </c>
      <c r="F3730">
        <v>0</v>
      </c>
      <c r="G3730">
        <v>4096.5226839398911</v>
      </c>
      <c r="H3730">
        <v>3296.1671553200008</v>
      </c>
      <c r="I3730">
        <v>2897.2769279999989</v>
      </c>
      <c r="J3730">
        <v>0</v>
      </c>
      <c r="K3730">
        <v>31.012671999999821</v>
      </c>
      <c r="L3730">
        <v>-149.6</v>
      </c>
      <c r="M3730">
        <v>0</v>
      </c>
      <c r="N3730">
        <v>0</v>
      </c>
      <c r="O3730">
        <v>-37.779439259798167</v>
      </c>
      <c r="P3730">
        <v>1066095.3</v>
      </c>
    </row>
    <row r="3731" spans="1:16" x14ac:dyDescent="0.25">
      <c r="A3731" s="10">
        <v>43145</v>
      </c>
      <c r="B3731">
        <v>-41657.40000000014</v>
      </c>
      <c r="C3731">
        <v>0</v>
      </c>
      <c r="D3731">
        <v>0</v>
      </c>
      <c r="E3731">
        <v>0</v>
      </c>
      <c r="F3731">
        <v>0</v>
      </c>
      <c r="G3731">
        <v>-2.2136095697242131</v>
      </c>
      <c r="H3731">
        <v>446.95485794999883</v>
      </c>
      <c r="I3731">
        <v>-32020.180341999989</v>
      </c>
      <c r="J3731">
        <v>0</v>
      </c>
      <c r="K3731">
        <v>211.08936599999959</v>
      </c>
      <c r="L3731">
        <v>-10260.799999999999</v>
      </c>
      <c r="M3731">
        <v>0</v>
      </c>
      <c r="N3731">
        <v>0</v>
      </c>
      <c r="O3731">
        <v>-32.250272380420938</v>
      </c>
      <c r="P3731">
        <v>1024437.9</v>
      </c>
    </row>
    <row r="3732" spans="1:16" x14ac:dyDescent="0.25">
      <c r="A3732" s="10">
        <v>43146</v>
      </c>
      <c r="B3732">
        <v>-5939.0999999998603</v>
      </c>
      <c r="C3732">
        <v>0</v>
      </c>
      <c r="D3732">
        <v>0</v>
      </c>
      <c r="E3732">
        <v>0</v>
      </c>
      <c r="F3732">
        <v>0</v>
      </c>
      <c r="G3732">
        <v>-94.394376440126592</v>
      </c>
      <c r="H3732">
        <v>911.85437814999932</v>
      </c>
      <c r="I3732">
        <v>-5910.9623040000006</v>
      </c>
      <c r="J3732">
        <v>0</v>
      </c>
      <c r="K3732">
        <v>67.88464000000036</v>
      </c>
      <c r="L3732">
        <v>-904.6</v>
      </c>
      <c r="M3732">
        <v>0</v>
      </c>
      <c r="N3732">
        <v>0</v>
      </c>
      <c r="O3732">
        <v>-8.8823377097327469</v>
      </c>
      <c r="P3732">
        <v>1018498.8</v>
      </c>
    </row>
    <row r="3733" spans="1:16" x14ac:dyDescent="0.25">
      <c r="A3733" s="10">
        <v>43147</v>
      </c>
      <c r="B3733">
        <v>-26260.80000000005</v>
      </c>
      <c r="C3733">
        <v>0</v>
      </c>
      <c r="D3733">
        <v>0</v>
      </c>
      <c r="E3733">
        <v>0</v>
      </c>
      <c r="F3733">
        <v>0</v>
      </c>
      <c r="G3733">
        <v>-453.22696345001827</v>
      </c>
      <c r="H3733">
        <v>673.28298152000207</v>
      </c>
      <c r="I3733">
        <v>-23408.047488</v>
      </c>
      <c r="J3733">
        <v>0</v>
      </c>
      <c r="K3733">
        <v>12.489599999999641</v>
      </c>
      <c r="L3733">
        <v>-3075.5</v>
      </c>
      <c r="M3733">
        <v>0</v>
      </c>
      <c r="N3733">
        <v>0</v>
      </c>
      <c r="O3733">
        <v>-9.7981300700332241</v>
      </c>
      <c r="P3733">
        <v>992238</v>
      </c>
    </row>
    <row r="3734" spans="1:16" x14ac:dyDescent="0.25">
      <c r="A3734" s="10">
        <v>43150</v>
      </c>
      <c r="B3734">
        <v>-7133.8000000000466</v>
      </c>
      <c r="C3734">
        <v>0</v>
      </c>
      <c r="D3734">
        <v>0</v>
      </c>
      <c r="E3734">
        <v>0</v>
      </c>
      <c r="F3734">
        <v>0</v>
      </c>
      <c r="G3734">
        <v>48.695515379927237</v>
      </c>
      <c r="H3734">
        <v>1379.2719518799991</v>
      </c>
      <c r="I3734">
        <v>-7894.880640000003</v>
      </c>
      <c r="J3734">
        <v>0</v>
      </c>
      <c r="K3734">
        <v>8.6000000000003638</v>
      </c>
      <c r="L3734">
        <v>-668.2</v>
      </c>
      <c r="M3734">
        <v>0</v>
      </c>
      <c r="N3734">
        <v>0</v>
      </c>
      <c r="O3734">
        <v>-7.2868272599696873</v>
      </c>
      <c r="P3734">
        <v>985104.2</v>
      </c>
    </row>
    <row r="3735" spans="1:16" x14ac:dyDescent="0.25">
      <c r="A3735" s="10">
        <v>43151</v>
      </c>
      <c r="B3735">
        <v>-13904.69999999995</v>
      </c>
      <c r="C3735">
        <v>0</v>
      </c>
      <c r="D3735">
        <v>0</v>
      </c>
      <c r="E3735">
        <v>0</v>
      </c>
      <c r="F3735">
        <v>0</v>
      </c>
      <c r="G3735">
        <v>38.542760100247598</v>
      </c>
      <c r="H3735">
        <v>321.80810473000201</v>
      </c>
      <c r="I3735">
        <v>-13043.715840000001</v>
      </c>
      <c r="J3735">
        <v>0</v>
      </c>
      <c r="K3735">
        <v>1.899999999999636</v>
      </c>
      <c r="L3735">
        <v>-1193.5999999999999</v>
      </c>
      <c r="M3735">
        <v>0</v>
      </c>
      <c r="N3735">
        <v>0</v>
      </c>
      <c r="O3735">
        <v>-29.635024830198379</v>
      </c>
      <c r="P3735">
        <v>971199.5</v>
      </c>
    </row>
    <row r="3736" spans="1:16" x14ac:dyDescent="0.25">
      <c r="A3736" s="10">
        <v>43152</v>
      </c>
      <c r="B3736">
        <v>90499.5</v>
      </c>
      <c r="C3736">
        <v>0</v>
      </c>
      <c r="D3736">
        <v>0</v>
      </c>
      <c r="E3736">
        <v>0</v>
      </c>
      <c r="F3736">
        <v>0</v>
      </c>
      <c r="G3736">
        <v>43.360613809968299</v>
      </c>
      <c r="H3736">
        <v>-7937.4677073900002</v>
      </c>
      <c r="I3736">
        <v>8193.3638400000054</v>
      </c>
      <c r="J3736">
        <v>0</v>
      </c>
      <c r="K3736">
        <v>329.40902399999959</v>
      </c>
      <c r="L3736">
        <v>90974.26</v>
      </c>
      <c r="M3736">
        <v>0</v>
      </c>
      <c r="N3736">
        <v>0</v>
      </c>
      <c r="O3736">
        <v>-1103.425770419967</v>
      </c>
      <c r="P3736">
        <v>1061699</v>
      </c>
    </row>
    <row r="3737" spans="1:16" x14ac:dyDescent="0.25">
      <c r="A3737" s="10">
        <v>43153</v>
      </c>
      <c r="B3737">
        <v>-33346.300000000047</v>
      </c>
      <c r="C3737">
        <v>0</v>
      </c>
      <c r="D3737">
        <v>0</v>
      </c>
      <c r="E3737">
        <v>0</v>
      </c>
      <c r="F3737">
        <v>0</v>
      </c>
      <c r="G3737">
        <v>286.60666241995239</v>
      </c>
      <c r="H3737">
        <v>-4709.8414516400007</v>
      </c>
      <c r="I3737">
        <v>-21660.925824000009</v>
      </c>
      <c r="J3737">
        <v>0</v>
      </c>
      <c r="K3737">
        <v>98.722335999999643</v>
      </c>
      <c r="L3737">
        <v>-7257.7</v>
      </c>
      <c r="M3737">
        <v>0</v>
      </c>
      <c r="N3737">
        <v>0</v>
      </c>
      <c r="O3737">
        <v>-103.1617227799929</v>
      </c>
      <c r="P3737">
        <v>1028352.7</v>
      </c>
    </row>
    <row r="3738" spans="1:16" x14ac:dyDescent="0.25">
      <c r="A3738" s="10">
        <v>43154</v>
      </c>
      <c r="B3738">
        <v>4801.1000000000931</v>
      </c>
      <c r="C3738">
        <v>0</v>
      </c>
      <c r="D3738">
        <v>39881.4</v>
      </c>
      <c r="E3738">
        <v>0</v>
      </c>
      <c r="F3738">
        <v>0</v>
      </c>
      <c r="G3738">
        <v>81.363716749824391</v>
      </c>
      <c r="H3738">
        <v>-5942.6405790600002</v>
      </c>
      <c r="I3738">
        <v>-19974.495743999989</v>
      </c>
      <c r="J3738">
        <v>0</v>
      </c>
      <c r="K3738">
        <v>132.6421120000004</v>
      </c>
      <c r="L3738">
        <v>-9555.6</v>
      </c>
      <c r="M3738">
        <v>0</v>
      </c>
      <c r="N3738">
        <v>0</v>
      </c>
      <c r="O3738">
        <v>178.43049431025361</v>
      </c>
      <c r="P3738">
        <v>1033153.8</v>
      </c>
    </row>
    <row r="3739" spans="1:16" x14ac:dyDescent="0.25">
      <c r="A3739" s="10">
        <v>43157</v>
      </c>
      <c r="B3739">
        <v>-17281.80000000005</v>
      </c>
      <c r="C3739">
        <v>0</v>
      </c>
      <c r="D3739">
        <v>0</v>
      </c>
      <c r="E3739">
        <v>0</v>
      </c>
      <c r="F3739">
        <v>0</v>
      </c>
      <c r="G3739">
        <v>-220.97386094969531</v>
      </c>
      <c r="H3739">
        <v>-6535.3736686600023</v>
      </c>
      <c r="I3739">
        <v>-6666.1247999999914</v>
      </c>
      <c r="J3739">
        <v>0</v>
      </c>
      <c r="K3739">
        <v>75.61936</v>
      </c>
      <c r="L3739">
        <v>-3704.3489264000668</v>
      </c>
      <c r="M3739">
        <v>0</v>
      </c>
      <c r="N3739">
        <v>0</v>
      </c>
      <c r="O3739">
        <v>-230.59810399029081</v>
      </c>
      <c r="P3739">
        <v>1015872</v>
      </c>
    </row>
    <row r="3740" spans="1:16" x14ac:dyDescent="0.25">
      <c r="A3740" s="10">
        <v>43158</v>
      </c>
      <c r="B3740">
        <v>-9148.0999999999767</v>
      </c>
      <c r="C3740">
        <v>0</v>
      </c>
      <c r="D3740">
        <v>0</v>
      </c>
      <c r="E3740">
        <v>0</v>
      </c>
      <c r="F3740">
        <v>0</v>
      </c>
      <c r="G3740">
        <v>390.83581352971038</v>
      </c>
      <c r="H3740">
        <v>521.76559893000012</v>
      </c>
      <c r="I3740">
        <v>-8755.5071999999927</v>
      </c>
      <c r="J3740">
        <v>0</v>
      </c>
      <c r="K3740">
        <v>84.884160000000364</v>
      </c>
      <c r="L3740">
        <v>-1304.3</v>
      </c>
      <c r="M3740">
        <v>0</v>
      </c>
      <c r="N3740">
        <v>0</v>
      </c>
      <c r="O3740">
        <v>-85.77837245969495</v>
      </c>
      <c r="P3740">
        <v>1006723.9</v>
      </c>
    </row>
    <row r="3741" spans="1:16" x14ac:dyDescent="0.25">
      <c r="A3741" s="10">
        <v>43159</v>
      </c>
      <c r="B3741">
        <v>-3804.9000000000228</v>
      </c>
      <c r="C3741">
        <v>0</v>
      </c>
      <c r="D3741">
        <v>0</v>
      </c>
      <c r="E3741">
        <v>0</v>
      </c>
      <c r="F3741">
        <v>0</v>
      </c>
      <c r="G3741">
        <v>-411.21518233015649</v>
      </c>
      <c r="H3741">
        <v>-21817.130533700001</v>
      </c>
      <c r="I3741">
        <v>19305.893375999989</v>
      </c>
      <c r="J3741">
        <v>0</v>
      </c>
      <c r="K3741">
        <v>306.27286399999957</v>
      </c>
      <c r="L3741">
        <v>-1061.0999999999999</v>
      </c>
      <c r="M3741">
        <v>0</v>
      </c>
      <c r="N3741">
        <v>0</v>
      </c>
      <c r="O3741">
        <v>-127.6205239698579</v>
      </c>
      <c r="P3741">
        <v>1002919</v>
      </c>
    </row>
    <row r="3742" spans="1:16" x14ac:dyDescent="0.25">
      <c r="A3742" s="10">
        <v>43160</v>
      </c>
      <c r="B3742">
        <v>65149</v>
      </c>
      <c r="C3742">
        <v>0</v>
      </c>
      <c r="D3742">
        <v>0</v>
      </c>
      <c r="E3742">
        <v>0</v>
      </c>
      <c r="F3742">
        <v>0</v>
      </c>
      <c r="G3742">
        <v>213.83801276041461</v>
      </c>
      <c r="H3742">
        <v>41209.970626299997</v>
      </c>
      <c r="I3742">
        <v>24234.845952</v>
      </c>
      <c r="J3742">
        <v>0</v>
      </c>
      <c r="K3742">
        <v>244.29651199999961</v>
      </c>
      <c r="L3742">
        <v>-643.1</v>
      </c>
      <c r="M3742">
        <v>0</v>
      </c>
      <c r="N3742">
        <v>0</v>
      </c>
      <c r="O3742">
        <v>-110.8511030604146</v>
      </c>
      <c r="P3742">
        <v>1068068</v>
      </c>
    </row>
    <row r="3743" spans="1:16" x14ac:dyDescent="0.25">
      <c r="A3743" s="10">
        <v>43161</v>
      </c>
      <c r="B3743">
        <v>12513.100000000089</v>
      </c>
      <c r="C3743">
        <v>0</v>
      </c>
      <c r="D3743">
        <v>0</v>
      </c>
      <c r="E3743">
        <v>0</v>
      </c>
      <c r="F3743">
        <v>0</v>
      </c>
      <c r="G3743">
        <v>-66.128067680111783</v>
      </c>
      <c r="H3743">
        <v>-2907.2065333999999</v>
      </c>
      <c r="I3743">
        <v>23652.80371199999</v>
      </c>
      <c r="J3743">
        <v>0</v>
      </c>
      <c r="K3743">
        <v>237.44636799999961</v>
      </c>
      <c r="L3743">
        <v>-8507.2000000000007</v>
      </c>
      <c r="M3743">
        <v>0</v>
      </c>
      <c r="N3743">
        <v>0</v>
      </c>
      <c r="O3743">
        <v>103.38452108021301</v>
      </c>
      <c r="P3743">
        <v>1080581.1000000001</v>
      </c>
    </row>
    <row r="3744" spans="1:16" x14ac:dyDescent="0.25">
      <c r="A3744" s="10">
        <v>43164</v>
      </c>
      <c r="B3744">
        <v>-40041.100000000093</v>
      </c>
      <c r="C3744">
        <v>-612</v>
      </c>
      <c r="D3744">
        <v>0</v>
      </c>
      <c r="E3744">
        <v>0</v>
      </c>
      <c r="F3744">
        <v>0</v>
      </c>
      <c r="G3744">
        <v>-309.51919896016148</v>
      </c>
      <c r="H3744">
        <v>-11361.64738773</v>
      </c>
      <c r="I3744">
        <v>-16332.00576</v>
      </c>
      <c r="J3744">
        <v>0</v>
      </c>
      <c r="K3744">
        <v>93.394559999999643</v>
      </c>
      <c r="L3744">
        <v>-11460.5</v>
      </c>
      <c r="M3744">
        <v>0</v>
      </c>
      <c r="N3744">
        <v>0</v>
      </c>
      <c r="O3744">
        <v>-58.822213309929069</v>
      </c>
      <c r="P3744">
        <v>1040540</v>
      </c>
    </row>
    <row r="3745" spans="1:16" x14ac:dyDescent="0.25">
      <c r="A3745" s="10">
        <v>43165</v>
      </c>
      <c r="B3745">
        <v>-3266</v>
      </c>
      <c r="C3745">
        <v>0</v>
      </c>
      <c r="D3745">
        <v>0</v>
      </c>
      <c r="E3745">
        <v>0</v>
      </c>
      <c r="F3745">
        <v>0</v>
      </c>
      <c r="G3745">
        <v>427.07815958024389</v>
      </c>
      <c r="H3745">
        <v>8572.4970802400057</v>
      </c>
      <c r="I3745">
        <v>-10969.25760000001</v>
      </c>
      <c r="J3745">
        <v>0</v>
      </c>
      <c r="K3745">
        <v>127.77696</v>
      </c>
      <c r="L3745">
        <v>-1291.5</v>
      </c>
      <c r="M3745">
        <v>0</v>
      </c>
      <c r="N3745">
        <v>0</v>
      </c>
      <c r="O3745">
        <v>-132.59459982023799</v>
      </c>
      <c r="P3745">
        <v>1037274</v>
      </c>
    </row>
    <row r="3746" spans="1:16" x14ac:dyDescent="0.25">
      <c r="A3746" s="10">
        <v>43166</v>
      </c>
      <c r="B3746">
        <v>2641.699999999953</v>
      </c>
      <c r="C3746">
        <v>-408.4</v>
      </c>
      <c r="D3746">
        <v>0</v>
      </c>
      <c r="E3746">
        <v>0</v>
      </c>
      <c r="F3746">
        <v>0</v>
      </c>
      <c r="G3746">
        <v>-35.087600360293102</v>
      </c>
      <c r="H3746">
        <v>-3501.0147151000019</v>
      </c>
      <c r="I3746">
        <v>16639.443456000012</v>
      </c>
      <c r="J3746">
        <v>0</v>
      </c>
      <c r="K3746">
        <v>183.8662400000004</v>
      </c>
      <c r="L3746">
        <v>-9972</v>
      </c>
      <c r="M3746">
        <v>0</v>
      </c>
      <c r="N3746">
        <v>0</v>
      </c>
      <c r="O3746">
        <v>-265.10738053976132</v>
      </c>
      <c r="P3746">
        <v>1039915.7</v>
      </c>
    </row>
    <row r="3747" spans="1:16" x14ac:dyDescent="0.25">
      <c r="A3747" s="10">
        <v>43167</v>
      </c>
      <c r="B3747">
        <v>2079.4000000000228</v>
      </c>
      <c r="C3747">
        <v>-2511.1624000000002</v>
      </c>
      <c r="D3747">
        <v>0</v>
      </c>
      <c r="E3747">
        <v>0</v>
      </c>
      <c r="F3747">
        <v>0</v>
      </c>
      <c r="G3747">
        <v>-19.536762419801921</v>
      </c>
      <c r="H3747">
        <v>2474.8694730600041</v>
      </c>
      <c r="I3747">
        <v>3327.092735999991</v>
      </c>
      <c r="J3747">
        <v>-48.300000000000182</v>
      </c>
      <c r="K3747">
        <v>87.04246400000018</v>
      </c>
      <c r="L3747">
        <v>-1248.9000000000001</v>
      </c>
      <c r="M3747">
        <v>0</v>
      </c>
      <c r="N3747">
        <v>0</v>
      </c>
      <c r="O3747">
        <v>18.294489359830461</v>
      </c>
      <c r="P3747">
        <v>1041995.1</v>
      </c>
    </row>
    <row r="3748" spans="1:16" x14ac:dyDescent="0.25">
      <c r="A3748" s="10">
        <v>43168</v>
      </c>
      <c r="B3748">
        <v>-2515.5999999999772</v>
      </c>
      <c r="C3748">
        <v>-4305.7579999999998</v>
      </c>
      <c r="D3748">
        <v>0</v>
      </c>
      <c r="E3748">
        <v>0</v>
      </c>
      <c r="F3748">
        <v>0</v>
      </c>
      <c r="G3748">
        <v>81.780513959570271</v>
      </c>
      <c r="H3748">
        <v>-969.26754033999896</v>
      </c>
      <c r="I3748">
        <v>9450.9730560000025</v>
      </c>
      <c r="J3748">
        <v>0</v>
      </c>
      <c r="K3748">
        <v>127.1500800000002</v>
      </c>
      <c r="L3748">
        <v>-6884.2</v>
      </c>
      <c r="M3748">
        <v>0</v>
      </c>
      <c r="N3748">
        <v>0</v>
      </c>
      <c r="O3748">
        <v>-16.278109619551291</v>
      </c>
      <c r="P3748">
        <v>1039479.5</v>
      </c>
    </row>
    <row r="3749" spans="1:16" x14ac:dyDescent="0.25">
      <c r="A3749" s="10">
        <v>43171</v>
      </c>
      <c r="B3749">
        <v>23892.399999999911</v>
      </c>
      <c r="C3749">
        <v>-2764.1597000000002</v>
      </c>
      <c r="D3749">
        <v>0</v>
      </c>
      <c r="E3749">
        <v>0</v>
      </c>
      <c r="F3749">
        <v>0</v>
      </c>
      <c r="G3749">
        <v>-144.275516229674</v>
      </c>
      <c r="H3749">
        <v>5430.3135066799987</v>
      </c>
      <c r="I3749">
        <v>22932.26201572</v>
      </c>
      <c r="J3749">
        <v>0</v>
      </c>
      <c r="K3749">
        <v>192.28880000000021</v>
      </c>
      <c r="L3749">
        <v>-1699</v>
      </c>
      <c r="M3749">
        <v>0</v>
      </c>
      <c r="N3749">
        <v>0</v>
      </c>
      <c r="O3749">
        <v>-55.029106170417798</v>
      </c>
      <c r="P3749">
        <v>1063371.8999999999</v>
      </c>
    </row>
    <row r="3750" spans="1:16" x14ac:dyDescent="0.25">
      <c r="A3750" s="10">
        <v>43172</v>
      </c>
      <c r="B3750">
        <v>-3017.0999999998598</v>
      </c>
      <c r="C3750">
        <v>0</v>
      </c>
      <c r="D3750">
        <v>0</v>
      </c>
      <c r="E3750">
        <v>0</v>
      </c>
      <c r="F3750">
        <v>0</v>
      </c>
      <c r="G3750">
        <v>-73.856274099960771</v>
      </c>
      <c r="H3750">
        <v>-27048.510089610001</v>
      </c>
      <c r="I3750">
        <v>26191.900799999999</v>
      </c>
      <c r="J3750">
        <v>0</v>
      </c>
      <c r="K3750">
        <v>184.01936000000001</v>
      </c>
      <c r="L3750">
        <v>-2278.4</v>
      </c>
      <c r="M3750">
        <v>0</v>
      </c>
      <c r="N3750">
        <v>0</v>
      </c>
      <c r="O3750">
        <v>7.7462037100947789</v>
      </c>
      <c r="P3750">
        <v>1060354.8</v>
      </c>
    </row>
    <row r="3751" spans="1:16" x14ac:dyDescent="0.25">
      <c r="A3751" s="10">
        <v>43173</v>
      </c>
      <c r="B3751">
        <v>16108.09999999986</v>
      </c>
      <c r="C3751">
        <v>0</v>
      </c>
      <c r="D3751">
        <v>0</v>
      </c>
      <c r="E3751">
        <v>0</v>
      </c>
      <c r="F3751">
        <v>0</v>
      </c>
      <c r="G3751">
        <v>-385.11052287980573</v>
      </c>
      <c r="H3751">
        <v>27804.279833619999</v>
      </c>
      <c r="I3751">
        <v>-10035.005184</v>
      </c>
      <c r="J3751">
        <v>0</v>
      </c>
      <c r="K3751">
        <v>122.3096960000004</v>
      </c>
      <c r="L3751">
        <v>-1278</v>
      </c>
      <c r="M3751">
        <v>0</v>
      </c>
      <c r="N3751">
        <v>0</v>
      </c>
      <c r="O3751">
        <v>-120.3738227403359</v>
      </c>
      <c r="P3751">
        <v>1076462.8999999999</v>
      </c>
    </row>
    <row r="3752" spans="1:16" x14ac:dyDescent="0.25">
      <c r="A3752" s="10">
        <v>43174</v>
      </c>
      <c r="B3752">
        <v>-53977.899999999907</v>
      </c>
      <c r="C3752">
        <v>0</v>
      </c>
      <c r="D3752">
        <v>0</v>
      </c>
      <c r="E3752">
        <v>0</v>
      </c>
      <c r="F3752">
        <v>0</v>
      </c>
      <c r="G3752">
        <v>192.5479182498664</v>
      </c>
      <c r="H3752">
        <v>-2939.239090030002</v>
      </c>
      <c r="I3752">
        <v>-46068.892032000011</v>
      </c>
      <c r="J3752">
        <v>0</v>
      </c>
      <c r="K3752">
        <v>66.045200000000037</v>
      </c>
      <c r="L3752">
        <v>-5114.1000000000004</v>
      </c>
      <c r="M3752">
        <v>0</v>
      </c>
      <c r="N3752">
        <v>0</v>
      </c>
      <c r="O3752">
        <v>-114.2619962197612</v>
      </c>
      <c r="P3752">
        <v>1022485</v>
      </c>
    </row>
    <row r="3753" spans="1:16" x14ac:dyDescent="0.25">
      <c r="A3753" s="10">
        <v>43175</v>
      </c>
      <c r="B3753">
        <v>-38321.900000000023</v>
      </c>
      <c r="C3753">
        <v>-8347.8644999999997</v>
      </c>
      <c r="D3753">
        <v>0</v>
      </c>
      <c r="E3753">
        <v>11600</v>
      </c>
      <c r="F3753">
        <v>0</v>
      </c>
      <c r="G3753">
        <v>-169.904076370035</v>
      </c>
      <c r="H3753">
        <v>-12703.502448130001</v>
      </c>
      <c r="I3753">
        <v>-22831.477439999991</v>
      </c>
      <c r="J3753">
        <v>0</v>
      </c>
      <c r="K3753">
        <v>73.708201340000443</v>
      </c>
      <c r="L3753">
        <v>-5909.9</v>
      </c>
      <c r="M3753">
        <v>0</v>
      </c>
      <c r="N3753">
        <v>0</v>
      </c>
      <c r="O3753">
        <v>-32.959736840006371</v>
      </c>
      <c r="P3753">
        <v>984163.1</v>
      </c>
    </row>
    <row r="3754" spans="1:16" x14ac:dyDescent="0.25">
      <c r="A3754" s="10">
        <v>43178</v>
      </c>
      <c r="B3754">
        <v>-923.09999999997672</v>
      </c>
      <c r="C3754">
        <v>-3793.8420000000001</v>
      </c>
      <c r="D3754">
        <v>0</v>
      </c>
      <c r="E3754">
        <v>0</v>
      </c>
      <c r="F3754">
        <v>0</v>
      </c>
      <c r="G3754">
        <v>249.2818384901617</v>
      </c>
      <c r="H3754">
        <v>21386.773339759999</v>
      </c>
      <c r="I3754">
        <v>-4503.4117757230124</v>
      </c>
      <c r="J3754">
        <v>0</v>
      </c>
      <c r="K3754">
        <v>96.692126323007969</v>
      </c>
      <c r="L3754">
        <v>-14123.5</v>
      </c>
      <c r="M3754">
        <v>0</v>
      </c>
      <c r="N3754">
        <v>0</v>
      </c>
      <c r="O3754">
        <v>-235.09352885013649</v>
      </c>
      <c r="P3754">
        <v>983240</v>
      </c>
    </row>
    <row r="3755" spans="1:16" x14ac:dyDescent="0.25">
      <c r="A3755" s="10">
        <v>43179</v>
      </c>
      <c r="B3755">
        <v>-20005.90000000002</v>
      </c>
      <c r="C3755">
        <v>-911.89499999999998</v>
      </c>
      <c r="D3755">
        <v>0</v>
      </c>
      <c r="E3755">
        <v>0</v>
      </c>
      <c r="F3755">
        <v>0</v>
      </c>
      <c r="G3755">
        <v>-108.1119993505217</v>
      </c>
      <c r="H3755">
        <v>-6326.742853310001</v>
      </c>
      <c r="I3755">
        <v>-12949.19615999999</v>
      </c>
      <c r="J3755">
        <v>0</v>
      </c>
      <c r="K3755">
        <v>39.104409969999658</v>
      </c>
      <c r="L3755">
        <v>0</v>
      </c>
      <c r="M3755">
        <v>0</v>
      </c>
      <c r="N3755">
        <v>0</v>
      </c>
      <c r="O3755">
        <v>250.9416026904924</v>
      </c>
      <c r="P3755">
        <v>963234.1</v>
      </c>
    </row>
    <row r="3756" spans="1:16" x14ac:dyDescent="0.25">
      <c r="A3756" s="10">
        <v>43180</v>
      </c>
      <c r="B3756">
        <v>33169.000000000116</v>
      </c>
      <c r="C3756">
        <v>-486.40449999999998</v>
      </c>
      <c r="D3756">
        <v>0</v>
      </c>
      <c r="E3756">
        <v>0</v>
      </c>
      <c r="F3756">
        <v>0</v>
      </c>
      <c r="G3756">
        <v>173.66540310031161</v>
      </c>
      <c r="H3756">
        <v>-9112.4370453600004</v>
      </c>
      <c r="I3756">
        <v>-36987.540672000003</v>
      </c>
      <c r="J3756">
        <v>0</v>
      </c>
      <c r="K3756">
        <v>154.56108163000019</v>
      </c>
      <c r="L3756">
        <v>78163.598063389902</v>
      </c>
      <c r="M3756">
        <v>0</v>
      </c>
      <c r="N3756">
        <v>0</v>
      </c>
      <c r="O3756">
        <v>1263.5576692398911</v>
      </c>
      <c r="P3756">
        <v>996403.10000000009</v>
      </c>
    </row>
    <row r="3757" spans="1:16" x14ac:dyDescent="0.25">
      <c r="A3757" s="10">
        <v>43181</v>
      </c>
      <c r="B3757">
        <v>-396.50000000011642</v>
      </c>
      <c r="C3757">
        <v>-7392.7816999999995</v>
      </c>
      <c r="D3757">
        <v>0</v>
      </c>
      <c r="E3757">
        <v>0</v>
      </c>
      <c r="F3757">
        <v>0</v>
      </c>
      <c r="G3757">
        <v>-669.29321111988065</v>
      </c>
      <c r="H3757">
        <v>591.18507247999878</v>
      </c>
      <c r="I3757">
        <v>18679.264724000011</v>
      </c>
      <c r="J3757">
        <v>0</v>
      </c>
      <c r="K3757">
        <v>304.21828614999981</v>
      </c>
      <c r="L3757">
        <v>-11984.6</v>
      </c>
      <c r="M3757">
        <v>0</v>
      </c>
      <c r="N3757">
        <v>0</v>
      </c>
      <c r="O3757">
        <v>75.506828489757027</v>
      </c>
      <c r="P3757">
        <v>996006.6</v>
      </c>
    </row>
    <row r="3758" spans="1:16" x14ac:dyDescent="0.25">
      <c r="A3758" s="10">
        <v>43182</v>
      </c>
      <c r="B3758">
        <v>7561.5999999999767</v>
      </c>
      <c r="C3758">
        <v>-2818.1774999999998</v>
      </c>
      <c r="D3758">
        <v>0</v>
      </c>
      <c r="E3758">
        <v>0</v>
      </c>
      <c r="F3758">
        <v>0</v>
      </c>
      <c r="G3758">
        <v>851.46959687004232</v>
      </c>
      <c r="H3758">
        <v>2096.3396678600038</v>
      </c>
      <c r="I3758">
        <v>11361.55872500001</v>
      </c>
      <c r="J3758">
        <v>0</v>
      </c>
      <c r="K3758">
        <v>190.90207222999979</v>
      </c>
      <c r="L3758">
        <v>-4236.8</v>
      </c>
      <c r="M3758">
        <v>0</v>
      </c>
      <c r="N3758">
        <v>0</v>
      </c>
      <c r="O3758">
        <v>116.307438039921</v>
      </c>
      <c r="P3758">
        <v>1003568.2</v>
      </c>
    </row>
    <row r="3759" spans="1:16" x14ac:dyDescent="0.25">
      <c r="A3759" s="10">
        <v>43185</v>
      </c>
      <c r="B3759">
        <v>-450.30000000004662</v>
      </c>
      <c r="C3759">
        <v>-1393.11</v>
      </c>
      <c r="D3759">
        <v>0</v>
      </c>
      <c r="E3759">
        <v>0</v>
      </c>
      <c r="F3759">
        <v>0</v>
      </c>
      <c r="G3759">
        <v>-43.218322980336183</v>
      </c>
      <c r="H3759">
        <v>2570.8195791899998</v>
      </c>
      <c r="I3759">
        <v>-977.36405701001058</v>
      </c>
      <c r="J3759">
        <v>0</v>
      </c>
      <c r="K3759">
        <v>98.596935959999584</v>
      </c>
      <c r="L3759">
        <v>-719.6</v>
      </c>
      <c r="M3759">
        <v>0</v>
      </c>
      <c r="N3759">
        <v>0</v>
      </c>
      <c r="O3759">
        <v>13.575864840300801</v>
      </c>
      <c r="P3759">
        <v>1003117.9</v>
      </c>
    </row>
    <row r="3760" spans="1:16" x14ac:dyDescent="0.25">
      <c r="A3760" s="10">
        <v>43186</v>
      </c>
      <c r="B3760">
        <v>-15943.99999999988</v>
      </c>
      <c r="C3760">
        <v>-3205.0129999999999</v>
      </c>
      <c r="D3760">
        <v>0</v>
      </c>
      <c r="E3760">
        <v>0</v>
      </c>
      <c r="F3760">
        <v>0</v>
      </c>
      <c r="G3760">
        <v>-253.35722562965569</v>
      </c>
      <c r="H3760">
        <v>-14374.831485709999</v>
      </c>
      <c r="I3760">
        <v>1852.088255999988</v>
      </c>
      <c r="J3760">
        <v>0</v>
      </c>
      <c r="K3760">
        <v>112.0273424100004</v>
      </c>
      <c r="L3760">
        <v>0</v>
      </c>
      <c r="M3760">
        <v>0</v>
      </c>
      <c r="N3760">
        <v>0</v>
      </c>
      <c r="O3760">
        <v>-74.913887070219786</v>
      </c>
      <c r="P3760">
        <v>987173.9</v>
      </c>
    </row>
    <row r="3761" spans="1:16" x14ac:dyDescent="0.25">
      <c r="A3761" s="10">
        <v>43187</v>
      </c>
      <c r="B3761">
        <v>8298.9000000000233</v>
      </c>
      <c r="C3761">
        <v>-2333.087</v>
      </c>
      <c r="D3761">
        <v>0</v>
      </c>
      <c r="E3761">
        <v>0</v>
      </c>
      <c r="F3761">
        <v>0</v>
      </c>
      <c r="G3761">
        <v>167.81706153992579</v>
      </c>
      <c r="H3761">
        <v>-5378.7781095399987</v>
      </c>
      <c r="I3761">
        <v>15525.924159259999</v>
      </c>
      <c r="J3761">
        <v>0</v>
      </c>
      <c r="K3761">
        <v>352.26299093000023</v>
      </c>
      <c r="L3761">
        <v>0</v>
      </c>
      <c r="M3761">
        <v>0</v>
      </c>
      <c r="N3761">
        <v>0</v>
      </c>
      <c r="O3761">
        <v>-35.239102189905509</v>
      </c>
      <c r="P3761">
        <v>995472.8</v>
      </c>
    </row>
    <row r="3762" spans="1:16" x14ac:dyDescent="0.25">
      <c r="A3762" s="10">
        <v>43193</v>
      </c>
      <c r="B3762">
        <v>84524.199999999953</v>
      </c>
      <c r="C3762">
        <v>0</v>
      </c>
      <c r="D3762">
        <v>0</v>
      </c>
      <c r="E3762">
        <v>0</v>
      </c>
      <c r="F3762">
        <v>0</v>
      </c>
      <c r="G3762">
        <v>-508.30326482005398</v>
      </c>
      <c r="H3762">
        <v>16808.148407469998</v>
      </c>
      <c r="I3762">
        <v>68669.392256009538</v>
      </c>
      <c r="J3762">
        <v>0</v>
      </c>
      <c r="K3762">
        <v>850.66207349046226</v>
      </c>
      <c r="L3762">
        <v>-1235.5999999999999</v>
      </c>
      <c r="M3762">
        <v>0</v>
      </c>
      <c r="N3762">
        <v>0</v>
      </c>
      <c r="O3762">
        <v>-60.0994721499912</v>
      </c>
      <c r="P3762">
        <v>1079997</v>
      </c>
    </row>
    <row r="3763" spans="1:16" x14ac:dyDescent="0.25">
      <c r="A3763" s="10">
        <v>43194</v>
      </c>
      <c r="B3763">
        <v>1296</v>
      </c>
      <c r="C3763">
        <v>-4290.8209999999999</v>
      </c>
      <c r="D3763">
        <v>0</v>
      </c>
      <c r="E3763">
        <v>0</v>
      </c>
      <c r="F3763">
        <v>0</v>
      </c>
      <c r="G3763">
        <v>619.94370100979609</v>
      </c>
      <c r="H3763">
        <v>-1975.7918474899959</v>
      </c>
      <c r="I3763">
        <v>7395.0982407398478</v>
      </c>
      <c r="J3763">
        <v>0</v>
      </c>
      <c r="K3763">
        <v>268.94338892015992</v>
      </c>
      <c r="L3763">
        <v>-683.7</v>
      </c>
      <c r="M3763">
        <v>0</v>
      </c>
      <c r="N3763">
        <v>0</v>
      </c>
      <c r="O3763">
        <v>-37.672483179807699</v>
      </c>
      <c r="P3763">
        <v>1081293</v>
      </c>
    </row>
    <row r="3764" spans="1:16" x14ac:dyDescent="0.25">
      <c r="A3764" s="10">
        <v>43195</v>
      </c>
      <c r="B3764">
        <v>-28432</v>
      </c>
      <c r="C3764">
        <v>0</v>
      </c>
      <c r="D3764">
        <v>0</v>
      </c>
      <c r="E3764">
        <v>0</v>
      </c>
      <c r="F3764">
        <v>0</v>
      </c>
      <c r="G3764">
        <v>-2156.3714137700208</v>
      </c>
      <c r="H3764">
        <v>-949.07003549000365</v>
      </c>
      <c r="I3764">
        <v>-24366.676031999999</v>
      </c>
      <c r="J3764">
        <v>0</v>
      </c>
      <c r="K3764">
        <v>12.414791010000039</v>
      </c>
      <c r="L3764">
        <v>-961.6</v>
      </c>
      <c r="M3764">
        <v>0</v>
      </c>
      <c r="N3764">
        <v>0</v>
      </c>
      <c r="O3764">
        <v>-10.697309749979469</v>
      </c>
      <c r="P3764">
        <v>1052861</v>
      </c>
    </row>
    <row r="3765" spans="1:16" x14ac:dyDescent="0.25">
      <c r="A3765" s="10">
        <v>43196</v>
      </c>
      <c r="B3765">
        <v>-16524</v>
      </c>
      <c r="C3765">
        <v>-3533.0659999999998</v>
      </c>
      <c r="D3765">
        <v>0</v>
      </c>
      <c r="E3765">
        <v>0</v>
      </c>
      <c r="F3765">
        <v>0</v>
      </c>
      <c r="G3765">
        <v>2117.7683762405468</v>
      </c>
      <c r="H3765">
        <v>3645.1948667299948</v>
      </c>
      <c r="I3765">
        <v>-16038.49728</v>
      </c>
      <c r="J3765">
        <v>0</v>
      </c>
      <c r="K3765">
        <v>12.665907370000239</v>
      </c>
      <c r="L3765">
        <v>-2619.3000000000002</v>
      </c>
      <c r="M3765">
        <v>0</v>
      </c>
      <c r="N3765">
        <v>0</v>
      </c>
      <c r="O3765">
        <v>-108.7658703405468</v>
      </c>
      <c r="P3765">
        <v>1036337</v>
      </c>
    </row>
    <row r="3766" spans="1:16" x14ac:dyDescent="0.25">
      <c r="A3766" s="10">
        <v>43199</v>
      </c>
      <c r="B3766">
        <v>-15299</v>
      </c>
      <c r="C3766">
        <v>0</v>
      </c>
      <c r="D3766">
        <v>0</v>
      </c>
      <c r="E3766">
        <v>0</v>
      </c>
      <c r="F3766">
        <v>0</v>
      </c>
      <c r="G3766">
        <v>-491.68198248036089</v>
      </c>
      <c r="H3766">
        <v>1073.5033197900009</v>
      </c>
      <c r="I3766">
        <v>-14670.499840070001</v>
      </c>
      <c r="J3766">
        <v>0</v>
      </c>
      <c r="K3766">
        <v>29.90338300999974</v>
      </c>
      <c r="L3766">
        <v>-842.83075489988551</v>
      </c>
      <c r="M3766">
        <v>0</v>
      </c>
      <c r="N3766">
        <v>0</v>
      </c>
      <c r="O3766">
        <v>-397.39412534975571</v>
      </c>
      <c r="P3766">
        <v>1021038</v>
      </c>
    </row>
    <row r="3767" spans="1:16" x14ac:dyDescent="0.25">
      <c r="A3767" s="10">
        <v>43200</v>
      </c>
      <c r="B3767">
        <v>-4328</v>
      </c>
      <c r="C3767">
        <v>0</v>
      </c>
      <c r="D3767">
        <v>0</v>
      </c>
      <c r="E3767">
        <v>0</v>
      </c>
      <c r="F3767">
        <v>0</v>
      </c>
      <c r="G3767">
        <v>493.23359437993338</v>
      </c>
      <c r="H3767">
        <v>893.75803850000011</v>
      </c>
      <c r="I3767">
        <v>-1705.384576070006</v>
      </c>
      <c r="J3767">
        <v>-44.399999999999643</v>
      </c>
      <c r="K3767">
        <v>138.21292834999991</v>
      </c>
      <c r="L3767">
        <v>-4061.6</v>
      </c>
      <c r="M3767">
        <v>0</v>
      </c>
      <c r="N3767">
        <v>0</v>
      </c>
      <c r="O3767">
        <v>-41.819985159927818</v>
      </c>
      <c r="P3767">
        <v>1016710</v>
      </c>
    </row>
    <row r="3768" spans="1:16" x14ac:dyDescent="0.25">
      <c r="A3768" s="10">
        <v>43201</v>
      </c>
      <c r="B3768">
        <v>12604</v>
      </c>
      <c r="C3768">
        <v>0</v>
      </c>
      <c r="D3768">
        <v>0</v>
      </c>
      <c r="E3768">
        <v>0</v>
      </c>
      <c r="F3768">
        <v>0</v>
      </c>
      <c r="G3768">
        <v>-313.97638175008137</v>
      </c>
      <c r="H3768">
        <v>4.0949930300012056</v>
      </c>
      <c r="I3768">
        <v>13357.46899179</v>
      </c>
      <c r="J3768">
        <v>0</v>
      </c>
      <c r="K3768">
        <v>235.69328553000011</v>
      </c>
      <c r="L3768">
        <v>-650.6</v>
      </c>
      <c r="M3768">
        <v>0</v>
      </c>
      <c r="N3768">
        <v>0</v>
      </c>
      <c r="O3768">
        <v>-28.68088859991585</v>
      </c>
      <c r="P3768">
        <v>1029314</v>
      </c>
    </row>
    <row r="3769" spans="1:16" x14ac:dyDescent="0.25">
      <c r="A3769" s="10">
        <v>43202</v>
      </c>
      <c r="B3769">
        <v>-6977</v>
      </c>
      <c r="C3769">
        <v>0</v>
      </c>
      <c r="D3769">
        <v>0</v>
      </c>
      <c r="E3769">
        <v>11600</v>
      </c>
      <c r="F3769">
        <v>0</v>
      </c>
      <c r="G3769">
        <v>136.0357741702235</v>
      </c>
      <c r="H3769">
        <v>-19817.519751979999</v>
      </c>
      <c r="I3769">
        <v>5267.5793277899938</v>
      </c>
      <c r="J3769">
        <v>0</v>
      </c>
      <c r="K3769">
        <v>135.90592735000001</v>
      </c>
      <c r="L3769">
        <v>-4283.0741439999547</v>
      </c>
      <c r="M3769">
        <v>0</v>
      </c>
      <c r="N3769">
        <v>0</v>
      </c>
      <c r="O3769">
        <v>-15.92713333026386</v>
      </c>
      <c r="P3769">
        <v>1022337</v>
      </c>
    </row>
    <row r="3770" spans="1:16" x14ac:dyDescent="0.25">
      <c r="A3770" s="10">
        <v>43203</v>
      </c>
      <c r="B3770">
        <v>-10324</v>
      </c>
      <c r="C3770">
        <v>0</v>
      </c>
      <c r="D3770">
        <v>0</v>
      </c>
      <c r="E3770">
        <v>0</v>
      </c>
      <c r="F3770">
        <v>0</v>
      </c>
      <c r="G3770">
        <v>-627.72981179009571</v>
      </c>
      <c r="H3770">
        <v>24726.40175746</v>
      </c>
      <c r="I3770">
        <v>-9826.6402566000033</v>
      </c>
      <c r="J3770">
        <v>0</v>
      </c>
      <c r="K3770">
        <v>105.4836004499999</v>
      </c>
      <c r="L3770">
        <v>-24911.852919999979</v>
      </c>
      <c r="M3770">
        <v>0</v>
      </c>
      <c r="N3770">
        <v>0</v>
      </c>
      <c r="O3770">
        <v>210.33763048007521</v>
      </c>
      <c r="P3770">
        <v>1012013</v>
      </c>
    </row>
    <row r="3771" spans="1:16" x14ac:dyDescent="0.25">
      <c r="A3771" s="10">
        <v>43206</v>
      </c>
      <c r="B3771">
        <v>-29785</v>
      </c>
      <c r="C3771">
        <v>0</v>
      </c>
      <c r="D3771">
        <v>0</v>
      </c>
      <c r="E3771">
        <v>0</v>
      </c>
      <c r="F3771">
        <v>0</v>
      </c>
      <c r="G3771">
        <v>-4340.1291095698889</v>
      </c>
      <c r="H3771">
        <v>-1056.065988320001</v>
      </c>
      <c r="I3771">
        <v>-22408.676800070749</v>
      </c>
      <c r="J3771">
        <v>0</v>
      </c>
      <c r="K3771">
        <v>94.23498525075243</v>
      </c>
      <c r="L3771">
        <v>-2055.4158103999221</v>
      </c>
      <c r="M3771">
        <v>0</v>
      </c>
      <c r="N3771">
        <v>0</v>
      </c>
      <c r="O3771">
        <v>-18.94727689019054</v>
      </c>
      <c r="P3771">
        <v>982228</v>
      </c>
    </row>
    <row r="3772" spans="1:16" x14ac:dyDescent="0.25">
      <c r="A3772" s="10">
        <v>43207</v>
      </c>
      <c r="B3772">
        <v>10459</v>
      </c>
      <c r="C3772">
        <v>0</v>
      </c>
      <c r="D3772">
        <v>0</v>
      </c>
      <c r="E3772">
        <v>0</v>
      </c>
      <c r="F3772">
        <v>0</v>
      </c>
      <c r="G3772">
        <v>853.84787239987099</v>
      </c>
      <c r="H3772">
        <v>-264.62120995999982</v>
      </c>
      <c r="I3772">
        <v>9727.4663678592478</v>
      </c>
      <c r="J3772">
        <v>0</v>
      </c>
      <c r="K3772">
        <v>142.7616187407522</v>
      </c>
      <c r="L3772">
        <v>0</v>
      </c>
      <c r="M3772">
        <v>0</v>
      </c>
      <c r="N3772">
        <v>0</v>
      </c>
      <c r="O3772">
        <v>-0.45464903987137539</v>
      </c>
      <c r="P3772">
        <v>992687</v>
      </c>
    </row>
    <row r="3773" spans="1:16" x14ac:dyDescent="0.25">
      <c r="A3773" s="10">
        <v>43208</v>
      </c>
      <c r="B3773">
        <v>65389</v>
      </c>
      <c r="C3773">
        <v>0</v>
      </c>
      <c r="D3773">
        <v>0</v>
      </c>
      <c r="E3773">
        <v>0</v>
      </c>
      <c r="F3773">
        <v>0</v>
      </c>
      <c r="G3773">
        <v>3797.1390399600932</v>
      </c>
      <c r="H3773">
        <v>-19885.624723559999</v>
      </c>
      <c r="I3773">
        <v>-32.386240072257351</v>
      </c>
      <c r="J3773">
        <v>0</v>
      </c>
      <c r="K3773">
        <v>164.3750838222559</v>
      </c>
      <c r="L3773">
        <v>82955.7</v>
      </c>
      <c r="M3773">
        <v>0</v>
      </c>
      <c r="N3773">
        <v>0</v>
      </c>
      <c r="O3773">
        <v>-1610.203160150093</v>
      </c>
      <c r="P3773">
        <v>1058076</v>
      </c>
    </row>
    <row r="3774" spans="1:16" x14ac:dyDescent="0.25">
      <c r="A3774" s="10">
        <v>43209</v>
      </c>
      <c r="B3774">
        <v>-23400</v>
      </c>
      <c r="C3774">
        <v>0</v>
      </c>
      <c r="D3774">
        <v>0</v>
      </c>
      <c r="E3774">
        <v>0</v>
      </c>
      <c r="F3774">
        <v>0</v>
      </c>
      <c r="G3774">
        <v>270.55618888973493</v>
      </c>
      <c r="H3774">
        <v>7509.856236419997</v>
      </c>
      <c r="I3774">
        <v>-24410.006656072252</v>
      </c>
      <c r="J3774">
        <v>0</v>
      </c>
      <c r="K3774">
        <v>121.26793989225619</v>
      </c>
      <c r="L3774">
        <v>-7168.1</v>
      </c>
      <c r="M3774">
        <v>0</v>
      </c>
      <c r="N3774">
        <v>0</v>
      </c>
      <c r="O3774">
        <v>276.42629087026</v>
      </c>
      <c r="P3774">
        <v>1034676</v>
      </c>
    </row>
    <row r="3775" spans="1:16" x14ac:dyDescent="0.25">
      <c r="A3775" s="10">
        <v>43210</v>
      </c>
      <c r="B3775">
        <v>-15195</v>
      </c>
      <c r="C3775">
        <v>0</v>
      </c>
      <c r="D3775">
        <v>0</v>
      </c>
      <c r="E3775">
        <v>0</v>
      </c>
      <c r="F3775">
        <v>0</v>
      </c>
      <c r="G3775">
        <v>121.2674305001823</v>
      </c>
      <c r="H3775">
        <v>4735.4100854099961</v>
      </c>
      <c r="I3775">
        <v>-14957.617023678669</v>
      </c>
      <c r="J3775">
        <v>0</v>
      </c>
      <c r="K3775">
        <v>148.54702923865571</v>
      </c>
      <c r="L3775">
        <v>-5209.3</v>
      </c>
      <c r="M3775">
        <v>0</v>
      </c>
      <c r="N3775">
        <v>0</v>
      </c>
      <c r="O3775">
        <v>-33.307521470162463</v>
      </c>
      <c r="P3775">
        <v>1019481</v>
      </c>
    </row>
    <row r="3776" spans="1:16" x14ac:dyDescent="0.25">
      <c r="A3776" s="10">
        <v>43213</v>
      </c>
      <c r="B3776">
        <v>1570</v>
      </c>
      <c r="C3776">
        <v>-4270.808</v>
      </c>
      <c r="D3776">
        <v>0</v>
      </c>
      <c r="E3776">
        <v>0</v>
      </c>
      <c r="F3776">
        <v>0</v>
      </c>
      <c r="G3776">
        <v>-630.37190417990075</v>
      </c>
      <c r="H3776">
        <v>5819.9985134299995</v>
      </c>
      <c r="I3776">
        <v>3001.8179401385132</v>
      </c>
      <c r="J3776">
        <v>0</v>
      </c>
      <c r="K3776">
        <v>227.9449705915041</v>
      </c>
      <c r="L3776">
        <v>-2549.8000000000002</v>
      </c>
      <c r="M3776">
        <v>0</v>
      </c>
      <c r="N3776">
        <v>0</v>
      </c>
      <c r="O3776">
        <v>-28.78151998011672</v>
      </c>
      <c r="P3776">
        <v>1021051</v>
      </c>
    </row>
    <row r="3777" spans="1:16" x14ac:dyDescent="0.25">
      <c r="A3777" s="10">
        <v>43214</v>
      </c>
      <c r="B3777">
        <v>-15814</v>
      </c>
      <c r="C3777">
        <v>-8620.6299999999992</v>
      </c>
      <c r="D3777">
        <v>0</v>
      </c>
      <c r="E3777">
        <v>0</v>
      </c>
      <c r="F3777">
        <v>0</v>
      </c>
      <c r="G3777">
        <v>617.81482430981339</v>
      </c>
      <c r="H3777">
        <v>3039.8776783000012</v>
      </c>
      <c r="I3777">
        <v>-10472.85463013226</v>
      </c>
      <c r="J3777">
        <v>0</v>
      </c>
      <c r="K3777">
        <v>93.01973708225637</v>
      </c>
      <c r="L3777">
        <v>-463.1</v>
      </c>
      <c r="M3777">
        <v>0</v>
      </c>
      <c r="N3777">
        <v>0</v>
      </c>
      <c r="O3777">
        <v>-8.1276095598077518</v>
      </c>
      <c r="P3777">
        <v>1005237</v>
      </c>
    </row>
    <row r="3778" spans="1:16" x14ac:dyDescent="0.25">
      <c r="A3778" s="10">
        <v>43215</v>
      </c>
      <c r="B3778">
        <v>-11565</v>
      </c>
      <c r="C3778">
        <v>-29816.642</v>
      </c>
      <c r="D3778">
        <v>0</v>
      </c>
      <c r="E3778">
        <v>0</v>
      </c>
      <c r="F3778">
        <v>0</v>
      </c>
      <c r="G3778">
        <v>157.57490808995919</v>
      </c>
      <c r="H3778">
        <v>2632.2720185099988</v>
      </c>
      <c r="I3778">
        <v>15420.738176137011</v>
      </c>
      <c r="J3778">
        <v>0</v>
      </c>
      <c r="K3778">
        <v>159.27244011300769</v>
      </c>
      <c r="L3778">
        <v>0</v>
      </c>
      <c r="M3778">
        <v>0</v>
      </c>
      <c r="N3778">
        <v>0</v>
      </c>
      <c r="O3778">
        <v>-118.2155428499711</v>
      </c>
      <c r="P3778">
        <v>993672</v>
      </c>
    </row>
    <row r="3779" spans="1:16" x14ac:dyDescent="0.25">
      <c r="A3779" s="10">
        <v>43216</v>
      </c>
      <c r="B3779">
        <v>15323</v>
      </c>
      <c r="C3779">
        <v>-17475.428100000001</v>
      </c>
      <c r="D3779">
        <v>0</v>
      </c>
      <c r="E3779">
        <v>0</v>
      </c>
      <c r="F3779">
        <v>0</v>
      </c>
      <c r="G3779">
        <v>-35.899062829663222</v>
      </c>
      <c r="H3779">
        <v>3849.74279505</v>
      </c>
      <c r="I3779">
        <v>28773.780479996989</v>
      </c>
      <c r="J3779">
        <v>0</v>
      </c>
      <c r="K3779">
        <v>230.29647324300811</v>
      </c>
      <c r="L3779">
        <v>-46.5</v>
      </c>
      <c r="M3779">
        <v>0</v>
      </c>
      <c r="N3779">
        <v>0</v>
      </c>
      <c r="O3779">
        <v>27.00741453967203</v>
      </c>
      <c r="P3779">
        <v>1008995</v>
      </c>
    </row>
    <row r="3780" spans="1:16" x14ac:dyDescent="0.25">
      <c r="A3780" s="10">
        <v>43217</v>
      </c>
      <c r="B3780">
        <v>-9636</v>
      </c>
      <c r="C3780">
        <v>-28571.8354</v>
      </c>
      <c r="D3780">
        <v>0</v>
      </c>
      <c r="E3780">
        <v>0</v>
      </c>
      <c r="F3780">
        <v>0</v>
      </c>
      <c r="G3780">
        <v>406.06234850994548</v>
      </c>
      <c r="H3780">
        <v>-8188.3347896899986</v>
      </c>
      <c r="I3780">
        <v>13218.260469923</v>
      </c>
      <c r="J3780">
        <v>0</v>
      </c>
      <c r="K3780">
        <v>212.31924101699181</v>
      </c>
      <c r="L3780">
        <v>13632.3</v>
      </c>
      <c r="M3780">
        <v>0</v>
      </c>
      <c r="N3780">
        <v>0</v>
      </c>
      <c r="O3780">
        <v>-344.77186975993902</v>
      </c>
      <c r="P3780">
        <v>999359</v>
      </c>
    </row>
    <row r="3781" spans="1:16" x14ac:dyDescent="0.25">
      <c r="A3781" s="10">
        <v>43222</v>
      </c>
      <c r="B3781">
        <v>55202</v>
      </c>
      <c r="C3781">
        <v>-10636.169</v>
      </c>
      <c r="D3781">
        <v>0</v>
      </c>
      <c r="E3781">
        <v>0</v>
      </c>
      <c r="F3781">
        <v>0</v>
      </c>
      <c r="G3781">
        <v>-229.59744595011171</v>
      </c>
      <c r="H3781">
        <v>3975.6564105799989</v>
      </c>
      <c r="I3781">
        <v>61497.728527036619</v>
      </c>
      <c r="J3781">
        <v>0</v>
      </c>
      <c r="K3781">
        <v>514.11777261737757</v>
      </c>
      <c r="L3781">
        <v>98.8</v>
      </c>
      <c r="M3781">
        <v>0</v>
      </c>
      <c r="N3781">
        <v>0</v>
      </c>
      <c r="O3781">
        <v>-18.536264283889619</v>
      </c>
      <c r="P3781">
        <v>1054561</v>
      </c>
    </row>
    <row r="3782" spans="1:16" x14ac:dyDescent="0.25">
      <c r="A3782" s="10">
        <v>43223</v>
      </c>
      <c r="B3782">
        <v>-8083</v>
      </c>
      <c r="C3782">
        <v>-9704.7224000000006</v>
      </c>
      <c r="D3782">
        <v>0</v>
      </c>
      <c r="E3782">
        <v>0</v>
      </c>
      <c r="F3782">
        <v>0</v>
      </c>
      <c r="G3782">
        <v>164.40050102007669</v>
      </c>
      <c r="H3782">
        <v>-2474.3780788899999</v>
      </c>
      <c r="I3782">
        <v>3787.555984276994</v>
      </c>
      <c r="J3782">
        <v>0</v>
      </c>
      <c r="K3782">
        <v>88.802661913008293</v>
      </c>
      <c r="L3782">
        <v>0</v>
      </c>
      <c r="M3782">
        <v>0</v>
      </c>
      <c r="N3782">
        <v>0</v>
      </c>
      <c r="O3782">
        <v>55.341331679921502</v>
      </c>
      <c r="P3782">
        <v>1046478</v>
      </c>
    </row>
    <row r="3783" spans="1:16" x14ac:dyDescent="0.25">
      <c r="A3783" s="10">
        <v>43224</v>
      </c>
      <c r="B3783">
        <v>3368</v>
      </c>
      <c r="C3783">
        <v>0</v>
      </c>
      <c r="D3783">
        <v>0</v>
      </c>
      <c r="E3783">
        <v>0</v>
      </c>
      <c r="F3783">
        <v>0</v>
      </c>
      <c r="G3783">
        <v>-946.02777742018338</v>
      </c>
      <c r="H3783">
        <v>2533.833745030006</v>
      </c>
      <c r="I3783">
        <v>3411.9882737993762</v>
      </c>
      <c r="J3783">
        <v>0</v>
      </c>
      <c r="K3783">
        <v>146.12144423062529</v>
      </c>
      <c r="L3783">
        <v>-1745.5</v>
      </c>
      <c r="M3783">
        <v>0</v>
      </c>
      <c r="N3783">
        <v>0</v>
      </c>
      <c r="O3783">
        <v>-32.41568563982382</v>
      </c>
      <c r="P3783">
        <v>1049846</v>
      </c>
    </row>
    <row r="3784" spans="1:16" x14ac:dyDescent="0.25">
      <c r="A3784" s="10">
        <v>43227</v>
      </c>
      <c r="B3784">
        <v>-28729.69999999995</v>
      </c>
      <c r="C3784">
        <v>0</v>
      </c>
      <c r="D3784">
        <v>0</v>
      </c>
      <c r="E3784">
        <v>0</v>
      </c>
      <c r="F3784">
        <v>0</v>
      </c>
      <c r="G3784">
        <v>978.06408983046208</v>
      </c>
      <c r="H3784">
        <v>-5617.0331580099992</v>
      </c>
      <c r="I3784">
        <v>-4999.3650720000014</v>
      </c>
      <c r="J3784">
        <v>0</v>
      </c>
      <c r="K3784">
        <v>17.83488449000015</v>
      </c>
      <c r="L3784">
        <v>-18951</v>
      </c>
      <c r="M3784">
        <v>0</v>
      </c>
      <c r="N3784">
        <v>0</v>
      </c>
      <c r="O3784">
        <v>-158.20074431041499</v>
      </c>
      <c r="P3784">
        <v>1021116.3</v>
      </c>
    </row>
    <row r="3785" spans="1:16" x14ac:dyDescent="0.25">
      <c r="A3785" s="10">
        <v>43228</v>
      </c>
      <c r="B3785">
        <v>-19685.30000000005</v>
      </c>
      <c r="C3785">
        <v>0</v>
      </c>
      <c r="D3785">
        <v>0</v>
      </c>
      <c r="E3785">
        <v>0</v>
      </c>
      <c r="F3785">
        <v>0</v>
      </c>
      <c r="G3785">
        <v>-702.74974289027659</v>
      </c>
      <c r="H3785">
        <v>4778.6939496199993</v>
      </c>
      <c r="I3785">
        <v>-7002.7073286300001</v>
      </c>
      <c r="J3785">
        <v>0</v>
      </c>
      <c r="K3785">
        <v>8.2344869999997172</v>
      </c>
      <c r="L3785">
        <v>-17406.295498900119</v>
      </c>
      <c r="M3785">
        <v>0</v>
      </c>
      <c r="N3785">
        <v>0</v>
      </c>
      <c r="O3785">
        <v>639.52413380034477</v>
      </c>
      <c r="P3785">
        <v>1001431</v>
      </c>
    </row>
    <row r="3786" spans="1:16" x14ac:dyDescent="0.25">
      <c r="A3786" s="10">
        <v>43229</v>
      </c>
      <c r="B3786">
        <v>624</v>
      </c>
      <c r="C3786">
        <v>0</v>
      </c>
      <c r="D3786">
        <v>0</v>
      </c>
      <c r="E3786">
        <v>0</v>
      </c>
      <c r="F3786">
        <v>0</v>
      </c>
      <c r="G3786">
        <v>560.35626566980841</v>
      </c>
      <c r="H3786">
        <v>968.19354815000042</v>
      </c>
      <c r="I3786">
        <v>3759.8158994600021</v>
      </c>
      <c r="J3786">
        <v>-41.600000000000357</v>
      </c>
      <c r="K3786">
        <v>74.252882230000282</v>
      </c>
      <c r="L3786">
        <v>-4636.7090394999832</v>
      </c>
      <c r="M3786">
        <v>0</v>
      </c>
      <c r="N3786">
        <v>0</v>
      </c>
      <c r="O3786">
        <v>-60.309556009827062</v>
      </c>
      <c r="P3786">
        <v>1002055</v>
      </c>
    </row>
    <row r="3787" spans="1:16" x14ac:dyDescent="0.25">
      <c r="A3787" s="10">
        <v>43230</v>
      </c>
      <c r="B3787">
        <v>8628</v>
      </c>
      <c r="C3787">
        <v>-3156.3182000000002</v>
      </c>
      <c r="D3787">
        <v>0</v>
      </c>
      <c r="E3787">
        <v>0</v>
      </c>
      <c r="F3787">
        <v>0</v>
      </c>
      <c r="G3787">
        <v>69.547146999914162</v>
      </c>
      <c r="H3787">
        <v>4775.0178066099998</v>
      </c>
      <c r="I3787">
        <v>10947.766895999999</v>
      </c>
      <c r="J3787">
        <v>0</v>
      </c>
      <c r="K3787">
        <v>76.023846830000451</v>
      </c>
      <c r="L3787">
        <v>-4129.7780700000003</v>
      </c>
      <c r="M3787">
        <v>0</v>
      </c>
      <c r="N3787">
        <v>0</v>
      </c>
      <c r="O3787">
        <v>45.740573560084719</v>
      </c>
      <c r="P3787">
        <v>1010683</v>
      </c>
    </row>
    <row r="3788" spans="1:16" x14ac:dyDescent="0.25">
      <c r="A3788" s="10">
        <v>43231</v>
      </c>
      <c r="B3788">
        <v>21947</v>
      </c>
      <c r="C3788">
        <v>-25431.445</v>
      </c>
      <c r="D3788">
        <v>0</v>
      </c>
      <c r="E3788">
        <v>0</v>
      </c>
      <c r="F3788">
        <v>0</v>
      </c>
      <c r="G3788">
        <v>43.755078930515417</v>
      </c>
      <c r="H3788">
        <v>-1389.914390370001</v>
      </c>
      <c r="I3788">
        <v>24192.912351999999</v>
      </c>
      <c r="J3788">
        <v>0</v>
      </c>
      <c r="K3788">
        <v>159.79612102000041</v>
      </c>
      <c r="L3788">
        <v>23410.2</v>
      </c>
      <c r="M3788">
        <v>0</v>
      </c>
      <c r="N3788">
        <v>0</v>
      </c>
      <c r="O3788">
        <v>961.69583841948554</v>
      </c>
      <c r="P3788">
        <v>1032630</v>
      </c>
    </row>
    <row r="3789" spans="1:16" x14ac:dyDescent="0.25">
      <c r="A3789" s="10">
        <v>43234</v>
      </c>
      <c r="B3789">
        <v>24696</v>
      </c>
      <c r="C3789">
        <v>-10355.6862</v>
      </c>
      <c r="D3789">
        <v>0</v>
      </c>
      <c r="E3789">
        <v>0</v>
      </c>
      <c r="F3789">
        <v>0</v>
      </c>
      <c r="G3789">
        <v>27.826759959965099</v>
      </c>
      <c r="H3789">
        <v>3935.0474952700001</v>
      </c>
      <c r="I3789">
        <v>4999.3650720000014</v>
      </c>
      <c r="J3789">
        <v>0</v>
      </c>
      <c r="K3789">
        <v>59.997727440000347</v>
      </c>
      <c r="L3789">
        <v>25236.282873600019</v>
      </c>
      <c r="M3789">
        <v>0</v>
      </c>
      <c r="N3789">
        <v>0</v>
      </c>
      <c r="O3789">
        <v>793.16627173000848</v>
      </c>
      <c r="P3789">
        <v>1057326</v>
      </c>
    </row>
    <row r="3790" spans="1:16" x14ac:dyDescent="0.25">
      <c r="A3790" s="10">
        <v>43235</v>
      </c>
      <c r="B3790">
        <v>1095</v>
      </c>
      <c r="C3790">
        <v>-19764.551100000001</v>
      </c>
      <c r="D3790">
        <v>0</v>
      </c>
      <c r="E3790">
        <v>0</v>
      </c>
      <c r="F3790">
        <v>0</v>
      </c>
      <c r="G3790">
        <v>58.543383639402244</v>
      </c>
      <c r="H3790">
        <v>1986.3409132899999</v>
      </c>
      <c r="I3790">
        <v>7002.7073286286086</v>
      </c>
      <c r="J3790">
        <v>0</v>
      </c>
      <c r="K3790">
        <v>47.86341667139218</v>
      </c>
      <c r="L3790">
        <v>12102.44753779995</v>
      </c>
      <c r="M3790">
        <v>0</v>
      </c>
      <c r="N3790">
        <v>0</v>
      </c>
      <c r="O3790">
        <v>-338.35148002935239</v>
      </c>
      <c r="P3790">
        <v>1058421</v>
      </c>
    </row>
    <row r="3791" spans="1:16" x14ac:dyDescent="0.25">
      <c r="A3791" s="10">
        <v>43236</v>
      </c>
      <c r="B3791">
        <v>30229</v>
      </c>
      <c r="C3791">
        <v>0</v>
      </c>
      <c r="D3791">
        <v>0</v>
      </c>
      <c r="E3791">
        <v>0</v>
      </c>
      <c r="F3791">
        <v>0</v>
      </c>
      <c r="G3791">
        <v>-272.6162091299193</v>
      </c>
      <c r="H3791">
        <v>-2605.7708162700001</v>
      </c>
      <c r="I3791">
        <v>7790.9536004296806</v>
      </c>
      <c r="J3791">
        <v>0</v>
      </c>
      <c r="K3791">
        <v>52.353824940320273</v>
      </c>
      <c r="L3791">
        <v>25776.649538687081</v>
      </c>
      <c r="M3791">
        <v>0</v>
      </c>
      <c r="N3791">
        <v>0</v>
      </c>
      <c r="O3791">
        <v>-512.56993865716504</v>
      </c>
      <c r="P3791">
        <v>1088650</v>
      </c>
    </row>
    <row r="3792" spans="1:16" x14ac:dyDescent="0.25">
      <c r="A3792" s="10">
        <v>43237</v>
      </c>
      <c r="B3792">
        <v>-12827</v>
      </c>
      <c r="C3792">
        <v>0</v>
      </c>
      <c r="D3792">
        <v>0</v>
      </c>
      <c r="E3792">
        <v>0</v>
      </c>
      <c r="F3792">
        <v>0</v>
      </c>
      <c r="G3792">
        <v>-78.274690689685656</v>
      </c>
      <c r="H3792">
        <v>1437.3822846699991</v>
      </c>
      <c r="I3792">
        <v>-1440.8824</v>
      </c>
      <c r="J3792">
        <v>0</v>
      </c>
      <c r="K3792">
        <v>-1.255230599999777</v>
      </c>
      <c r="L3792">
        <v>-13146.994068700011</v>
      </c>
      <c r="M3792">
        <v>0</v>
      </c>
      <c r="N3792">
        <v>0</v>
      </c>
      <c r="O3792">
        <v>403.02410531969252</v>
      </c>
      <c r="P3792">
        <v>1075823</v>
      </c>
    </row>
    <row r="3793" spans="1:16" x14ac:dyDescent="0.25">
      <c r="A3793" s="10">
        <v>43238</v>
      </c>
      <c r="B3793">
        <v>-25816.100000000089</v>
      </c>
      <c r="C3793">
        <v>0</v>
      </c>
      <c r="D3793">
        <v>0</v>
      </c>
      <c r="E3793">
        <v>11700</v>
      </c>
      <c r="F3793">
        <v>0</v>
      </c>
      <c r="G3793">
        <v>-1436.9855263902409</v>
      </c>
      <c r="H3793">
        <v>-2921.0689732800001</v>
      </c>
      <c r="I3793">
        <v>-14177.818240000001</v>
      </c>
      <c r="J3793">
        <v>0</v>
      </c>
      <c r="K3793">
        <v>-3.2826585299999351</v>
      </c>
      <c r="L3793">
        <v>-20102.28533599991</v>
      </c>
      <c r="M3793">
        <v>0</v>
      </c>
      <c r="N3793">
        <v>0</v>
      </c>
      <c r="O3793">
        <v>1125.340734200063</v>
      </c>
      <c r="P3793">
        <v>1050006.8999999999</v>
      </c>
    </row>
    <row r="3794" spans="1:16" x14ac:dyDescent="0.25">
      <c r="A3794" s="10">
        <v>43241</v>
      </c>
      <c r="B3794">
        <v>-18987.69999999995</v>
      </c>
      <c r="C3794">
        <v>0</v>
      </c>
      <c r="D3794">
        <v>0</v>
      </c>
      <c r="E3794">
        <v>0</v>
      </c>
      <c r="F3794">
        <v>0</v>
      </c>
      <c r="G3794">
        <v>354.84234459992859</v>
      </c>
      <c r="H3794">
        <v>-343.18593779000003</v>
      </c>
      <c r="I3794">
        <v>-14039.22601611</v>
      </c>
      <c r="J3794">
        <v>0</v>
      </c>
      <c r="K3794">
        <v>6.9449499000002106</v>
      </c>
      <c r="L3794">
        <v>-4829.2675063000061</v>
      </c>
      <c r="M3794">
        <v>0</v>
      </c>
      <c r="N3794">
        <v>0</v>
      </c>
      <c r="O3794">
        <v>-137.80783429987591</v>
      </c>
      <c r="P3794">
        <v>1031019.2</v>
      </c>
    </row>
    <row r="3795" spans="1:16" x14ac:dyDescent="0.25">
      <c r="A3795" s="10">
        <v>43242</v>
      </c>
      <c r="B3795">
        <v>-29265.40000000002</v>
      </c>
      <c r="C3795">
        <v>0</v>
      </c>
      <c r="D3795">
        <v>0</v>
      </c>
      <c r="E3795">
        <v>0</v>
      </c>
      <c r="F3795">
        <v>0</v>
      </c>
      <c r="G3795">
        <v>120.17765177041331</v>
      </c>
      <c r="H3795">
        <v>-3940.3033515500001</v>
      </c>
      <c r="I3795">
        <v>-17049.116784000002</v>
      </c>
      <c r="J3795">
        <v>0</v>
      </c>
      <c r="K3795">
        <v>4.1073901299996578</v>
      </c>
      <c r="L3795">
        <v>-8128.0715491999872</v>
      </c>
      <c r="M3795">
        <v>0</v>
      </c>
      <c r="N3795">
        <v>0</v>
      </c>
      <c r="O3795">
        <v>-272.19335715044912</v>
      </c>
      <c r="P3795">
        <v>1001753.8</v>
      </c>
    </row>
    <row r="3796" spans="1:16" x14ac:dyDescent="0.25">
      <c r="A3796" s="10">
        <v>43243</v>
      </c>
      <c r="B3796">
        <v>-7495.7999999999302</v>
      </c>
      <c r="C3796">
        <v>0</v>
      </c>
      <c r="D3796">
        <v>0</v>
      </c>
      <c r="E3796">
        <v>0</v>
      </c>
      <c r="F3796">
        <v>0</v>
      </c>
      <c r="G3796">
        <v>-9.2815708999295339</v>
      </c>
      <c r="H3796">
        <v>4478.1981806099993</v>
      </c>
      <c r="I3796">
        <v>-13999.41465600206</v>
      </c>
      <c r="J3796">
        <v>0</v>
      </c>
      <c r="K3796">
        <v>9.2176556320640834</v>
      </c>
      <c r="L3796">
        <v>1606.991790999891</v>
      </c>
      <c r="M3796">
        <v>0</v>
      </c>
      <c r="N3796">
        <v>0</v>
      </c>
      <c r="O3796">
        <v>418.48859966010463</v>
      </c>
      <c r="P3796">
        <v>994258</v>
      </c>
    </row>
    <row r="3797" spans="1:16" x14ac:dyDescent="0.25">
      <c r="A3797" s="10">
        <v>43244</v>
      </c>
      <c r="B3797">
        <v>-21443</v>
      </c>
      <c r="C3797">
        <v>0</v>
      </c>
      <c r="D3797">
        <v>-10881</v>
      </c>
      <c r="E3797">
        <v>0</v>
      </c>
      <c r="F3797">
        <v>0</v>
      </c>
      <c r="G3797">
        <v>45.272735309610198</v>
      </c>
      <c r="H3797">
        <v>-560.31117282000014</v>
      </c>
      <c r="I3797">
        <v>-5563.8249280500022</v>
      </c>
      <c r="J3797">
        <v>0</v>
      </c>
      <c r="K3797">
        <v>12.900391700000419</v>
      </c>
      <c r="L3797">
        <v>-4595.0058331000619</v>
      </c>
      <c r="M3797">
        <v>0</v>
      </c>
      <c r="N3797">
        <v>0</v>
      </c>
      <c r="O3797">
        <v>98.968806960454003</v>
      </c>
      <c r="P3797">
        <v>972815</v>
      </c>
    </row>
    <row r="3798" spans="1:16" x14ac:dyDescent="0.25">
      <c r="A3798" s="10">
        <v>43248</v>
      </c>
      <c r="B3798">
        <v>20195</v>
      </c>
      <c r="C3798">
        <v>0</v>
      </c>
      <c r="D3798">
        <v>0</v>
      </c>
      <c r="E3798">
        <v>0</v>
      </c>
      <c r="F3798">
        <v>0</v>
      </c>
      <c r="G3798">
        <v>-1.8076860698737389</v>
      </c>
      <c r="H3798">
        <v>207.9530213299995</v>
      </c>
      <c r="I3798">
        <v>16198.066176057941</v>
      </c>
      <c r="J3798">
        <v>0</v>
      </c>
      <c r="K3798">
        <v>227.54455515206399</v>
      </c>
      <c r="L3798">
        <v>3401.7383938000999</v>
      </c>
      <c r="M3798">
        <v>0</v>
      </c>
      <c r="N3798">
        <v>0</v>
      </c>
      <c r="O3798">
        <v>161.50553972977229</v>
      </c>
      <c r="P3798">
        <v>993010</v>
      </c>
    </row>
    <row r="3799" spans="1:16" x14ac:dyDescent="0.25">
      <c r="A3799" s="10">
        <v>43249</v>
      </c>
      <c r="B3799">
        <v>-11417</v>
      </c>
      <c r="C3799">
        <v>0</v>
      </c>
      <c r="D3799">
        <v>-31960</v>
      </c>
      <c r="E3799">
        <v>0</v>
      </c>
      <c r="F3799">
        <v>0</v>
      </c>
      <c r="G3799">
        <v>-15.38114314001821</v>
      </c>
      <c r="H3799">
        <v>-129.62881637999999</v>
      </c>
      <c r="I3799">
        <v>17049.116784000002</v>
      </c>
      <c r="J3799">
        <v>0</v>
      </c>
      <c r="K3799">
        <v>113.6261895400001</v>
      </c>
      <c r="L3799">
        <v>3557.8028130999301</v>
      </c>
      <c r="M3799">
        <v>0</v>
      </c>
      <c r="N3799">
        <v>0</v>
      </c>
      <c r="O3799">
        <v>-32.535827119911957</v>
      </c>
      <c r="P3799">
        <v>981593</v>
      </c>
    </row>
    <row r="3800" spans="1:16" x14ac:dyDescent="0.25">
      <c r="A3800" s="10">
        <v>43250</v>
      </c>
      <c r="B3800">
        <v>25779</v>
      </c>
      <c r="C3800">
        <v>0</v>
      </c>
      <c r="D3800">
        <v>0</v>
      </c>
      <c r="E3800">
        <v>0</v>
      </c>
      <c r="F3800">
        <v>0</v>
      </c>
      <c r="G3800">
        <v>-90.319792199837337</v>
      </c>
      <c r="H3800">
        <v>1558.3574668799999</v>
      </c>
      <c r="I3800">
        <v>14049.100255997941</v>
      </c>
      <c r="J3800">
        <v>0</v>
      </c>
      <c r="K3800">
        <v>96.040859302064106</v>
      </c>
      <c r="L3800">
        <v>9923.5765760000795</v>
      </c>
      <c r="M3800">
        <v>0</v>
      </c>
      <c r="N3800">
        <v>0</v>
      </c>
      <c r="O3800">
        <v>242.24463401975959</v>
      </c>
      <c r="P3800">
        <v>1007372</v>
      </c>
    </row>
    <row r="3801" spans="1:16" x14ac:dyDescent="0.25">
      <c r="A3801" s="10">
        <v>43251</v>
      </c>
      <c r="B3801">
        <v>13094</v>
      </c>
      <c r="C3801">
        <v>0</v>
      </c>
      <c r="D3801">
        <v>-12370</v>
      </c>
      <c r="E3801">
        <v>0</v>
      </c>
      <c r="F3801">
        <v>0</v>
      </c>
      <c r="G3801">
        <v>-171.6231028999573</v>
      </c>
      <c r="H3801">
        <v>-1120.2913642399999</v>
      </c>
      <c r="I3801">
        <v>6999.7073280039676</v>
      </c>
      <c r="J3801">
        <v>0</v>
      </c>
      <c r="K3801">
        <v>49.670653486031568</v>
      </c>
      <c r="L3801">
        <v>19541.870537699899</v>
      </c>
      <c r="M3801">
        <v>0</v>
      </c>
      <c r="N3801">
        <v>0</v>
      </c>
      <c r="O3801">
        <v>164.66594795005949</v>
      </c>
      <c r="P3801">
        <v>1020466</v>
      </c>
    </row>
    <row r="3802" spans="1:16" x14ac:dyDescent="0.25">
      <c r="A3802" s="10">
        <v>43252</v>
      </c>
      <c r="B3802">
        <v>18299</v>
      </c>
      <c r="C3802">
        <v>0</v>
      </c>
      <c r="D3802">
        <v>-2483</v>
      </c>
      <c r="E3802">
        <v>0</v>
      </c>
      <c r="F3802">
        <v>0</v>
      </c>
      <c r="G3802">
        <v>-169.57617085709981</v>
      </c>
      <c r="H3802">
        <v>513.89196818999972</v>
      </c>
      <c r="I3802">
        <v>0</v>
      </c>
      <c r="J3802">
        <v>0</v>
      </c>
      <c r="K3802">
        <v>2.7070128599998502</v>
      </c>
      <c r="L3802">
        <v>20620.929924100059</v>
      </c>
      <c r="M3802">
        <v>0</v>
      </c>
      <c r="N3802">
        <v>0</v>
      </c>
      <c r="O3802">
        <v>-185.95273429295511</v>
      </c>
      <c r="P3802">
        <v>1038765</v>
      </c>
    </row>
    <row r="3803" spans="1:16" x14ac:dyDescent="0.25">
      <c r="A3803" s="10">
        <v>43255</v>
      </c>
      <c r="B3803">
        <v>14963</v>
      </c>
      <c r="C3803">
        <v>0</v>
      </c>
      <c r="D3803">
        <v>-12686.25</v>
      </c>
      <c r="E3803">
        <v>11700</v>
      </c>
      <c r="F3803">
        <v>0</v>
      </c>
      <c r="G3803">
        <v>-58.529220914773873</v>
      </c>
      <c r="H3803">
        <v>-1323.4202380499989</v>
      </c>
      <c r="I3803">
        <v>12013.97808000397</v>
      </c>
      <c r="J3803">
        <v>0</v>
      </c>
      <c r="K3803">
        <v>83.51815186603163</v>
      </c>
      <c r="L3803">
        <v>5374.8452250000564</v>
      </c>
      <c r="M3803">
        <v>0</v>
      </c>
      <c r="N3803">
        <v>0</v>
      </c>
      <c r="O3803">
        <v>-141.14199790528241</v>
      </c>
      <c r="P3803">
        <v>1053728</v>
      </c>
    </row>
    <row r="3804" spans="1:16" x14ac:dyDescent="0.25">
      <c r="A3804" s="10">
        <v>43256</v>
      </c>
      <c r="B3804">
        <v>6970</v>
      </c>
      <c r="C3804">
        <v>0</v>
      </c>
      <c r="D3804">
        <v>0</v>
      </c>
      <c r="E3804">
        <v>0</v>
      </c>
      <c r="F3804">
        <v>0</v>
      </c>
      <c r="G3804">
        <v>461.48689599020207</v>
      </c>
      <c r="H3804">
        <v>-670.46439761999954</v>
      </c>
      <c r="I3804">
        <v>0</v>
      </c>
      <c r="J3804">
        <v>0</v>
      </c>
      <c r="K3804">
        <v>5.9938481999997748</v>
      </c>
      <c r="L3804">
        <v>7379.8030275000492</v>
      </c>
      <c r="M3804">
        <v>0</v>
      </c>
      <c r="N3804">
        <v>0</v>
      </c>
      <c r="O3804">
        <v>-206.8193740702516</v>
      </c>
      <c r="P3804">
        <v>1060698</v>
      </c>
    </row>
    <row r="3805" spans="1:16" x14ac:dyDescent="0.25">
      <c r="A3805" s="10">
        <v>43257</v>
      </c>
      <c r="B3805">
        <v>1468</v>
      </c>
      <c r="C3805">
        <v>0</v>
      </c>
      <c r="D3805">
        <v>0</v>
      </c>
      <c r="E3805">
        <v>0</v>
      </c>
      <c r="F3805">
        <v>0</v>
      </c>
      <c r="G3805">
        <v>-10.5567620500712</v>
      </c>
      <c r="H3805">
        <v>-448.79048772000078</v>
      </c>
      <c r="I3805">
        <v>198.74239999793599</v>
      </c>
      <c r="J3805">
        <v>0</v>
      </c>
      <c r="K3805">
        <v>5.3112504420638471</v>
      </c>
      <c r="L3805">
        <v>2073.2212600000198</v>
      </c>
      <c r="M3805">
        <v>0</v>
      </c>
      <c r="N3805">
        <v>0</v>
      </c>
      <c r="O3805">
        <v>-349.92766066994801</v>
      </c>
      <c r="P3805">
        <v>1062166</v>
      </c>
    </row>
    <row r="3806" spans="1:16" x14ac:dyDescent="0.25">
      <c r="A3806" s="10">
        <v>43258</v>
      </c>
      <c r="B3806">
        <v>1367</v>
      </c>
      <c r="C3806">
        <v>0</v>
      </c>
      <c r="D3806">
        <v>-4226.2</v>
      </c>
      <c r="E3806">
        <v>0</v>
      </c>
      <c r="F3806">
        <v>0</v>
      </c>
      <c r="G3806">
        <v>116.1770696257696</v>
      </c>
      <c r="H3806">
        <v>804.69260329000008</v>
      </c>
      <c r="I3806">
        <v>3.9680010388565279E-9</v>
      </c>
      <c r="J3806">
        <v>0</v>
      </c>
      <c r="K3806">
        <v>4.8324504460322357</v>
      </c>
      <c r="L3806">
        <v>4941.4472707000104</v>
      </c>
      <c r="M3806">
        <v>0</v>
      </c>
      <c r="N3806">
        <v>0</v>
      </c>
      <c r="O3806">
        <v>-273.94939406577998</v>
      </c>
      <c r="P3806">
        <v>1063533</v>
      </c>
    </row>
    <row r="3807" spans="1:16" x14ac:dyDescent="0.25">
      <c r="A3807" s="10">
        <v>43259</v>
      </c>
      <c r="B3807">
        <v>-35666</v>
      </c>
      <c r="C3807">
        <v>0</v>
      </c>
      <c r="D3807">
        <v>-26600</v>
      </c>
      <c r="E3807">
        <v>0</v>
      </c>
      <c r="F3807">
        <v>0</v>
      </c>
      <c r="G3807">
        <v>57.882089179257257</v>
      </c>
      <c r="H3807">
        <v>-1324.86019919</v>
      </c>
      <c r="I3807">
        <v>0</v>
      </c>
      <c r="J3807">
        <v>-40.5</v>
      </c>
      <c r="K3807">
        <v>1.2864266899996439</v>
      </c>
      <c r="L3807">
        <v>-8609.0526454000501</v>
      </c>
      <c r="M3807">
        <v>0</v>
      </c>
      <c r="N3807">
        <v>0</v>
      </c>
      <c r="O3807">
        <v>849.24432872079274</v>
      </c>
      <c r="P3807">
        <v>1027867</v>
      </c>
    </row>
    <row r="3808" spans="1:16" x14ac:dyDescent="0.25">
      <c r="A3808" s="10">
        <v>43262</v>
      </c>
      <c r="B3808">
        <v>3704</v>
      </c>
      <c r="C3808">
        <v>0</v>
      </c>
      <c r="D3808">
        <v>0</v>
      </c>
      <c r="E3808">
        <v>0</v>
      </c>
      <c r="F3808">
        <v>0</v>
      </c>
      <c r="G3808">
        <v>-108.93013826951839</v>
      </c>
      <c r="H3808">
        <v>492.18483589000061</v>
      </c>
      <c r="I3808">
        <v>0.99999921396799962</v>
      </c>
      <c r="J3808">
        <v>0</v>
      </c>
      <c r="K3808">
        <v>14.995807686031879</v>
      </c>
      <c r="L3808">
        <v>2308.4899197999621</v>
      </c>
      <c r="M3808">
        <v>0</v>
      </c>
      <c r="N3808">
        <v>0</v>
      </c>
      <c r="O3808">
        <v>996.25957567955572</v>
      </c>
      <c r="P3808">
        <v>1031571</v>
      </c>
    </row>
    <row r="3809" spans="1:16" x14ac:dyDescent="0.25">
      <c r="A3809" s="10">
        <v>43263</v>
      </c>
      <c r="B3809">
        <v>5859</v>
      </c>
      <c r="C3809">
        <v>-17944.256000000001</v>
      </c>
      <c r="D3809">
        <v>0</v>
      </c>
      <c r="E3809">
        <v>0</v>
      </c>
      <c r="F3809">
        <v>0</v>
      </c>
      <c r="G3809">
        <v>9.781868489782255</v>
      </c>
      <c r="H3809">
        <v>6028.0009671399994</v>
      </c>
      <c r="I3809">
        <v>0</v>
      </c>
      <c r="J3809">
        <v>0</v>
      </c>
      <c r="K3809">
        <v>5.2718883699999424</v>
      </c>
      <c r="L3809">
        <v>17405.28747690003</v>
      </c>
      <c r="M3809">
        <v>0</v>
      </c>
      <c r="N3809">
        <v>0</v>
      </c>
      <c r="O3809">
        <v>354.91379910018509</v>
      </c>
      <c r="P3809">
        <v>1037430</v>
      </c>
    </row>
    <row r="3810" spans="1:16" x14ac:dyDescent="0.25">
      <c r="A3810" s="10">
        <v>43264</v>
      </c>
      <c r="B3810">
        <v>515</v>
      </c>
      <c r="C3810">
        <v>-2540.2404999999999</v>
      </c>
      <c r="D3810">
        <v>-1848</v>
      </c>
      <c r="E3810">
        <v>0</v>
      </c>
      <c r="F3810">
        <v>0</v>
      </c>
      <c r="G3810">
        <v>-271.84296830230312</v>
      </c>
      <c r="H3810">
        <v>-4354.7085288999997</v>
      </c>
      <c r="I3810">
        <v>-5.8206399700111433E-7</v>
      </c>
      <c r="J3810">
        <v>0</v>
      </c>
      <c r="K3810">
        <v>1.2201800120642681</v>
      </c>
      <c r="L3810">
        <v>8729.7912464999827</v>
      </c>
      <c r="M3810">
        <v>0</v>
      </c>
      <c r="N3810">
        <v>0</v>
      </c>
      <c r="O3810">
        <v>798.78057127231921</v>
      </c>
      <c r="P3810">
        <v>1037945</v>
      </c>
    </row>
    <row r="3811" spans="1:16" x14ac:dyDescent="0.25">
      <c r="A3811" s="10">
        <v>43265</v>
      </c>
      <c r="B3811">
        <v>10121</v>
      </c>
      <c r="C3811">
        <v>0</v>
      </c>
      <c r="D3811">
        <v>-540</v>
      </c>
      <c r="E3811">
        <v>0</v>
      </c>
      <c r="F3811">
        <v>0</v>
      </c>
      <c r="G3811">
        <v>133.73151530372661</v>
      </c>
      <c r="H3811">
        <v>-577.31894256000032</v>
      </c>
      <c r="I3811">
        <v>-2.603199789064092E-8</v>
      </c>
      <c r="J3811">
        <v>0</v>
      </c>
      <c r="K3811">
        <v>4.6951573160320192</v>
      </c>
      <c r="L3811">
        <v>7978.0000480000162</v>
      </c>
      <c r="M3811">
        <v>0</v>
      </c>
      <c r="N3811">
        <v>0</v>
      </c>
      <c r="O3811">
        <v>3121.8922219662568</v>
      </c>
      <c r="P3811">
        <v>1048066</v>
      </c>
    </row>
    <row r="3812" spans="1:16" x14ac:dyDescent="0.25">
      <c r="A3812" s="10">
        <v>43266</v>
      </c>
      <c r="B3812">
        <v>7201</v>
      </c>
      <c r="C3812">
        <v>0</v>
      </c>
      <c r="D3812">
        <v>0</v>
      </c>
      <c r="E3812">
        <v>0</v>
      </c>
      <c r="F3812">
        <v>0</v>
      </c>
      <c r="G3812">
        <v>-429.46849659999089</v>
      </c>
      <c r="H3812">
        <v>837.17303185000037</v>
      </c>
      <c r="I3812">
        <v>-10.000000160000001</v>
      </c>
      <c r="J3812">
        <v>0</v>
      </c>
      <c r="K3812">
        <v>4.7115409099997123</v>
      </c>
      <c r="L3812">
        <v>3518.9782506000479</v>
      </c>
      <c r="M3812">
        <v>0</v>
      </c>
      <c r="N3812">
        <v>0</v>
      </c>
      <c r="O3812">
        <v>3279.605673399943</v>
      </c>
      <c r="P3812">
        <v>1055267</v>
      </c>
    </row>
    <row r="3813" spans="1:16" x14ac:dyDescent="0.25">
      <c r="A3813" s="10">
        <v>43269</v>
      </c>
      <c r="B3813">
        <v>-8664</v>
      </c>
      <c r="C3813">
        <v>-4811.375</v>
      </c>
      <c r="D3813">
        <v>0</v>
      </c>
      <c r="E3813">
        <v>0</v>
      </c>
      <c r="F3813">
        <v>0</v>
      </c>
      <c r="G3813">
        <v>-3894.2367399000432</v>
      </c>
      <c r="H3813">
        <v>501.9559376799989</v>
      </c>
      <c r="I3813">
        <v>4.0000008381440004</v>
      </c>
      <c r="J3813">
        <v>0</v>
      </c>
      <c r="K3813">
        <v>13.30568106185564</v>
      </c>
      <c r="L3813">
        <v>0</v>
      </c>
      <c r="M3813">
        <v>0</v>
      </c>
      <c r="N3813">
        <v>0</v>
      </c>
      <c r="O3813">
        <v>-477.64987967995557</v>
      </c>
      <c r="P3813">
        <v>1046603</v>
      </c>
    </row>
    <row r="3814" spans="1:16" x14ac:dyDescent="0.25">
      <c r="A3814" s="10">
        <v>43270</v>
      </c>
      <c r="B3814">
        <v>-8890</v>
      </c>
      <c r="C3814">
        <v>0</v>
      </c>
      <c r="D3814">
        <v>3905.538</v>
      </c>
      <c r="E3814">
        <v>0</v>
      </c>
      <c r="F3814">
        <v>0</v>
      </c>
      <c r="G3814">
        <v>4295.1771591603738</v>
      </c>
      <c r="H3814">
        <v>-602.82630015999985</v>
      </c>
      <c r="I3814">
        <v>-1290.8415</v>
      </c>
      <c r="J3814">
        <v>0</v>
      </c>
      <c r="K3814">
        <v>4.6199877600001864</v>
      </c>
      <c r="L3814">
        <v>-14213.187460000039</v>
      </c>
      <c r="M3814">
        <v>0</v>
      </c>
      <c r="N3814">
        <v>0</v>
      </c>
      <c r="O3814">
        <v>-988.47988676032935</v>
      </c>
      <c r="P3814">
        <v>1037713</v>
      </c>
    </row>
    <row r="3815" spans="1:16" x14ac:dyDescent="0.25">
      <c r="A3815" s="10">
        <v>43272</v>
      </c>
      <c r="B3815">
        <v>184097</v>
      </c>
      <c r="C3815">
        <v>0</v>
      </c>
      <c r="D3815">
        <v>0</v>
      </c>
      <c r="E3815">
        <v>0</v>
      </c>
      <c r="F3815">
        <v>0</v>
      </c>
      <c r="G3815">
        <v>-1722.9577722702161</v>
      </c>
      <c r="H3815">
        <v>-4120.0407051299999</v>
      </c>
      <c r="I3815">
        <v>-3708.5812492334671</v>
      </c>
      <c r="J3815">
        <v>0</v>
      </c>
      <c r="K3815">
        <v>11.92315478346668</v>
      </c>
      <c r="L3815">
        <v>195775.70746939999</v>
      </c>
      <c r="M3815">
        <v>0</v>
      </c>
      <c r="N3815">
        <v>0</v>
      </c>
      <c r="O3815">
        <v>-2139.0508975497869</v>
      </c>
      <c r="P3815">
        <v>1221810</v>
      </c>
    </row>
    <row r="3816" spans="1:16" x14ac:dyDescent="0.25">
      <c r="A3816" s="10">
        <v>43273</v>
      </c>
      <c r="B3816">
        <v>-71802</v>
      </c>
      <c r="C3816">
        <v>0</v>
      </c>
      <c r="D3816">
        <v>0</v>
      </c>
      <c r="E3816">
        <v>0</v>
      </c>
      <c r="F3816">
        <v>0</v>
      </c>
      <c r="G3816">
        <v>-17697.15532582032</v>
      </c>
      <c r="H3816">
        <v>-16101.21185116</v>
      </c>
      <c r="I3816">
        <v>-15755.216985002749</v>
      </c>
      <c r="J3816">
        <v>0</v>
      </c>
      <c r="K3816">
        <v>9.2902448027502977</v>
      </c>
      <c r="L3816">
        <v>-20698.070033999971</v>
      </c>
      <c r="M3816">
        <v>0</v>
      </c>
      <c r="N3816">
        <v>0</v>
      </c>
      <c r="O3816">
        <v>-1559.6360488197099</v>
      </c>
      <c r="P3816">
        <v>1150008</v>
      </c>
    </row>
    <row r="3817" spans="1:16" x14ac:dyDescent="0.25">
      <c r="A3817" s="10">
        <v>43276</v>
      </c>
      <c r="B3817">
        <v>2406</v>
      </c>
      <c r="C3817">
        <v>0</v>
      </c>
      <c r="D3817">
        <v>0</v>
      </c>
      <c r="E3817">
        <v>0</v>
      </c>
      <c r="F3817">
        <v>0</v>
      </c>
      <c r="G3817">
        <v>12429.501516200209</v>
      </c>
      <c r="H3817">
        <v>9216.6751774599943</v>
      </c>
      <c r="I3817">
        <v>-3144.6884849999992</v>
      </c>
      <c r="J3817">
        <v>0</v>
      </c>
      <c r="K3817">
        <v>71.428458329999557</v>
      </c>
      <c r="L3817">
        <v>-15197.913037199991</v>
      </c>
      <c r="M3817">
        <v>0</v>
      </c>
      <c r="N3817">
        <v>0</v>
      </c>
      <c r="O3817">
        <v>-969.00362979021691</v>
      </c>
      <c r="P3817">
        <v>1152414</v>
      </c>
    </row>
    <row r="3818" spans="1:16" x14ac:dyDescent="0.25">
      <c r="A3818" s="10">
        <v>43277</v>
      </c>
      <c r="B3818">
        <v>-65185</v>
      </c>
      <c r="C3818">
        <v>0</v>
      </c>
      <c r="D3818">
        <v>0</v>
      </c>
      <c r="E3818">
        <v>0</v>
      </c>
      <c r="F3818">
        <v>0</v>
      </c>
      <c r="G3818">
        <v>-2957.5098786196718</v>
      </c>
      <c r="H3818">
        <v>-50471.42730102998</v>
      </c>
      <c r="I3818">
        <v>-2503.2395550000001</v>
      </c>
      <c r="J3818">
        <v>0</v>
      </c>
      <c r="K3818">
        <v>23.52083699999957</v>
      </c>
      <c r="L3818">
        <v>-9709.3261232000077</v>
      </c>
      <c r="M3818">
        <v>0</v>
      </c>
      <c r="N3818">
        <v>0</v>
      </c>
      <c r="O3818">
        <v>432.98202084966022</v>
      </c>
      <c r="P3818">
        <v>1087229</v>
      </c>
    </row>
    <row r="3819" spans="1:16" x14ac:dyDescent="0.25">
      <c r="A3819" s="10">
        <v>43278</v>
      </c>
      <c r="B3819">
        <v>-35735</v>
      </c>
      <c r="C3819">
        <v>0</v>
      </c>
      <c r="D3819">
        <v>0</v>
      </c>
      <c r="E3819">
        <v>0</v>
      </c>
      <c r="F3819">
        <v>0</v>
      </c>
      <c r="G3819">
        <v>-2505.13288183023</v>
      </c>
      <c r="H3819">
        <v>-31176.131084840021</v>
      </c>
      <c r="I3819">
        <v>-992.95500000000175</v>
      </c>
      <c r="J3819">
        <v>0</v>
      </c>
      <c r="K3819">
        <v>62.624088139999913</v>
      </c>
      <c r="L3819">
        <v>-1789.684517299989</v>
      </c>
      <c r="M3819">
        <v>0</v>
      </c>
      <c r="N3819">
        <v>0</v>
      </c>
      <c r="O3819">
        <v>666.27939583023806</v>
      </c>
      <c r="P3819">
        <v>1051494</v>
      </c>
    </row>
    <row r="3820" spans="1:16" x14ac:dyDescent="0.25">
      <c r="A3820" s="10">
        <v>43279</v>
      </c>
      <c r="B3820">
        <v>-18689</v>
      </c>
      <c r="C3820">
        <v>0</v>
      </c>
      <c r="D3820">
        <v>0</v>
      </c>
      <c r="E3820">
        <v>0</v>
      </c>
      <c r="F3820">
        <v>0</v>
      </c>
      <c r="G3820">
        <v>-4168.5340729202753</v>
      </c>
      <c r="H3820">
        <v>-17533.659980750021</v>
      </c>
      <c r="I3820">
        <v>-148.94325000000029</v>
      </c>
      <c r="J3820">
        <v>0</v>
      </c>
      <c r="K3820">
        <v>121.8618607600003</v>
      </c>
      <c r="L3820">
        <v>1588.7700332000391</v>
      </c>
      <c r="M3820">
        <v>0</v>
      </c>
      <c r="N3820">
        <v>0</v>
      </c>
      <c r="O3820">
        <v>1451.5054097102541</v>
      </c>
      <c r="P3820">
        <v>1032805</v>
      </c>
    </row>
    <row r="3821" spans="1:16" x14ac:dyDescent="0.25">
      <c r="A3821" s="10">
        <v>43280</v>
      </c>
      <c r="B3821">
        <v>10827</v>
      </c>
      <c r="C3821">
        <v>-8689.7109999999993</v>
      </c>
      <c r="D3821">
        <v>0</v>
      </c>
      <c r="E3821">
        <v>0</v>
      </c>
      <c r="F3821">
        <v>0</v>
      </c>
      <c r="G3821">
        <v>-4316.9932593398444</v>
      </c>
      <c r="H3821">
        <v>9366.9749783700099</v>
      </c>
      <c r="I3821">
        <v>15755.216984997251</v>
      </c>
      <c r="J3821">
        <v>0</v>
      </c>
      <c r="K3821">
        <v>225.18503161274981</v>
      </c>
      <c r="L3821">
        <v>-3642.7978275000351</v>
      </c>
      <c r="M3821">
        <v>0</v>
      </c>
      <c r="N3821">
        <v>0</v>
      </c>
      <c r="O3821">
        <v>2129.1250918598698</v>
      </c>
      <c r="P3821">
        <v>1043632</v>
      </c>
    </row>
    <row r="3822" spans="1:16" x14ac:dyDescent="0.25">
      <c r="A3822" s="10">
        <v>43283</v>
      </c>
      <c r="B3822">
        <v>94721</v>
      </c>
      <c r="C3822">
        <v>0</v>
      </c>
      <c r="D3822">
        <v>0</v>
      </c>
      <c r="E3822">
        <v>0</v>
      </c>
      <c r="F3822">
        <v>0</v>
      </c>
      <c r="G3822">
        <v>-4334.2942794997416</v>
      </c>
      <c r="H3822">
        <v>94079.993428359987</v>
      </c>
      <c r="I3822">
        <v>3144.688485000001</v>
      </c>
      <c r="J3822">
        <v>0</v>
      </c>
      <c r="K3822">
        <v>325.04634980000048</v>
      </c>
      <c r="L3822">
        <v>350.5324364999542</v>
      </c>
      <c r="M3822">
        <v>0</v>
      </c>
      <c r="N3822">
        <v>0</v>
      </c>
      <c r="O3822">
        <v>1155.0335798398</v>
      </c>
      <c r="P3822">
        <v>1138353</v>
      </c>
    </row>
    <row r="3823" spans="1:16" x14ac:dyDescent="0.25">
      <c r="A3823" s="10">
        <v>43284</v>
      </c>
      <c r="B3823">
        <v>-43971</v>
      </c>
      <c r="C3823">
        <v>0</v>
      </c>
      <c r="D3823">
        <v>0</v>
      </c>
      <c r="E3823">
        <v>0</v>
      </c>
      <c r="F3823">
        <v>0</v>
      </c>
      <c r="G3823">
        <v>-2826.3380928202969</v>
      </c>
      <c r="H3823">
        <v>-42314.246710879997</v>
      </c>
      <c r="I3823">
        <v>3794.081055000001</v>
      </c>
      <c r="J3823">
        <v>0</v>
      </c>
      <c r="K3823">
        <v>39.045731169999833</v>
      </c>
      <c r="L3823">
        <v>-1506.6839929999551</v>
      </c>
      <c r="M3823">
        <v>0</v>
      </c>
      <c r="N3823">
        <v>0</v>
      </c>
      <c r="O3823">
        <v>-1156.8579894697521</v>
      </c>
      <c r="P3823">
        <v>1094382</v>
      </c>
    </row>
    <row r="3824" spans="1:16" x14ac:dyDescent="0.25">
      <c r="A3824" s="10">
        <v>43285</v>
      </c>
      <c r="B3824">
        <v>15722</v>
      </c>
      <c r="C3824">
        <v>0</v>
      </c>
      <c r="D3824">
        <v>0</v>
      </c>
      <c r="E3824">
        <v>0</v>
      </c>
      <c r="F3824">
        <v>0</v>
      </c>
      <c r="G3824">
        <v>12.262873479907681</v>
      </c>
      <c r="H3824">
        <v>128.01982863999729</v>
      </c>
      <c r="I3824">
        <v>992.95499999999993</v>
      </c>
      <c r="J3824">
        <v>0</v>
      </c>
      <c r="K3824">
        <v>60.157338420000023</v>
      </c>
      <c r="L3824">
        <v>14799.203644200001</v>
      </c>
      <c r="M3824">
        <v>0</v>
      </c>
      <c r="N3824">
        <v>0</v>
      </c>
      <c r="O3824">
        <v>-270.59868473990031</v>
      </c>
      <c r="P3824">
        <v>1110104</v>
      </c>
    </row>
    <row r="3825" spans="1:16" x14ac:dyDescent="0.25">
      <c r="A3825" s="10">
        <v>43286</v>
      </c>
      <c r="B3825">
        <v>43509</v>
      </c>
      <c r="C3825">
        <v>0</v>
      </c>
      <c r="D3825">
        <v>0</v>
      </c>
      <c r="E3825">
        <v>0</v>
      </c>
      <c r="F3825">
        <v>0</v>
      </c>
      <c r="G3825">
        <v>-5695.1409677500633</v>
      </c>
      <c r="H3825">
        <v>46851.066732220002</v>
      </c>
      <c r="I3825">
        <v>3872.5245</v>
      </c>
      <c r="J3825">
        <v>0</v>
      </c>
      <c r="K3825">
        <v>80.698120440000352</v>
      </c>
      <c r="L3825">
        <v>-1368.1</v>
      </c>
      <c r="M3825">
        <v>0</v>
      </c>
      <c r="N3825">
        <v>0</v>
      </c>
      <c r="O3825">
        <v>-232.04838490993859</v>
      </c>
      <c r="P3825">
        <v>1153613</v>
      </c>
    </row>
    <row r="3826" spans="1:16" x14ac:dyDescent="0.25">
      <c r="A3826" s="10">
        <v>43287</v>
      </c>
      <c r="B3826">
        <v>-38023</v>
      </c>
      <c r="C3826">
        <v>0</v>
      </c>
      <c r="D3826">
        <v>0</v>
      </c>
      <c r="E3826">
        <v>0</v>
      </c>
      <c r="F3826">
        <v>0</v>
      </c>
      <c r="G3826">
        <v>-2959.7847211797248</v>
      </c>
      <c r="H3826">
        <v>2470.4292361000021</v>
      </c>
      <c r="I3826">
        <v>-29999.156460002749</v>
      </c>
      <c r="J3826">
        <v>0</v>
      </c>
      <c r="K3826">
        <v>8.8166606227500814</v>
      </c>
      <c r="L3826">
        <v>-7110.8808250000002</v>
      </c>
      <c r="M3826">
        <v>0</v>
      </c>
      <c r="N3826">
        <v>0</v>
      </c>
      <c r="O3826">
        <v>-432.42389054028041</v>
      </c>
      <c r="P3826">
        <v>1115590</v>
      </c>
    </row>
    <row r="3827" spans="1:16" x14ac:dyDescent="0.25">
      <c r="A3827" s="10">
        <v>43291</v>
      </c>
      <c r="B3827">
        <v>-16873</v>
      </c>
      <c r="C3827">
        <v>0</v>
      </c>
      <c r="D3827">
        <v>0</v>
      </c>
      <c r="E3827">
        <v>0</v>
      </c>
      <c r="F3827">
        <v>0</v>
      </c>
      <c r="G3827">
        <v>-2711.9917375903819</v>
      </c>
      <c r="H3827">
        <v>-1751.6638861499989</v>
      </c>
      <c r="I3827">
        <v>-9999.0568499999972</v>
      </c>
      <c r="J3827">
        <v>-37.600000000000357</v>
      </c>
      <c r="K3827">
        <v>16.658849750000631</v>
      </c>
      <c r="L3827">
        <v>-764.95025650004391</v>
      </c>
      <c r="M3827">
        <v>0</v>
      </c>
      <c r="N3827">
        <v>0</v>
      </c>
      <c r="O3827">
        <v>-1624.3961195095769</v>
      </c>
      <c r="P3827">
        <v>1098717</v>
      </c>
    </row>
    <row r="3828" spans="1:16" x14ac:dyDescent="0.25">
      <c r="A3828" s="10">
        <v>43292</v>
      </c>
      <c r="B3828">
        <v>-13084</v>
      </c>
      <c r="C3828">
        <v>0</v>
      </c>
      <c r="D3828">
        <v>0</v>
      </c>
      <c r="E3828">
        <v>0</v>
      </c>
      <c r="F3828">
        <v>0</v>
      </c>
      <c r="G3828">
        <v>-2707.145690349425</v>
      </c>
      <c r="H3828">
        <v>4691.9500675899999</v>
      </c>
      <c r="I3828">
        <v>-14999.578229999999</v>
      </c>
      <c r="J3828">
        <v>0</v>
      </c>
      <c r="K3828">
        <v>6.0436415499998466</v>
      </c>
      <c r="L3828">
        <v>792.95994500000961</v>
      </c>
      <c r="M3828">
        <v>0</v>
      </c>
      <c r="N3828">
        <v>0</v>
      </c>
      <c r="O3828">
        <v>-868.22973379058374</v>
      </c>
      <c r="P3828">
        <v>1085633</v>
      </c>
    </row>
    <row r="3829" spans="1:16" x14ac:dyDescent="0.25">
      <c r="A3829" s="10">
        <v>43293</v>
      </c>
      <c r="B3829">
        <v>-14297</v>
      </c>
      <c r="C3829">
        <v>0</v>
      </c>
      <c r="D3829">
        <v>0</v>
      </c>
      <c r="E3829">
        <v>0</v>
      </c>
      <c r="F3829">
        <v>0</v>
      </c>
      <c r="G3829">
        <v>-2701.6661088302062</v>
      </c>
      <c r="H3829">
        <v>-2972.37084482</v>
      </c>
      <c r="I3829">
        <v>-14999.578229999999</v>
      </c>
      <c r="J3829">
        <v>0</v>
      </c>
      <c r="K3829">
        <v>1.635279129999617</v>
      </c>
      <c r="L3829">
        <v>6653.4</v>
      </c>
      <c r="M3829">
        <v>0</v>
      </c>
      <c r="N3829">
        <v>0</v>
      </c>
      <c r="O3829">
        <v>-278.42009547979433</v>
      </c>
      <c r="P3829">
        <v>1071336</v>
      </c>
    </row>
    <row r="3830" spans="1:16" x14ac:dyDescent="0.25">
      <c r="A3830" s="10">
        <v>43294</v>
      </c>
      <c r="B3830">
        <v>14510</v>
      </c>
      <c r="C3830">
        <v>0</v>
      </c>
      <c r="D3830">
        <v>0</v>
      </c>
      <c r="E3830">
        <v>0</v>
      </c>
      <c r="F3830">
        <v>0</v>
      </c>
      <c r="G3830">
        <v>-3163.993780480338</v>
      </c>
      <c r="H3830">
        <v>3352.97264107</v>
      </c>
      <c r="I3830">
        <v>15009.578230157251</v>
      </c>
      <c r="J3830">
        <v>0</v>
      </c>
      <c r="K3830">
        <v>218.99406216275051</v>
      </c>
      <c r="L3830">
        <v>-799.32008390000556</v>
      </c>
      <c r="M3830">
        <v>0</v>
      </c>
      <c r="N3830">
        <v>0</v>
      </c>
      <c r="O3830">
        <v>-108.2310690096535</v>
      </c>
      <c r="P3830">
        <v>1085846</v>
      </c>
    </row>
    <row r="3831" spans="1:16" x14ac:dyDescent="0.25">
      <c r="A3831" s="10">
        <v>43297</v>
      </c>
      <c r="B3831">
        <v>-22034</v>
      </c>
      <c r="C3831">
        <v>0</v>
      </c>
      <c r="D3831">
        <v>0</v>
      </c>
      <c r="E3831">
        <v>0</v>
      </c>
      <c r="F3831">
        <v>0</v>
      </c>
      <c r="G3831">
        <v>-2370.5438277694848</v>
      </c>
      <c r="H3831">
        <v>-4425.7647134299996</v>
      </c>
      <c r="I3831">
        <v>-14999.578229999999</v>
      </c>
      <c r="J3831">
        <v>0</v>
      </c>
      <c r="K3831">
        <v>5.2117565799999284</v>
      </c>
      <c r="L3831">
        <v>-22.49269999994431</v>
      </c>
      <c r="M3831">
        <v>0</v>
      </c>
      <c r="N3831">
        <v>0</v>
      </c>
      <c r="O3831">
        <v>-220.83228538057261</v>
      </c>
      <c r="P3831">
        <v>1063812</v>
      </c>
    </row>
    <row r="3832" spans="1:16" x14ac:dyDescent="0.25">
      <c r="A3832" s="10">
        <v>43298</v>
      </c>
      <c r="B3832">
        <v>1903</v>
      </c>
      <c r="C3832">
        <v>0</v>
      </c>
      <c r="D3832">
        <v>0</v>
      </c>
      <c r="E3832">
        <v>0</v>
      </c>
      <c r="F3832">
        <v>0</v>
      </c>
      <c r="G3832">
        <v>-3421.759472090464</v>
      </c>
      <c r="H3832">
        <v>5005.1698270700017</v>
      </c>
      <c r="I3832">
        <v>0</v>
      </c>
      <c r="J3832">
        <v>0</v>
      </c>
      <c r="K3832">
        <v>76.829288769999891</v>
      </c>
      <c r="L3832">
        <v>0</v>
      </c>
      <c r="M3832">
        <v>0</v>
      </c>
      <c r="N3832">
        <v>0</v>
      </c>
      <c r="O3832">
        <v>242.76035625046219</v>
      </c>
      <c r="P3832">
        <v>1065715</v>
      </c>
    </row>
    <row r="3833" spans="1:16" x14ac:dyDescent="0.25">
      <c r="A3833" s="10">
        <v>43299</v>
      </c>
      <c r="B3833">
        <v>151847</v>
      </c>
      <c r="C3833">
        <v>0</v>
      </c>
      <c r="D3833">
        <v>0</v>
      </c>
      <c r="E3833">
        <v>0</v>
      </c>
      <c r="F3833">
        <v>0</v>
      </c>
      <c r="G3833">
        <v>-2554.1264428898462</v>
      </c>
      <c r="H3833">
        <v>-6392.9653191600009</v>
      </c>
      <c r="I3833">
        <v>-496.47750000000809</v>
      </c>
      <c r="J3833">
        <v>0</v>
      </c>
      <c r="K3833">
        <v>107.53600601000019</v>
      </c>
      <c r="L3833">
        <v>164156.5281511998</v>
      </c>
      <c r="M3833">
        <v>0</v>
      </c>
      <c r="N3833">
        <v>0</v>
      </c>
      <c r="O3833">
        <v>-2973.4948951599772</v>
      </c>
      <c r="P3833">
        <v>1217562</v>
      </c>
    </row>
    <row r="3834" spans="1:16" x14ac:dyDescent="0.25">
      <c r="A3834" s="10">
        <v>43300</v>
      </c>
      <c r="B3834">
        <v>-22384</v>
      </c>
      <c r="C3834">
        <v>0</v>
      </c>
      <c r="D3834">
        <v>0</v>
      </c>
      <c r="E3834">
        <v>0</v>
      </c>
      <c r="F3834">
        <v>0</v>
      </c>
      <c r="G3834">
        <v>51112.807930409697</v>
      </c>
      <c r="H3834">
        <v>-8044.686436</v>
      </c>
      <c r="I3834">
        <v>-48261.584819999996</v>
      </c>
      <c r="J3834">
        <v>0</v>
      </c>
      <c r="K3834">
        <v>113.76976990999999</v>
      </c>
      <c r="L3834">
        <v>-17378.234000799941</v>
      </c>
      <c r="M3834">
        <v>0</v>
      </c>
      <c r="N3834">
        <v>0</v>
      </c>
      <c r="O3834">
        <v>73.927556480246452</v>
      </c>
      <c r="P3834">
        <v>1195178</v>
      </c>
    </row>
    <row r="3835" spans="1:16" x14ac:dyDescent="0.25">
      <c r="A3835" s="10">
        <v>43301</v>
      </c>
      <c r="B3835">
        <v>-46797.600000000093</v>
      </c>
      <c r="C3835">
        <v>0</v>
      </c>
      <c r="D3835">
        <v>0</v>
      </c>
      <c r="E3835">
        <v>-12600</v>
      </c>
      <c r="F3835">
        <v>0</v>
      </c>
      <c r="G3835">
        <v>-2682.7512217797898</v>
      </c>
      <c r="H3835">
        <v>-9428.8478788600005</v>
      </c>
      <c r="I3835">
        <v>-9741.0646754000045</v>
      </c>
      <c r="J3835">
        <v>0</v>
      </c>
      <c r="K3835">
        <v>121.2198889900001</v>
      </c>
      <c r="L3835">
        <v>-12135.86147959996</v>
      </c>
      <c r="M3835">
        <v>0</v>
      </c>
      <c r="N3835">
        <v>0</v>
      </c>
      <c r="O3835">
        <v>-330.29463335033881</v>
      </c>
      <c r="P3835">
        <v>1148380.3999999999</v>
      </c>
    </row>
    <row r="3836" spans="1:16" x14ac:dyDescent="0.25">
      <c r="A3836" s="10">
        <v>43304</v>
      </c>
      <c r="B3836">
        <v>466.60000000009308</v>
      </c>
      <c r="C3836">
        <v>0</v>
      </c>
      <c r="D3836">
        <v>0</v>
      </c>
      <c r="E3836">
        <v>0</v>
      </c>
      <c r="F3836">
        <v>0</v>
      </c>
      <c r="G3836">
        <v>-2756.1698774498318</v>
      </c>
      <c r="H3836">
        <v>8365.6732182199994</v>
      </c>
      <c r="I3836">
        <v>-10.00000015999831</v>
      </c>
      <c r="J3836">
        <v>0</v>
      </c>
      <c r="K3836">
        <v>177.4319384399997</v>
      </c>
      <c r="L3836">
        <v>-4782.6198309999891</v>
      </c>
      <c r="M3836">
        <v>0</v>
      </c>
      <c r="N3836">
        <v>0</v>
      </c>
      <c r="O3836">
        <v>-527.71544805008693</v>
      </c>
      <c r="P3836">
        <v>1148847</v>
      </c>
    </row>
    <row r="3837" spans="1:16" x14ac:dyDescent="0.25">
      <c r="A3837" s="10">
        <v>43305</v>
      </c>
      <c r="B3837">
        <v>-28557</v>
      </c>
      <c r="C3837">
        <v>0</v>
      </c>
      <c r="D3837">
        <v>0</v>
      </c>
      <c r="E3837">
        <v>0</v>
      </c>
      <c r="F3837">
        <v>0</v>
      </c>
      <c r="G3837">
        <v>-2785.621749849995</v>
      </c>
      <c r="H3837">
        <v>7285.0917825399993</v>
      </c>
      <c r="I3837">
        <v>-24269.806110000001</v>
      </c>
      <c r="J3837">
        <v>0</v>
      </c>
      <c r="K3837">
        <v>86.476606729999673</v>
      </c>
      <c r="L3837">
        <v>-8549.3312046000501</v>
      </c>
      <c r="M3837">
        <v>0</v>
      </c>
      <c r="N3837">
        <v>0</v>
      </c>
      <c r="O3837">
        <v>-323.80932481994381</v>
      </c>
      <c r="P3837">
        <v>1120290</v>
      </c>
    </row>
    <row r="3838" spans="1:16" x14ac:dyDescent="0.25">
      <c r="A3838" s="10">
        <v>43306</v>
      </c>
      <c r="B3838">
        <v>-24227</v>
      </c>
      <c r="C3838">
        <v>0</v>
      </c>
      <c r="D3838">
        <v>0</v>
      </c>
      <c r="E3838">
        <v>0</v>
      </c>
      <c r="F3838">
        <v>0</v>
      </c>
      <c r="G3838">
        <v>-2785.5880489899741</v>
      </c>
      <c r="H3838">
        <v>7560.9329817199996</v>
      </c>
      <c r="I3838">
        <v>-16990.488230079991</v>
      </c>
      <c r="J3838">
        <v>0</v>
      </c>
      <c r="K3838">
        <v>118.75279923000021</v>
      </c>
      <c r="L3838">
        <v>-11662.040015100039</v>
      </c>
      <c r="M3838">
        <v>0</v>
      </c>
      <c r="N3838">
        <v>0</v>
      </c>
      <c r="O3838">
        <v>-468.56948677999401</v>
      </c>
      <c r="P3838">
        <v>1096063</v>
      </c>
    </row>
    <row r="3839" spans="1:16" x14ac:dyDescent="0.25">
      <c r="A3839" s="10">
        <v>43307</v>
      </c>
      <c r="B3839">
        <v>20970</v>
      </c>
      <c r="C3839">
        <v>0</v>
      </c>
      <c r="D3839">
        <v>0</v>
      </c>
      <c r="E3839">
        <v>0</v>
      </c>
      <c r="F3839">
        <v>0</v>
      </c>
      <c r="G3839">
        <v>-2639.7323768799611</v>
      </c>
      <c r="H3839">
        <v>-5686.7415198699982</v>
      </c>
      <c r="I3839">
        <v>31524.335339999991</v>
      </c>
      <c r="J3839">
        <v>0</v>
      </c>
      <c r="K3839">
        <v>452.33212682999982</v>
      </c>
      <c r="L3839">
        <v>-2450.5077781999721</v>
      </c>
      <c r="M3839">
        <v>0</v>
      </c>
      <c r="N3839">
        <v>0</v>
      </c>
      <c r="O3839">
        <v>-229.685791880061</v>
      </c>
      <c r="P3839">
        <v>1117033</v>
      </c>
    </row>
    <row r="3840" spans="1:16" x14ac:dyDescent="0.25">
      <c r="A3840" s="10">
        <v>43308</v>
      </c>
      <c r="B3840">
        <v>-18754</v>
      </c>
      <c r="C3840">
        <v>0</v>
      </c>
      <c r="D3840">
        <v>0</v>
      </c>
      <c r="E3840">
        <v>0</v>
      </c>
      <c r="F3840">
        <v>0</v>
      </c>
      <c r="G3840">
        <v>-2826.3272313799671</v>
      </c>
      <c r="H3840">
        <v>1402.8452738999999</v>
      </c>
      <c r="I3840">
        <v>-13003.56255460688</v>
      </c>
      <c r="J3840">
        <v>0</v>
      </c>
      <c r="K3840">
        <v>183.77489314687631</v>
      </c>
      <c r="L3840">
        <v>-7331.307340899948</v>
      </c>
      <c r="M3840">
        <v>0</v>
      </c>
      <c r="N3840">
        <v>0</v>
      </c>
      <c r="O3840">
        <v>2820.576959839917</v>
      </c>
      <c r="P3840">
        <v>1098279</v>
      </c>
    </row>
    <row r="3841" spans="1:16" x14ac:dyDescent="0.25">
      <c r="A3841" s="10">
        <v>43311</v>
      </c>
      <c r="B3841">
        <v>-12294</v>
      </c>
      <c r="C3841">
        <v>0</v>
      </c>
      <c r="D3841">
        <v>0</v>
      </c>
      <c r="E3841">
        <v>0</v>
      </c>
      <c r="F3841">
        <v>0</v>
      </c>
      <c r="G3841">
        <v>-2727.682951220138</v>
      </c>
      <c r="H3841">
        <v>503.2072669399995</v>
      </c>
      <c r="I3841">
        <v>-10387.231804842741</v>
      </c>
      <c r="J3841">
        <v>0</v>
      </c>
      <c r="K3841">
        <v>126.2694034627485</v>
      </c>
      <c r="L3841">
        <v>680.27445000002626</v>
      </c>
      <c r="M3841">
        <v>0</v>
      </c>
      <c r="N3841">
        <v>0</v>
      </c>
      <c r="O3841">
        <v>-488.83636433989602</v>
      </c>
      <c r="P3841">
        <v>1085985</v>
      </c>
    </row>
    <row r="3842" spans="1:16" x14ac:dyDescent="0.25">
      <c r="A3842" s="10">
        <v>43312</v>
      </c>
      <c r="B3842">
        <v>-19176</v>
      </c>
      <c r="C3842">
        <v>0</v>
      </c>
      <c r="D3842">
        <v>0</v>
      </c>
      <c r="E3842">
        <v>0</v>
      </c>
      <c r="F3842">
        <v>0</v>
      </c>
      <c r="G3842">
        <v>-2608.0872747003291</v>
      </c>
      <c r="H3842">
        <v>-29314.152232289998</v>
      </c>
      <c r="I3842">
        <v>12450.662745000011</v>
      </c>
      <c r="J3842">
        <v>0</v>
      </c>
      <c r="K3842">
        <v>248.68245961</v>
      </c>
      <c r="L3842">
        <v>39.196564999991097</v>
      </c>
      <c r="M3842">
        <v>0</v>
      </c>
      <c r="N3842">
        <v>0</v>
      </c>
      <c r="O3842">
        <v>7.6977373803304516</v>
      </c>
      <c r="P3842">
        <v>1066809</v>
      </c>
    </row>
    <row r="3843" spans="1:16" x14ac:dyDescent="0.25">
      <c r="A3843" s="10">
        <v>43313</v>
      </c>
      <c r="B3843">
        <v>50435</v>
      </c>
      <c r="C3843">
        <v>0</v>
      </c>
      <c r="D3843">
        <v>0</v>
      </c>
      <c r="E3843">
        <v>0</v>
      </c>
      <c r="F3843">
        <v>0</v>
      </c>
      <c r="G3843">
        <v>-2047.2668743198431</v>
      </c>
      <c r="H3843">
        <v>34319.958529340001</v>
      </c>
      <c r="I3843">
        <v>17486.965730078631</v>
      </c>
      <c r="J3843">
        <v>0</v>
      </c>
      <c r="K3843">
        <v>263.97668947137151</v>
      </c>
      <c r="L3843">
        <v>112.8011621000478</v>
      </c>
      <c r="M3843">
        <v>0</v>
      </c>
      <c r="N3843">
        <v>0</v>
      </c>
      <c r="O3843">
        <v>298.56476332978792</v>
      </c>
      <c r="P3843">
        <v>1117244</v>
      </c>
    </row>
    <row r="3844" spans="1:16" x14ac:dyDescent="0.25">
      <c r="A3844" s="10">
        <v>43314</v>
      </c>
      <c r="B3844">
        <v>16883</v>
      </c>
      <c r="C3844">
        <v>0</v>
      </c>
      <c r="D3844">
        <v>0</v>
      </c>
      <c r="E3844">
        <v>0</v>
      </c>
      <c r="F3844">
        <v>0</v>
      </c>
      <c r="G3844">
        <v>-3038.2352918598322</v>
      </c>
      <c r="H3844">
        <v>130.01428990999989</v>
      </c>
      <c r="I3844">
        <v>16737.249479999999</v>
      </c>
      <c r="J3844">
        <v>0</v>
      </c>
      <c r="K3844">
        <v>227.44912170000001</v>
      </c>
      <c r="L3844">
        <v>2942.9423500000271</v>
      </c>
      <c r="M3844">
        <v>0</v>
      </c>
      <c r="N3844">
        <v>0</v>
      </c>
      <c r="O3844">
        <v>-116.4199497501922</v>
      </c>
      <c r="P3844">
        <v>1134127</v>
      </c>
    </row>
    <row r="3845" spans="1:16" x14ac:dyDescent="0.25">
      <c r="A3845" s="10">
        <v>43315</v>
      </c>
      <c r="B3845">
        <v>18992</v>
      </c>
      <c r="C3845">
        <v>0</v>
      </c>
      <c r="D3845">
        <v>0</v>
      </c>
      <c r="E3845">
        <v>0</v>
      </c>
      <c r="F3845">
        <v>0</v>
      </c>
      <c r="G3845">
        <v>-2887.6298856897301</v>
      </c>
      <c r="H3845">
        <v>-2576.3778308699998</v>
      </c>
      <c r="I3845">
        <v>22744.627229999998</v>
      </c>
      <c r="J3845">
        <v>0</v>
      </c>
      <c r="K3845">
        <v>268.17026246000029</v>
      </c>
      <c r="L3845">
        <v>1826.4862568000101</v>
      </c>
      <c r="M3845">
        <v>0</v>
      </c>
      <c r="N3845">
        <v>0</v>
      </c>
      <c r="O3845">
        <v>-383.27603270027993</v>
      </c>
      <c r="P3845">
        <v>1153119</v>
      </c>
    </row>
    <row r="3846" spans="1:16" x14ac:dyDescent="0.25">
      <c r="A3846" s="10">
        <v>43318</v>
      </c>
      <c r="B3846">
        <v>7046.3999999999069</v>
      </c>
      <c r="C3846">
        <v>0</v>
      </c>
      <c r="D3846">
        <v>0</v>
      </c>
      <c r="E3846">
        <v>0</v>
      </c>
      <c r="F3846">
        <v>0</v>
      </c>
      <c r="G3846">
        <v>551.89296333983179</v>
      </c>
      <c r="H3846">
        <v>-1007.62966251</v>
      </c>
      <c r="I3846">
        <v>10397.231804999999</v>
      </c>
      <c r="J3846">
        <v>0</v>
      </c>
      <c r="K3846">
        <v>188.12380023000011</v>
      </c>
      <c r="L3846">
        <v>-2651.6728104000208</v>
      </c>
      <c r="M3846">
        <v>0</v>
      </c>
      <c r="N3846">
        <v>0</v>
      </c>
      <c r="O3846">
        <v>-431.54609565990648</v>
      </c>
      <c r="P3846">
        <v>1160165.3999999999</v>
      </c>
    </row>
    <row r="3847" spans="1:16" x14ac:dyDescent="0.25">
      <c r="A3847" s="10">
        <v>43319</v>
      </c>
      <c r="B3847">
        <v>578.5</v>
      </c>
      <c r="C3847">
        <v>0</v>
      </c>
      <c r="D3847">
        <v>0</v>
      </c>
      <c r="E3847">
        <v>0</v>
      </c>
      <c r="F3847">
        <v>0</v>
      </c>
      <c r="G3847">
        <v>-1384.5905170800561</v>
      </c>
      <c r="H3847">
        <v>511.51514274000061</v>
      </c>
      <c r="I3847">
        <v>3818.9049300000038</v>
      </c>
      <c r="J3847">
        <v>0</v>
      </c>
      <c r="K3847">
        <v>158.68475681000001</v>
      </c>
      <c r="L3847">
        <v>-2356.9810020000441</v>
      </c>
      <c r="M3847">
        <v>0</v>
      </c>
      <c r="N3847">
        <v>0</v>
      </c>
      <c r="O3847">
        <v>-169.03331046990499</v>
      </c>
      <c r="P3847">
        <v>1160743.8999999999</v>
      </c>
    </row>
    <row r="3848" spans="1:16" x14ac:dyDescent="0.25">
      <c r="A3848" s="10">
        <v>43320</v>
      </c>
      <c r="B3848">
        <v>-1355.8999999999071</v>
      </c>
      <c r="C3848">
        <v>0</v>
      </c>
      <c r="D3848">
        <v>0</v>
      </c>
      <c r="E3848">
        <v>0</v>
      </c>
      <c r="F3848">
        <v>0</v>
      </c>
      <c r="G3848">
        <v>-1388.4684146403779</v>
      </c>
      <c r="H3848">
        <v>3317.67943625</v>
      </c>
      <c r="I3848">
        <v>-2000.028210000004</v>
      </c>
      <c r="J3848">
        <v>-33.100000000000357</v>
      </c>
      <c r="K3848">
        <v>108.3903333600002</v>
      </c>
      <c r="L3848">
        <v>-1564.987640499952</v>
      </c>
      <c r="M3848">
        <v>0</v>
      </c>
      <c r="N3848">
        <v>0</v>
      </c>
      <c r="O3848">
        <v>204.614495530428</v>
      </c>
      <c r="P3848">
        <v>1159388</v>
      </c>
    </row>
    <row r="3849" spans="1:16" x14ac:dyDescent="0.25">
      <c r="A3849" s="10">
        <v>43321</v>
      </c>
      <c r="B3849">
        <v>-9085.5</v>
      </c>
      <c r="C3849">
        <v>0</v>
      </c>
      <c r="D3849">
        <v>0</v>
      </c>
      <c r="E3849">
        <v>0</v>
      </c>
      <c r="F3849">
        <v>0</v>
      </c>
      <c r="G3849">
        <v>-1353.643474549539</v>
      </c>
      <c r="H3849">
        <v>-4628.4407817700003</v>
      </c>
      <c r="I3849">
        <v>-2000.028210000004</v>
      </c>
      <c r="J3849">
        <v>0</v>
      </c>
      <c r="K3849">
        <v>108.6489768000002</v>
      </c>
      <c r="L3849">
        <v>-2063.302975500003</v>
      </c>
      <c r="M3849">
        <v>0</v>
      </c>
      <c r="N3849">
        <v>0</v>
      </c>
      <c r="O3849">
        <v>851.2664650195461</v>
      </c>
      <c r="P3849">
        <v>1150302.5</v>
      </c>
    </row>
    <row r="3850" spans="1:16" x14ac:dyDescent="0.25">
      <c r="A3850" s="10">
        <v>43322</v>
      </c>
      <c r="B3850">
        <v>-625.30000000004657</v>
      </c>
      <c r="C3850">
        <v>0</v>
      </c>
      <c r="D3850">
        <v>0</v>
      </c>
      <c r="E3850">
        <v>0</v>
      </c>
      <c r="F3850">
        <v>0</v>
      </c>
      <c r="G3850">
        <v>-1442.5900523403041</v>
      </c>
      <c r="H3850">
        <v>1321.5123099299999</v>
      </c>
      <c r="I3850">
        <v>-2000.028210000004</v>
      </c>
      <c r="J3850">
        <v>0</v>
      </c>
      <c r="K3850">
        <v>109.9204137300004</v>
      </c>
      <c r="L3850">
        <v>-655.69440000003669</v>
      </c>
      <c r="M3850">
        <v>0</v>
      </c>
      <c r="N3850">
        <v>0</v>
      </c>
      <c r="O3850">
        <v>2041.579938680298</v>
      </c>
      <c r="P3850">
        <v>1149677.2</v>
      </c>
    </row>
    <row r="3851" spans="1:16" x14ac:dyDescent="0.25">
      <c r="A3851" s="10">
        <v>43325</v>
      </c>
      <c r="B3851">
        <v>-56</v>
      </c>
      <c r="C3851">
        <v>0</v>
      </c>
      <c r="D3851">
        <v>0</v>
      </c>
      <c r="E3851">
        <v>0</v>
      </c>
      <c r="F3851">
        <v>0</v>
      </c>
      <c r="G3851">
        <v>-30.39354412980401</v>
      </c>
      <c r="H3851">
        <v>-232.57169974000041</v>
      </c>
      <c r="I3851">
        <v>-1999.768848000007</v>
      </c>
      <c r="J3851">
        <v>0</v>
      </c>
      <c r="K3851">
        <v>116.5238197700001</v>
      </c>
      <c r="L3851">
        <v>-0.9277210000436753</v>
      </c>
      <c r="M3851">
        <v>0</v>
      </c>
      <c r="N3851">
        <v>0</v>
      </c>
      <c r="O3851">
        <v>2091.1379930998551</v>
      </c>
      <c r="P3851">
        <v>1149621.2</v>
      </c>
    </row>
    <row r="3852" spans="1:16" x14ac:dyDescent="0.25">
      <c r="A3852" s="10">
        <v>43326</v>
      </c>
      <c r="B3852">
        <v>-25210.19999999995</v>
      </c>
      <c r="C3852">
        <v>0</v>
      </c>
      <c r="D3852">
        <v>-14895.32348184</v>
      </c>
      <c r="E3852">
        <v>0</v>
      </c>
      <c r="F3852">
        <v>0</v>
      </c>
      <c r="G3852">
        <v>-34.678260799840118</v>
      </c>
      <c r="H3852">
        <v>-296.24925186000019</v>
      </c>
      <c r="I3852">
        <v>-10231.637313579989</v>
      </c>
      <c r="J3852">
        <v>0</v>
      </c>
      <c r="K3852">
        <v>131.14183983000041</v>
      </c>
      <c r="L3852">
        <v>0</v>
      </c>
      <c r="M3852">
        <v>0</v>
      </c>
      <c r="N3852">
        <v>0</v>
      </c>
      <c r="O3852">
        <v>116.54646824988021</v>
      </c>
      <c r="P3852">
        <v>1124411</v>
      </c>
    </row>
    <row r="3853" spans="1:16" x14ac:dyDescent="0.25">
      <c r="A3853" s="10">
        <v>43327</v>
      </c>
      <c r="B3853">
        <v>183461.70000000019</v>
      </c>
      <c r="C3853">
        <v>-29262.909</v>
      </c>
      <c r="D3853">
        <v>-13458.99997422</v>
      </c>
      <c r="E3853">
        <v>0</v>
      </c>
      <c r="F3853">
        <v>0</v>
      </c>
      <c r="G3853">
        <v>13061.41042306017</v>
      </c>
      <c r="H3853">
        <v>-19961.696924759999</v>
      </c>
      <c r="I3853">
        <v>-101488.79846796</v>
      </c>
      <c r="J3853">
        <v>0</v>
      </c>
      <c r="K3853">
        <v>133.26226840000029</v>
      </c>
      <c r="L3853">
        <v>336791.57469770598</v>
      </c>
      <c r="M3853">
        <v>0</v>
      </c>
      <c r="N3853">
        <v>0</v>
      </c>
      <c r="O3853">
        <v>-2352.1430222259878</v>
      </c>
      <c r="P3853">
        <v>1307872.7</v>
      </c>
    </row>
    <row r="3854" spans="1:16" x14ac:dyDescent="0.25">
      <c r="A3854" s="10">
        <v>43328</v>
      </c>
      <c r="B3854">
        <v>-29631.800000000279</v>
      </c>
      <c r="C3854">
        <v>-1634.73</v>
      </c>
      <c r="D3854">
        <v>-649.99999528000001</v>
      </c>
      <c r="E3854">
        <v>0</v>
      </c>
      <c r="F3854">
        <v>0</v>
      </c>
      <c r="G3854">
        <v>892.60447112969496</v>
      </c>
      <c r="H3854">
        <v>6941.6063189200031</v>
      </c>
      <c r="I3854">
        <v>-43387.901013830007</v>
      </c>
      <c r="J3854">
        <v>0</v>
      </c>
      <c r="K3854">
        <v>151.50807018000029</v>
      </c>
      <c r="L3854">
        <v>7921.4135000000242</v>
      </c>
      <c r="M3854">
        <v>0</v>
      </c>
      <c r="N3854">
        <v>0</v>
      </c>
      <c r="O3854">
        <v>133.6986488800043</v>
      </c>
      <c r="P3854">
        <v>1278240.8999999999</v>
      </c>
    </row>
    <row r="3855" spans="1:16" x14ac:dyDescent="0.25">
      <c r="A3855" s="10">
        <v>43329</v>
      </c>
      <c r="B3855">
        <v>-46651.899999999907</v>
      </c>
      <c r="C3855">
        <v>0</v>
      </c>
      <c r="D3855">
        <v>-29.99997913</v>
      </c>
      <c r="E3855">
        <v>0</v>
      </c>
      <c r="F3855">
        <v>0</v>
      </c>
      <c r="G3855">
        <v>-335.96525387997298</v>
      </c>
      <c r="H3855">
        <v>10346.915689400001</v>
      </c>
      <c r="I3855">
        <v>-57578.701065110014</v>
      </c>
      <c r="J3855">
        <v>0</v>
      </c>
      <c r="K3855">
        <v>144.8390649199996</v>
      </c>
      <c r="L3855">
        <v>0</v>
      </c>
      <c r="M3855">
        <v>0</v>
      </c>
      <c r="N3855">
        <v>0</v>
      </c>
      <c r="O3855">
        <v>801.01154380008279</v>
      </c>
      <c r="P3855">
        <v>1231589</v>
      </c>
    </row>
    <row r="3856" spans="1:16" x14ac:dyDescent="0.25">
      <c r="A3856" s="10">
        <v>43333</v>
      </c>
      <c r="B3856">
        <v>3457</v>
      </c>
      <c r="C3856">
        <v>0</v>
      </c>
      <c r="D3856">
        <v>0</v>
      </c>
      <c r="E3856">
        <v>0</v>
      </c>
      <c r="F3856">
        <v>0</v>
      </c>
      <c r="G3856">
        <v>196.57433982000549</v>
      </c>
      <c r="H3856">
        <v>3763.7952895499998</v>
      </c>
      <c r="I3856">
        <v>-1192.343356899743</v>
      </c>
      <c r="J3856">
        <v>0</v>
      </c>
      <c r="K3856">
        <v>429.8560504097519</v>
      </c>
      <c r="L3856">
        <v>0</v>
      </c>
      <c r="M3856">
        <v>0</v>
      </c>
      <c r="N3856">
        <v>0</v>
      </c>
      <c r="O3856">
        <v>259.11767711998482</v>
      </c>
      <c r="P3856">
        <v>1235046</v>
      </c>
    </row>
    <row r="3857" spans="1:16" x14ac:dyDescent="0.25">
      <c r="A3857" s="10">
        <v>43334</v>
      </c>
      <c r="B3857">
        <v>12494</v>
      </c>
      <c r="C3857">
        <v>0</v>
      </c>
      <c r="D3857">
        <v>0</v>
      </c>
      <c r="E3857">
        <v>0</v>
      </c>
      <c r="F3857">
        <v>0</v>
      </c>
      <c r="G3857">
        <v>221.65069618999919</v>
      </c>
      <c r="H3857">
        <v>-3148.0448204999998</v>
      </c>
      <c r="I3857">
        <v>14286.41886948363</v>
      </c>
      <c r="J3857">
        <v>0</v>
      </c>
      <c r="K3857">
        <v>1024.22752735634</v>
      </c>
      <c r="L3857">
        <v>0</v>
      </c>
      <c r="M3857">
        <v>0</v>
      </c>
      <c r="N3857">
        <v>0</v>
      </c>
      <c r="O3857">
        <v>109.7477274700266</v>
      </c>
      <c r="P3857">
        <v>1247540</v>
      </c>
    </row>
    <row r="3858" spans="1:16" x14ac:dyDescent="0.25">
      <c r="A3858" s="10">
        <v>43335</v>
      </c>
      <c r="B3858">
        <v>-2295</v>
      </c>
      <c r="C3858">
        <v>0</v>
      </c>
      <c r="D3858">
        <v>0</v>
      </c>
      <c r="E3858">
        <v>0</v>
      </c>
      <c r="F3858">
        <v>0</v>
      </c>
      <c r="G3858">
        <v>7.9719411899927763</v>
      </c>
      <c r="H3858">
        <v>403.52810398999918</v>
      </c>
      <c r="I3858">
        <v>-3518.3695199409271</v>
      </c>
      <c r="J3858">
        <v>0</v>
      </c>
      <c r="K3858">
        <v>525.68491490090787</v>
      </c>
      <c r="L3858">
        <v>0</v>
      </c>
      <c r="M3858">
        <v>0</v>
      </c>
      <c r="N3858">
        <v>0</v>
      </c>
      <c r="O3858">
        <v>286.18455986002692</v>
      </c>
      <c r="P3858">
        <v>1245245</v>
      </c>
    </row>
    <row r="3859" spans="1:16" x14ac:dyDescent="0.25">
      <c r="A3859" s="10">
        <v>43336</v>
      </c>
      <c r="B3859">
        <v>-10357</v>
      </c>
      <c r="C3859">
        <v>19.860499999999998</v>
      </c>
      <c r="D3859">
        <v>-9200</v>
      </c>
      <c r="E3859">
        <v>-1700</v>
      </c>
      <c r="F3859">
        <v>0</v>
      </c>
      <c r="G3859">
        <v>9086.780481320171</v>
      </c>
      <c r="H3859">
        <v>786.15856329000053</v>
      </c>
      <c r="I3859">
        <v>-17857.53103005252</v>
      </c>
      <c r="J3859">
        <v>0</v>
      </c>
      <c r="K3859">
        <v>647.16675015250405</v>
      </c>
      <c r="L3859">
        <v>7267.0574999999953</v>
      </c>
      <c r="M3859">
        <v>0</v>
      </c>
      <c r="N3859">
        <v>0</v>
      </c>
      <c r="O3859">
        <v>593.50723528984429</v>
      </c>
      <c r="P3859">
        <v>1234888</v>
      </c>
    </row>
    <row r="3860" spans="1:16" x14ac:dyDescent="0.25">
      <c r="A3860" s="10">
        <v>43339</v>
      </c>
      <c r="B3860">
        <v>-29165</v>
      </c>
      <c r="C3860">
        <v>-6479.87</v>
      </c>
      <c r="D3860">
        <v>-1240</v>
      </c>
      <c r="E3860">
        <v>0</v>
      </c>
      <c r="F3860">
        <v>0</v>
      </c>
      <c r="G3860">
        <v>1475.8222845297171</v>
      </c>
      <c r="H3860">
        <v>1936.3678933399999</v>
      </c>
      <c r="I3860">
        <v>-31880.04543702002</v>
      </c>
      <c r="J3860">
        <v>0</v>
      </c>
      <c r="K3860">
        <v>8.256897559999743</v>
      </c>
      <c r="L3860">
        <v>6502.0961955200182</v>
      </c>
      <c r="M3860">
        <v>0</v>
      </c>
      <c r="N3860">
        <v>0</v>
      </c>
      <c r="O3860">
        <v>512.37216607027949</v>
      </c>
      <c r="P3860">
        <v>1205723</v>
      </c>
    </row>
    <row r="3861" spans="1:16" x14ac:dyDescent="0.25">
      <c r="A3861" s="10">
        <v>43340</v>
      </c>
      <c r="B3861">
        <v>4485</v>
      </c>
      <c r="C3861">
        <v>-8473.2119999999995</v>
      </c>
      <c r="D3861">
        <v>-2170</v>
      </c>
      <c r="E3861">
        <v>0</v>
      </c>
      <c r="F3861">
        <v>0</v>
      </c>
      <c r="G3861">
        <v>2212.6513801202241</v>
      </c>
      <c r="H3861">
        <v>1463.9215877700001</v>
      </c>
      <c r="I3861">
        <v>9710.4506597259315</v>
      </c>
      <c r="J3861">
        <v>0</v>
      </c>
      <c r="K3861">
        <v>402.17885605408821</v>
      </c>
      <c r="L3861">
        <v>0</v>
      </c>
      <c r="M3861">
        <v>0</v>
      </c>
      <c r="N3861">
        <v>0</v>
      </c>
      <c r="O3861">
        <v>1339.0095163297549</v>
      </c>
      <c r="P3861">
        <v>1210208</v>
      </c>
    </row>
    <row r="3862" spans="1:16" x14ac:dyDescent="0.25">
      <c r="A3862" s="10">
        <v>43341</v>
      </c>
      <c r="B3862">
        <v>36596</v>
      </c>
      <c r="C3862">
        <v>-11668.999</v>
      </c>
      <c r="D3862">
        <v>-1100</v>
      </c>
      <c r="E3862">
        <v>0</v>
      </c>
      <c r="F3862">
        <v>0</v>
      </c>
      <c r="G3862">
        <v>1098.2924038897479</v>
      </c>
      <c r="H3862">
        <v>-584.70489300000008</v>
      </c>
      <c r="I3862">
        <v>42177.832629269338</v>
      </c>
      <c r="J3862">
        <v>0</v>
      </c>
      <c r="K3862">
        <v>899.82622860063611</v>
      </c>
      <c r="L3862">
        <v>0</v>
      </c>
      <c r="M3862">
        <v>0</v>
      </c>
      <c r="N3862">
        <v>0</v>
      </c>
      <c r="O3862">
        <v>5773.7526312402761</v>
      </c>
      <c r="P3862">
        <v>1246804</v>
      </c>
    </row>
    <row r="3863" spans="1:16" x14ac:dyDescent="0.25">
      <c r="A3863" s="10">
        <v>43342</v>
      </c>
      <c r="B3863">
        <v>-17155</v>
      </c>
      <c r="C3863">
        <v>-15215.940399999999</v>
      </c>
      <c r="D3863">
        <v>-1870</v>
      </c>
      <c r="E3863">
        <v>0</v>
      </c>
      <c r="F3863">
        <v>0</v>
      </c>
      <c r="G3863">
        <v>1835.8828750402461</v>
      </c>
      <c r="H3863">
        <v>-10391.37101558</v>
      </c>
      <c r="I3863">
        <v>-6549.7492790769902</v>
      </c>
      <c r="J3863">
        <v>0</v>
      </c>
      <c r="K3863">
        <v>552.82584702700774</v>
      </c>
      <c r="L3863">
        <v>0</v>
      </c>
      <c r="M3863">
        <v>0</v>
      </c>
      <c r="N3863">
        <v>0</v>
      </c>
      <c r="O3863">
        <v>14483.351972589729</v>
      </c>
      <c r="P3863">
        <v>1229649</v>
      </c>
    </row>
    <row r="3864" spans="1:16" x14ac:dyDescent="0.25">
      <c r="A3864" s="10">
        <v>43343</v>
      </c>
      <c r="B3864">
        <v>-21373</v>
      </c>
      <c r="C3864">
        <v>-9321.0660000000007</v>
      </c>
      <c r="D3864">
        <v>-950</v>
      </c>
      <c r="E3864">
        <v>-4000</v>
      </c>
      <c r="F3864">
        <v>0</v>
      </c>
      <c r="G3864">
        <v>347.5525143403338</v>
      </c>
      <c r="H3864">
        <v>-13093.00980263</v>
      </c>
      <c r="I3864">
        <v>-7453.9704663696466</v>
      </c>
      <c r="J3864">
        <v>0</v>
      </c>
      <c r="K3864">
        <v>814.03701301966396</v>
      </c>
      <c r="L3864">
        <v>0</v>
      </c>
      <c r="M3864">
        <v>0</v>
      </c>
      <c r="N3864">
        <v>0</v>
      </c>
      <c r="O3864">
        <v>12283.456741639649</v>
      </c>
      <c r="P3864">
        <v>1208276</v>
      </c>
    </row>
    <row r="3865" spans="1:16" x14ac:dyDescent="0.25">
      <c r="A3865" s="10">
        <v>43346</v>
      </c>
      <c r="B3865">
        <v>26369</v>
      </c>
      <c r="C3865">
        <v>0</v>
      </c>
      <c r="D3865">
        <v>-3626</v>
      </c>
      <c r="E3865">
        <v>0</v>
      </c>
      <c r="F3865">
        <v>0</v>
      </c>
      <c r="G3865">
        <v>3698.279298729638</v>
      </c>
      <c r="H3865">
        <v>20805.836381599991</v>
      </c>
      <c r="I3865">
        <v>9068.1358105518739</v>
      </c>
      <c r="J3865">
        <v>0</v>
      </c>
      <c r="K3865">
        <v>380.23427417812422</v>
      </c>
      <c r="L3865">
        <v>0</v>
      </c>
      <c r="M3865">
        <v>0</v>
      </c>
      <c r="N3865">
        <v>0</v>
      </c>
      <c r="O3865">
        <v>-3957.4857650596309</v>
      </c>
      <c r="P3865">
        <v>1234645</v>
      </c>
    </row>
    <row r="3866" spans="1:16" x14ac:dyDescent="0.25">
      <c r="A3866" s="10">
        <v>43347</v>
      </c>
      <c r="B3866">
        <v>1271</v>
      </c>
      <c r="C3866">
        <v>-18593.104834000002</v>
      </c>
      <c r="D3866">
        <v>-2040.5</v>
      </c>
      <c r="E3866">
        <v>0</v>
      </c>
      <c r="F3866">
        <v>0</v>
      </c>
      <c r="G3866">
        <v>1966.126113789991</v>
      </c>
      <c r="H3866">
        <v>2022.0453779899999</v>
      </c>
      <c r="I3866">
        <v>13262.912997623271</v>
      </c>
      <c r="J3866">
        <v>0</v>
      </c>
      <c r="K3866">
        <v>322.86723581674761</v>
      </c>
      <c r="L3866">
        <v>0</v>
      </c>
      <c r="M3866">
        <v>0</v>
      </c>
      <c r="N3866">
        <v>0</v>
      </c>
      <c r="O3866">
        <v>4330.6531087799958</v>
      </c>
      <c r="P3866">
        <v>1235916</v>
      </c>
    </row>
    <row r="3867" spans="1:16" x14ac:dyDescent="0.25">
      <c r="A3867" s="10">
        <v>43348</v>
      </c>
      <c r="B3867">
        <v>17968</v>
      </c>
      <c r="C3867">
        <v>-9129.17713</v>
      </c>
      <c r="D3867">
        <v>-316</v>
      </c>
      <c r="E3867">
        <v>0</v>
      </c>
      <c r="F3867">
        <v>0</v>
      </c>
      <c r="G3867">
        <v>258.14759939013078</v>
      </c>
      <c r="H3867">
        <v>-357.50882068000061</v>
      </c>
      <c r="I3867">
        <v>23928.101283716791</v>
      </c>
      <c r="J3867">
        <v>0</v>
      </c>
      <c r="K3867">
        <v>538.50567587321552</v>
      </c>
      <c r="L3867">
        <v>0</v>
      </c>
      <c r="M3867">
        <v>0</v>
      </c>
      <c r="N3867">
        <v>0</v>
      </c>
      <c r="O3867">
        <v>3045.931391699859</v>
      </c>
      <c r="P3867">
        <v>1253884</v>
      </c>
    </row>
    <row r="3868" spans="1:16" x14ac:dyDescent="0.25">
      <c r="A3868" s="10">
        <v>43349</v>
      </c>
      <c r="B3868">
        <v>44999</v>
      </c>
      <c r="C3868">
        <v>-27.268200000000089</v>
      </c>
      <c r="D3868">
        <v>0</v>
      </c>
      <c r="E3868">
        <v>0</v>
      </c>
      <c r="F3868">
        <v>0</v>
      </c>
      <c r="G3868">
        <v>-421.4832330402337</v>
      </c>
      <c r="H3868">
        <v>851.04989117000014</v>
      </c>
      <c r="I3868">
        <v>15511.405875018771</v>
      </c>
      <c r="J3868">
        <v>0</v>
      </c>
      <c r="K3868">
        <v>814.88430468125023</v>
      </c>
      <c r="L3868">
        <v>32275.814999999999</v>
      </c>
      <c r="M3868">
        <v>0</v>
      </c>
      <c r="N3868">
        <v>0</v>
      </c>
      <c r="O3868">
        <v>-4005.4036378297869</v>
      </c>
      <c r="P3868">
        <v>1298883</v>
      </c>
    </row>
    <row r="3869" spans="1:16" x14ac:dyDescent="0.25">
      <c r="A3869" s="10">
        <v>43350</v>
      </c>
      <c r="B3869">
        <v>27359</v>
      </c>
      <c r="C3869">
        <v>-7.6225999999999203</v>
      </c>
      <c r="D3869">
        <v>-187.5</v>
      </c>
      <c r="E3869">
        <v>0</v>
      </c>
      <c r="F3869">
        <v>0</v>
      </c>
      <c r="G3869">
        <v>640.51162458029057</v>
      </c>
      <c r="H3869">
        <v>7.2248488099994574</v>
      </c>
      <c r="I3869">
        <v>30310.909613154388</v>
      </c>
      <c r="J3869">
        <v>0</v>
      </c>
      <c r="K3869">
        <v>1152.7632856156249</v>
      </c>
      <c r="L3869">
        <v>0</v>
      </c>
      <c r="M3869">
        <v>0</v>
      </c>
      <c r="N3869">
        <v>0</v>
      </c>
      <c r="O3869">
        <v>-4557.2867721603061</v>
      </c>
      <c r="P3869">
        <v>1326242</v>
      </c>
    </row>
    <row r="3870" spans="1:16" x14ac:dyDescent="0.25">
      <c r="A3870" s="10">
        <v>43353</v>
      </c>
      <c r="B3870">
        <v>-14938</v>
      </c>
      <c r="C3870">
        <v>-559.26099999999997</v>
      </c>
      <c r="D3870">
        <v>-2257.755999</v>
      </c>
      <c r="E3870">
        <v>0</v>
      </c>
      <c r="F3870">
        <v>0</v>
      </c>
      <c r="G3870">
        <v>1855.8547373200211</v>
      </c>
      <c r="H3870">
        <v>-1314.5586590200001</v>
      </c>
      <c r="I3870">
        <v>-12225.62112403213</v>
      </c>
      <c r="J3870">
        <v>-29.89999999999964</v>
      </c>
      <c r="K3870">
        <v>271.02783675212549</v>
      </c>
      <c r="L3870">
        <v>0</v>
      </c>
      <c r="M3870">
        <v>0</v>
      </c>
      <c r="N3870">
        <v>0</v>
      </c>
      <c r="O3870">
        <v>-677.78579202001947</v>
      </c>
      <c r="P3870">
        <v>1311304</v>
      </c>
    </row>
    <row r="3871" spans="1:16" x14ac:dyDescent="0.25">
      <c r="A3871" s="10">
        <v>43354</v>
      </c>
      <c r="B3871">
        <v>-5772</v>
      </c>
      <c r="C3871">
        <v>-2082.3897499999998</v>
      </c>
      <c r="D3871">
        <v>0</v>
      </c>
      <c r="E3871">
        <v>0</v>
      </c>
      <c r="F3871">
        <v>0</v>
      </c>
      <c r="G3871">
        <v>-199.45915252999541</v>
      </c>
      <c r="H3871">
        <v>2413.032687020001</v>
      </c>
      <c r="I3871">
        <v>-8001.9642505532538</v>
      </c>
      <c r="J3871">
        <v>0</v>
      </c>
      <c r="K3871">
        <v>274.65596922325011</v>
      </c>
      <c r="L3871">
        <v>0</v>
      </c>
      <c r="M3871">
        <v>0</v>
      </c>
      <c r="N3871">
        <v>0</v>
      </c>
      <c r="O3871">
        <v>1824.124496839999</v>
      </c>
      <c r="P3871">
        <v>1305532</v>
      </c>
    </row>
    <row r="3872" spans="1:16" x14ac:dyDescent="0.25">
      <c r="A3872" s="10">
        <v>43355</v>
      </c>
      <c r="B3872">
        <v>-11184</v>
      </c>
      <c r="C3872">
        <v>-189.85</v>
      </c>
      <c r="D3872">
        <v>0</v>
      </c>
      <c r="E3872">
        <v>0</v>
      </c>
      <c r="F3872">
        <v>0</v>
      </c>
      <c r="G3872">
        <v>-157.42698826993319</v>
      </c>
      <c r="H3872">
        <v>-3106.1836968699999</v>
      </c>
      <c r="I3872">
        <v>-10414.23551040076</v>
      </c>
      <c r="J3872">
        <v>0</v>
      </c>
      <c r="K3872">
        <v>439.78774514074979</v>
      </c>
      <c r="L3872">
        <v>0</v>
      </c>
      <c r="M3872">
        <v>0</v>
      </c>
      <c r="N3872">
        <v>0</v>
      </c>
      <c r="O3872">
        <v>2243.908450399942</v>
      </c>
      <c r="P3872">
        <v>1294348</v>
      </c>
    </row>
    <row r="3873" spans="1:16" x14ac:dyDescent="0.25">
      <c r="A3873" s="10">
        <v>43356</v>
      </c>
      <c r="B3873">
        <v>668</v>
      </c>
      <c r="C3873">
        <v>-1525.8811000000001</v>
      </c>
      <c r="D3873">
        <v>0</v>
      </c>
      <c r="E3873">
        <v>0</v>
      </c>
      <c r="F3873">
        <v>0</v>
      </c>
      <c r="G3873">
        <v>10.20553959961194</v>
      </c>
      <c r="H3873">
        <v>1531.5702447599999</v>
      </c>
      <c r="I3873">
        <v>-1432.1458673912571</v>
      </c>
      <c r="J3873">
        <v>0</v>
      </c>
      <c r="K3873">
        <v>636.28099686125006</v>
      </c>
      <c r="L3873">
        <v>0</v>
      </c>
      <c r="M3873">
        <v>0</v>
      </c>
      <c r="N3873">
        <v>0</v>
      </c>
      <c r="O3873">
        <v>1447.970186170395</v>
      </c>
      <c r="P3873">
        <v>1295016</v>
      </c>
    </row>
    <row r="3874" spans="1:16" x14ac:dyDescent="0.25">
      <c r="A3874" s="10">
        <v>43357</v>
      </c>
      <c r="B3874">
        <v>-761</v>
      </c>
      <c r="C3874">
        <v>-11180.028300010001</v>
      </c>
      <c r="D3874">
        <v>-16236</v>
      </c>
      <c r="E3874">
        <v>0</v>
      </c>
      <c r="F3874">
        <v>0</v>
      </c>
      <c r="G3874">
        <v>-122.7249697503057</v>
      </c>
      <c r="H3874">
        <v>-2231.6930729800001</v>
      </c>
      <c r="I3874">
        <v>24326.7348877285</v>
      </c>
      <c r="J3874">
        <v>0</v>
      </c>
      <c r="K3874">
        <v>803.04988272149978</v>
      </c>
      <c r="L3874">
        <v>0</v>
      </c>
      <c r="M3874">
        <v>0</v>
      </c>
      <c r="N3874">
        <v>0</v>
      </c>
      <c r="O3874">
        <v>3879.6615722903089</v>
      </c>
      <c r="P3874">
        <v>1294255</v>
      </c>
    </row>
    <row r="3875" spans="1:16" x14ac:dyDescent="0.25">
      <c r="A3875" s="10">
        <v>43360</v>
      </c>
      <c r="B3875">
        <v>-42524</v>
      </c>
      <c r="C3875">
        <v>-11941.6402</v>
      </c>
      <c r="D3875">
        <v>-9600</v>
      </c>
      <c r="E3875">
        <v>0</v>
      </c>
      <c r="F3875">
        <v>0</v>
      </c>
      <c r="G3875">
        <v>-25.424807269444841</v>
      </c>
      <c r="H3875">
        <v>-4605.8720149299988</v>
      </c>
      <c r="I3875">
        <v>-38340.027751345391</v>
      </c>
      <c r="J3875">
        <v>0</v>
      </c>
      <c r="K3875">
        <v>420.41222621537509</v>
      </c>
      <c r="L3875">
        <v>21432.556172000011</v>
      </c>
      <c r="M3875">
        <v>0</v>
      </c>
      <c r="N3875">
        <v>0</v>
      </c>
      <c r="O3875">
        <v>135.99637532944911</v>
      </c>
      <c r="P3875">
        <v>1251731</v>
      </c>
    </row>
    <row r="3876" spans="1:16" x14ac:dyDescent="0.25">
      <c r="A3876" s="10">
        <v>43361</v>
      </c>
      <c r="B3876">
        <v>-18548</v>
      </c>
      <c r="C3876">
        <v>-10404.009</v>
      </c>
      <c r="D3876">
        <v>-1990</v>
      </c>
      <c r="E3876">
        <v>-7600</v>
      </c>
      <c r="F3876">
        <v>0</v>
      </c>
      <c r="G3876">
        <v>291.26134658010329</v>
      </c>
      <c r="H3876">
        <v>7725.1326111099988</v>
      </c>
      <c r="I3876">
        <v>-5783.5469988565019</v>
      </c>
      <c r="J3876">
        <v>0</v>
      </c>
      <c r="K3876">
        <v>373.49530896649992</v>
      </c>
      <c r="L3876">
        <v>0</v>
      </c>
      <c r="M3876">
        <v>0</v>
      </c>
      <c r="N3876">
        <v>0</v>
      </c>
      <c r="O3876">
        <v>-1160.3332678001</v>
      </c>
      <c r="P3876">
        <v>1233183</v>
      </c>
    </row>
    <row r="3877" spans="1:16" x14ac:dyDescent="0.25">
      <c r="A3877" s="10">
        <v>43362</v>
      </c>
      <c r="B3877">
        <v>133117</v>
      </c>
      <c r="C3877">
        <v>-7700.10538</v>
      </c>
      <c r="D3877">
        <v>-2000</v>
      </c>
      <c r="E3877">
        <v>0</v>
      </c>
      <c r="F3877">
        <v>0</v>
      </c>
      <c r="G3877">
        <v>116.2629086998259</v>
      </c>
      <c r="H3877">
        <v>-15821.5604408</v>
      </c>
      <c r="I3877">
        <v>-73595.279741506762</v>
      </c>
      <c r="J3877">
        <v>0</v>
      </c>
      <c r="K3877">
        <v>560.86795116674966</v>
      </c>
      <c r="L3877">
        <v>237957.82081451509</v>
      </c>
      <c r="M3877">
        <v>0</v>
      </c>
      <c r="N3877">
        <v>0</v>
      </c>
      <c r="O3877">
        <v>-6401.0061120748778</v>
      </c>
      <c r="P3877">
        <v>1366300</v>
      </c>
    </row>
    <row r="3878" spans="1:16" x14ac:dyDescent="0.25">
      <c r="A3878" s="10">
        <v>43363</v>
      </c>
      <c r="B3878">
        <v>-67641</v>
      </c>
      <c r="C3878">
        <v>0</v>
      </c>
      <c r="D3878">
        <v>0</v>
      </c>
      <c r="E3878">
        <v>-13500</v>
      </c>
      <c r="F3878">
        <v>0</v>
      </c>
      <c r="G3878">
        <v>-25.028344470215419</v>
      </c>
      <c r="H3878">
        <v>4237.5456724899996</v>
      </c>
      <c r="I3878">
        <v>-55458.685765133123</v>
      </c>
      <c r="J3878">
        <v>0</v>
      </c>
      <c r="K3878">
        <v>671.64179122312498</v>
      </c>
      <c r="L3878">
        <v>0</v>
      </c>
      <c r="M3878">
        <v>0</v>
      </c>
      <c r="N3878">
        <v>0</v>
      </c>
      <c r="O3878">
        <v>-3566.4733541097862</v>
      </c>
      <c r="P3878">
        <v>1298659</v>
      </c>
    </row>
    <row r="3879" spans="1:16" x14ac:dyDescent="0.25">
      <c r="A3879" s="10">
        <v>43364</v>
      </c>
      <c r="B3879">
        <v>-69792</v>
      </c>
      <c r="C3879">
        <v>0</v>
      </c>
      <c r="D3879">
        <v>0</v>
      </c>
      <c r="E3879">
        <v>0</v>
      </c>
      <c r="F3879">
        <v>0</v>
      </c>
      <c r="G3879">
        <v>111.3737068997789</v>
      </c>
      <c r="H3879">
        <v>3488.6102104099991</v>
      </c>
      <c r="I3879">
        <v>-69376.590452594624</v>
      </c>
      <c r="J3879">
        <v>0</v>
      </c>
      <c r="K3879">
        <v>537.89443330462473</v>
      </c>
      <c r="L3879">
        <v>0</v>
      </c>
      <c r="M3879">
        <v>0</v>
      </c>
      <c r="N3879">
        <v>0</v>
      </c>
      <c r="O3879">
        <v>-4553.2878980197784</v>
      </c>
      <c r="P3879">
        <v>1228867</v>
      </c>
    </row>
    <row r="3880" spans="1:16" x14ac:dyDescent="0.25">
      <c r="A3880" s="10">
        <v>43367</v>
      </c>
      <c r="B3880">
        <v>-8326</v>
      </c>
      <c r="C3880">
        <v>-4478.3959999999997</v>
      </c>
      <c r="D3880">
        <v>0</v>
      </c>
      <c r="E3880">
        <v>0</v>
      </c>
      <c r="F3880">
        <v>0</v>
      </c>
      <c r="G3880">
        <v>-11050.10732610973</v>
      </c>
      <c r="H3880">
        <v>4605.2072407800006</v>
      </c>
      <c r="I3880">
        <v>4560.7115006013773</v>
      </c>
      <c r="J3880">
        <v>0</v>
      </c>
      <c r="K3880">
        <v>882.25378680862514</v>
      </c>
      <c r="L3880">
        <v>0</v>
      </c>
      <c r="M3880">
        <v>0</v>
      </c>
      <c r="N3880">
        <v>0</v>
      </c>
      <c r="O3880">
        <v>-2845.669202080278</v>
      </c>
      <c r="P3880">
        <v>1220541</v>
      </c>
    </row>
    <row r="3881" spans="1:16" x14ac:dyDescent="0.25">
      <c r="A3881" s="10">
        <v>43368</v>
      </c>
      <c r="B3881">
        <v>44897</v>
      </c>
      <c r="C3881">
        <v>0</v>
      </c>
      <c r="D3881">
        <v>0</v>
      </c>
      <c r="E3881">
        <v>0</v>
      </c>
      <c r="F3881">
        <v>0</v>
      </c>
      <c r="G3881">
        <v>11087.6782764199</v>
      </c>
      <c r="H3881">
        <v>4201.9763139899987</v>
      </c>
      <c r="I3881">
        <v>26404.764998909439</v>
      </c>
      <c r="J3881">
        <v>0</v>
      </c>
      <c r="K3881">
        <v>435.19209153187472</v>
      </c>
      <c r="L3881">
        <v>0</v>
      </c>
      <c r="M3881">
        <v>0</v>
      </c>
      <c r="N3881">
        <v>0</v>
      </c>
      <c r="O3881">
        <v>2767.388319148788</v>
      </c>
      <c r="P3881">
        <v>1265438</v>
      </c>
    </row>
    <row r="3882" spans="1:16" x14ac:dyDescent="0.25">
      <c r="A3882" s="10">
        <v>43369</v>
      </c>
      <c r="B3882">
        <v>1381</v>
      </c>
      <c r="C3882">
        <v>0</v>
      </c>
      <c r="D3882">
        <v>0</v>
      </c>
      <c r="E3882">
        <v>0</v>
      </c>
      <c r="F3882">
        <v>0</v>
      </c>
      <c r="G3882">
        <v>-117.7714380400848</v>
      </c>
      <c r="H3882">
        <v>-3356.1782148600009</v>
      </c>
      <c r="I3882">
        <v>167.9842524428386</v>
      </c>
      <c r="J3882">
        <v>0</v>
      </c>
      <c r="K3882">
        <v>1406.0201839471249</v>
      </c>
      <c r="L3882">
        <v>0</v>
      </c>
      <c r="M3882">
        <v>0</v>
      </c>
      <c r="N3882">
        <v>0</v>
      </c>
      <c r="O3882">
        <v>3280.945216510122</v>
      </c>
      <c r="P3882">
        <v>1266819</v>
      </c>
    </row>
    <row r="3883" spans="1:16" x14ac:dyDescent="0.25">
      <c r="A3883" s="10">
        <v>43370</v>
      </c>
      <c r="B3883">
        <v>10194</v>
      </c>
      <c r="C3883">
        <v>0</v>
      </c>
      <c r="D3883">
        <v>0</v>
      </c>
      <c r="E3883">
        <v>0</v>
      </c>
      <c r="F3883">
        <v>0</v>
      </c>
      <c r="G3883">
        <v>133.03046078044369</v>
      </c>
      <c r="H3883">
        <v>-1199.5279494100009</v>
      </c>
      <c r="I3883">
        <v>7013.331197205116</v>
      </c>
      <c r="J3883">
        <v>0</v>
      </c>
      <c r="K3883">
        <v>1292.500472094875</v>
      </c>
      <c r="L3883">
        <v>0</v>
      </c>
      <c r="M3883">
        <v>0</v>
      </c>
      <c r="N3883">
        <v>0</v>
      </c>
      <c r="O3883">
        <v>2954.6658193295661</v>
      </c>
      <c r="P3883">
        <v>1277013</v>
      </c>
    </row>
    <row r="3884" spans="1:16" x14ac:dyDescent="0.25">
      <c r="A3884" s="10">
        <v>43371</v>
      </c>
      <c r="B3884">
        <v>-27356</v>
      </c>
      <c r="C3884">
        <v>0</v>
      </c>
      <c r="D3884">
        <v>0</v>
      </c>
      <c r="E3884">
        <v>0</v>
      </c>
      <c r="F3884">
        <v>0</v>
      </c>
      <c r="G3884">
        <v>118.945048649719</v>
      </c>
      <c r="H3884">
        <v>-28933.907323150012</v>
      </c>
      <c r="I3884">
        <v>-6777.6771691138856</v>
      </c>
      <c r="J3884">
        <v>0</v>
      </c>
      <c r="K3884">
        <v>1326.733554153875</v>
      </c>
      <c r="L3884">
        <v>0</v>
      </c>
      <c r="M3884">
        <v>0</v>
      </c>
      <c r="N3884">
        <v>0</v>
      </c>
      <c r="O3884">
        <v>6909.9058894602986</v>
      </c>
      <c r="P3884">
        <v>1249657</v>
      </c>
    </row>
    <row r="3885" spans="1:16" x14ac:dyDescent="0.25">
      <c r="A3885" s="10">
        <v>43374</v>
      </c>
      <c r="B3885">
        <v>36550</v>
      </c>
      <c r="C3885">
        <v>0</v>
      </c>
      <c r="D3885">
        <v>0</v>
      </c>
      <c r="E3885">
        <v>0</v>
      </c>
      <c r="F3885">
        <v>0</v>
      </c>
      <c r="G3885">
        <v>109.1512223702339</v>
      </c>
      <c r="H3885">
        <v>33119.303339860002</v>
      </c>
      <c r="I3885">
        <v>-1339.349659925268</v>
      </c>
      <c r="J3885">
        <v>0</v>
      </c>
      <c r="K3885">
        <v>934.29809960525017</v>
      </c>
      <c r="L3885">
        <v>0</v>
      </c>
      <c r="M3885">
        <v>0</v>
      </c>
      <c r="N3885">
        <v>0</v>
      </c>
      <c r="O3885">
        <v>3726.596998089783</v>
      </c>
      <c r="P3885">
        <v>1286207</v>
      </c>
    </row>
    <row r="3886" spans="1:16" x14ac:dyDescent="0.25">
      <c r="A3886" s="10">
        <v>43375</v>
      </c>
      <c r="B3886">
        <v>-47027</v>
      </c>
      <c r="C3886">
        <v>0</v>
      </c>
      <c r="D3886">
        <v>0</v>
      </c>
      <c r="E3886">
        <v>0</v>
      </c>
      <c r="F3886">
        <v>0</v>
      </c>
      <c r="G3886">
        <v>78.604887159985083</v>
      </c>
      <c r="H3886">
        <v>506.06980318000001</v>
      </c>
      <c r="I3886">
        <v>-41290.644546271833</v>
      </c>
      <c r="J3886">
        <v>0</v>
      </c>
      <c r="K3886">
        <v>126.50114972187509</v>
      </c>
      <c r="L3886">
        <v>0</v>
      </c>
      <c r="M3886">
        <v>0</v>
      </c>
      <c r="N3886">
        <v>0</v>
      </c>
      <c r="O3886">
        <v>-6447.5312937900326</v>
      </c>
      <c r="P3886">
        <v>1239180</v>
      </c>
    </row>
    <row r="3887" spans="1:16" x14ac:dyDescent="0.25">
      <c r="A3887" s="10">
        <v>43376</v>
      </c>
      <c r="B3887">
        <v>8566</v>
      </c>
      <c r="C3887">
        <v>0</v>
      </c>
      <c r="D3887">
        <v>0</v>
      </c>
      <c r="E3887">
        <v>0</v>
      </c>
      <c r="F3887">
        <v>0</v>
      </c>
      <c r="G3887">
        <v>-4.6151203103327134</v>
      </c>
      <c r="H3887">
        <v>-2174.0322270800011</v>
      </c>
      <c r="I3887">
        <v>13894.32806355902</v>
      </c>
      <c r="J3887">
        <v>0</v>
      </c>
      <c r="K3887">
        <v>1403.7175099509991</v>
      </c>
      <c r="L3887">
        <v>0</v>
      </c>
      <c r="M3887">
        <v>0</v>
      </c>
      <c r="N3887">
        <v>0</v>
      </c>
      <c r="O3887">
        <v>-4553.3982261196861</v>
      </c>
      <c r="P3887">
        <v>1247746</v>
      </c>
    </row>
    <row r="3888" spans="1:16" x14ac:dyDescent="0.25">
      <c r="A3888" s="10">
        <v>43377</v>
      </c>
      <c r="B3888">
        <v>9826</v>
      </c>
      <c r="C3888">
        <v>0</v>
      </c>
      <c r="D3888">
        <v>0</v>
      </c>
      <c r="E3888">
        <v>0</v>
      </c>
      <c r="F3888">
        <v>0</v>
      </c>
      <c r="G3888">
        <v>179.91924832988991</v>
      </c>
      <c r="H3888">
        <v>497.29424759000091</v>
      </c>
      <c r="I3888">
        <v>8458.9881804194301</v>
      </c>
      <c r="J3888">
        <v>0</v>
      </c>
      <c r="K3888">
        <v>1206.089235040535</v>
      </c>
      <c r="L3888">
        <v>0</v>
      </c>
      <c r="M3888">
        <v>0</v>
      </c>
      <c r="N3888">
        <v>0</v>
      </c>
      <c r="O3888">
        <v>-516.29091137985677</v>
      </c>
      <c r="P3888">
        <v>1257572</v>
      </c>
    </row>
    <row r="3889" spans="1:16" x14ac:dyDescent="0.25">
      <c r="A3889" s="10">
        <v>43378</v>
      </c>
      <c r="B3889">
        <v>22664</v>
      </c>
      <c r="C3889">
        <v>0</v>
      </c>
      <c r="D3889">
        <v>0</v>
      </c>
      <c r="E3889">
        <v>0</v>
      </c>
      <c r="F3889">
        <v>0</v>
      </c>
      <c r="G3889">
        <v>170.41141241034691</v>
      </c>
      <c r="H3889">
        <v>1202.8449717799999</v>
      </c>
      <c r="I3889">
        <v>18029.03596242511</v>
      </c>
      <c r="J3889">
        <v>0</v>
      </c>
      <c r="K3889">
        <v>1516.7409219748961</v>
      </c>
      <c r="L3889">
        <v>0</v>
      </c>
      <c r="M3889">
        <v>0</v>
      </c>
      <c r="N3889">
        <v>0</v>
      </c>
      <c r="O3889">
        <v>1744.966731409643</v>
      </c>
      <c r="P3889">
        <v>1280236</v>
      </c>
    </row>
    <row r="3890" spans="1:16" x14ac:dyDescent="0.25">
      <c r="A3890" s="10">
        <v>43381</v>
      </c>
      <c r="B3890">
        <v>-12637.100000000089</v>
      </c>
      <c r="C3890">
        <v>0</v>
      </c>
      <c r="D3890">
        <v>0</v>
      </c>
      <c r="E3890">
        <v>0</v>
      </c>
      <c r="F3890">
        <v>0</v>
      </c>
      <c r="G3890">
        <v>-191.8854924700581</v>
      </c>
      <c r="H3890">
        <v>633.53680813999972</v>
      </c>
      <c r="I3890">
        <v>-11523.10595297994</v>
      </c>
      <c r="J3890">
        <v>-23.32117734999974</v>
      </c>
      <c r="K3890">
        <v>906.73398982999947</v>
      </c>
      <c r="L3890">
        <v>0</v>
      </c>
      <c r="M3890">
        <v>0</v>
      </c>
      <c r="N3890">
        <v>0</v>
      </c>
      <c r="O3890">
        <v>-2439.0581751700961</v>
      </c>
      <c r="P3890">
        <v>1267598.8999999999</v>
      </c>
    </row>
    <row r="3891" spans="1:16" x14ac:dyDescent="0.25">
      <c r="A3891" s="10">
        <v>43382</v>
      </c>
      <c r="B3891">
        <v>-9732.8999999999069</v>
      </c>
      <c r="C3891">
        <v>0</v>
      </c>
      <c r="D3891">
        <v>0</v>
      </c>
      <c r="E3891">
        <v>0</v>
      </c>
      <c r="F3891">
        <v>0</v>
      </c>
      <c r="G3891">
        <v>-215.68788471990621</v>
      </c>
      <c r="H3891">
        <v>-1293.26428571</v>
      </c>
      <c r="I3891">
        <v>-7162.2869206599426</v>
      </c>
      <c r="J3891">
        <v>0</v>
      </c>
      <c r="K3891">
        <v>695.04611574999933</v>
      </c>
      <c r="L3891">
        <v>0</v>
      </c>
      <c r="M3891">
        <v>0</v>
      </c>
      <c r="N3891">
        <v>0</v>
      </c>
      <c r="O3891">
        <v>-1756.7070246600581</v>
      </c>
      <c r="P3891">
        <v>1257866</v>
      </c>
    </row>
    <row r="3892" spans="1:16" x14ac:dyDescent="0.25">
      <c r="A3892" s="10">
        <v>43383</v>
      </c>
      <c r="B3892">
        <v>2058</v>
      </c>
      <c r="C3892">
        <v>0</v>
      </c>
      <c r="D3892">
        <v>0</v>
      </c>
      <c r="E3892">
        <v>0</v>
      </c>
      <c r="F3892">
        <v>0</v>
      </c>
      <c r="G3892">
        <v>115.1592375600612</v>
      </c>
      <c r="H3892">
        <v>-397.67647829999993</v>
      </c>
      <c r="I3892">
        <v>1745.1331166820601</v>
      </c>
      <c r="J3892">
        <v>0</v>
      </c>
      <c r="K3892">
        <v>1478.149527017928</v>
      </c>
      <c r="L3892">
        <v>0</v>
      </c>
      <c r="M3892">
        <v>0</v>
      </c>
      <c r="N3892">
        <v>0</v>
      </c>
      <c r="O3892">
        <v>-882.76540296004919</v>
      </c>
      <c r="P3892">
        <v>1259924</v>
      </c>
    </row>
    <row r="3893" spans="1:16" x14ac:dyDescent="0.25">
      <c r="A3893" s="10">
        <v>43384</v>
      </c>
      <c r="B3893">
        <v>-1365</v>
      </c>
      <c r="C3893">
        <v>0</v>
      </c>
      <c r="D3893">
        <v>-382</v>
      </c>
      <c r="E3893">
        <v>0</v>
      </c>
      <c r="F3893">
        <v>0</v>
      </c>
      <c r="G3893">
        <v>-252.15187776013931</v>
      </c>
      <c r="H3893">
        <v>437.23487364999983</v>
      </c>
      <c r="I3893">
        <v>-1120.781241797609</v>
      </c>
      <c r="J3893">
        <v>0</v>
      </c>
      <c r="K3893">
        <v>1347.7449904176669</v>
      </c>
      <c r="L3893">
        <v>0</v>
      </c>
      <c r="M3893">
        <v>0</v>
      </c>
      <c r="N3893">
        <v>0</v>
      </c>
      <c r="O3893">
        <v>-1395.046744509918</v>
      </c>
      <c r="P3893">
        <v>1258559</v>
      </c>
    </row>
    <row r="3894" spans="1:16" x14ac:dyDescent="0.25">
      <c r="A3894" s="10">
        <v>43385</v>
      </c>
      <c r="B3894">
        <v>-18117</v>
      </c>
      <c r="C3894">
        <v>0</v>
      </c>
      <c r="D3894">
        <v>-19604</v>
      </c>
      <c r="E3894">
        <v>0</v>
      </c>
      <c r="F3894">
        <v>0</v>
      </c>
      <c r="G3894">
        <v>-96.208611229804774</v>
      </c>
      <c r="H3894">
        <v>378.71682939000038</v>
      </c>
      <c r="I3894">
        <v>1481.447546534182</v>
      </c>
      <c r="J3894">
        <v>0</v>
      </c>
      <c r="K3894">
        <v>1453.9828178558371</v>
      </c>
      <c r="L3894">
        <v>0</v>
      </c>
      <c r="M3894">
        <v>0</v>
      </c>
      <c r="N3894">
        <v>0</v>
      </c>
      <c r="O3894">
        <v>-1730.938582550215</v>
      </c>
      <c r="P3894">
        <v>1240442</v>
      </c>
    </row>
    <row r="3895" spans="1:16" x14ac:dyDescent="0.25">
      <c r="A3895" s="10">
        <v>43389</v>
      </c>
      <c r="B3895">
        <v>8923</v>
      </c>
      <c r="C3895">
        <v>0</v>
      </c>
      <c r="D3895">
        <v>-2545.9</v>
      </c>
      <c r="E3895">
        <v>0</v>
      </c>
      <c r="F3895">
        <v>0</v>
      </c>
      <c r="G3895">
        <v>92.657238450004343</v>
      </c>
      <c r="H3895">
        <v>300.77641355999998</v>
      </c>
      <c r="I3895">
        <v>10647.15437283402</v>
      </c>
      <c r="J3895">
        <v>0</v>
      </c>
      <c r="K3895">
        <v>2143.9027252359961</v>
      </c>
      <c r="L3895">
        <v>0</v>
      </c>
      <c r="M3895">
        <v>0</v>
      </c>
      <c r="N3895">
        <v>0</v>
      </c>
      <c r="O3895">
        <v>-1715.5907500800181</v>
      </c>
      <c r="P3895">
        <v>1249365</v>
      </c>
    </row>
    <row r="3896" spans="1:16" x14ac:dyDescent="0.25">
      <c r="A3896" s="10">
        <v>43390</v>
      </c>
      <c r="B3896">
        <v>69081</v>
      </c>
      <c r="C3896">
        <v>0</v>
      </c>
      <c r="D3896">
        <v>-4888</v>
      </c>
      <c r="E3896">
        <v>0</v>
      </c>
      <c r="F3896">
        <v>0</v>
      </c>
      <c r="G3896">
        <v>-363.63861856980338</v>
      </c>
      <c r="H3896">
        <v>-3090.0208313099988</v>
      </c>
      <c r="I3896">
        <v>-76212.044004690484</v>
      </c>
      <c r="J3896">
        <v>0</v>
      </c>
      <c r="K3896">
        <v>1476.5612136004299</v>
      </c>
      <c r="L3896">
        <v>156238.39038639801</v>
      </c>
      <c r="M3896">
        <v>0</v>
      </c>
      <c r="N3896">
        <v>0</v>
      </c>
      <c r="O3896">
        <v>-4080.2481454281551</v>
      </c>
      <c r="P3896">
        <v>1318446</v>
      </c>
    </row>
    <row r="3897" spans="1:16" x14ac:dyDescent="0.25">
      <c r="A3897" s="10">
        <v>43391</v>
      </c>
      <c r="B3897">
        <v>-60098</v>
      </c>
      <c r="C3897">
        <v>0</v>
      </c>
      <c r="D3897">
        <v>-10017</v>
      </c>
      <c r="E3897">
        <v>0</v>
      </c>
      <c r="F3897">
        <v>0</v>
      </c>
      <c r="G3897">
        <v>-167.56378790023649</v>
      </c>
      <c r="H3897">
        <v>1235.5035011099999</v>
      </c>
      <c r="I3897">
        <v>-52799.150756007577</v>
      </c>
      <c r="J3897">
        <v>0</v>
      </c>
      <c r="K3897">
        <v>1364.314754097569</v>
      </c>
      <c r="L3897">
        <v>0</v>
      </c>
      <c r="M3897">
        <v>0</v>
      </c>
      <c r="N3897">
        <v>0</v>
      </c>
      <c r="O3897">
        <v>285.89628870025513</v>
      </c>
      <c r="P3897">
        <v>1258348</v>
      </c>
    </row>
    <row r="3898" spans="1:16" x14ac:dyDescent="0.25">
      <c r="A3898" s="10">
        <v>43392</v>
      </c>
      <c r="B3898">
        <v>-35689</v>
      </c>
      <c r="C3898">
        <v>0</v>
      </c>
      <c r="D3898">
        <v>0</v>
      </c>
      <c r="E3898">
        <v>0</v>
      </c>
      <c r="F3898">
        <v>0</v>
      </c>
      <c r="G3898">
        <v>949.9856902801713</v>
      </c>
      <c r="H3898">
        <v>-6262.9475595800013</v>
      </c>
      <c r="I3898">
        <v>-31878.116352382582</v>
      </c>
      <c r="J3898">
        <v>0</v>
      </c>
      <c r="K3898">
        <v>1409.634803582607</v>
      </c>
      <c r="L3898">
        <v>0</v>
      </c>
      <c r="M3898">
        <v>0</v>
      </c>
      <c r="N3898">
        <v>0</v>
      </c>
      <c r="O3898">
        <v>92.443418099806351</v>
      </c>
      <c r="P3898">
        <v>1222659</v>
      </c>
    </row>
    <row r="3899" spans="1:16" x14ac:dyDescent="0.25">
      <c r="A3899" s="10">
        <v>43395</v>
      </c>
      <c r="B3899">
        <v>-4439</v>
      </c>
      <c r="C3899">
        <v>0</v>
      </c>
      <c r="D3899">
        <v>0</v>
      </c>
      <c r="E3899">
        <v>0</v>
      </c>
      <c r="F3899">
        <v>0</v>
      </c>
      <c r="G3899">
        <v>47.769032429859408</v>
      </c>
      <c r="H3899">
        <v>8552.0364835199998</v>
      </c>
      <c r="I3899">
        <v>-12241.600479500021</v>
      </c>
      <c r="J3899">
        <v>0</v>
      </c>
      <c r="K3899">
        <v>39.374088210000082</v>
      </c>
      <c r="L3899">
        <v>0</v>
      </c>
      <c r="M3899">
        <v>0</v>
      </c>
      <c r="N3899">
        <v>0</v>
      </c>
      <c r="O3899">
        <v>-836.57912465984032</v>
      </c>
      <c r="P3899">
        <v>1218220</v>
      </c>
    </row>
    <row r="3900" spans="1:16" x14ac:dyDescent="0.25">
      <c r="A3900" s="10">
        <v>43396</v>
      </c>
      <c r="B3900">
        <v>11435</v>
      </c>
      <c r="C3900">
        <v>0</v>
      </c>
      <c r="D3900">
        <v>0</v>
      </c>
      <c r="E3900">
        <v>0</v>
      </c>
      <c r="F3900">
        <v>0</v>
      </c>
      <c r="G3900">
        <v>-10780.106694460281</v>
      </c>
      <c r="H3900">
        <v>338.80408684999998</v>
      </c>
      <c r="I3900">
        <v>20884.22494987107</v>
      </c>
      <c r="J3900">
        <v>0</v>
      </c>
      <c r="K3900">
        <v>1805.8068141289</v>
      </c>
      <c r="L3900">
        <v>0</v>
      </c>
      <c r="M3900">
        <v>0</v>
      </c>
      <c r="N3900">
        <v>0</v>
      </c>
      <c r="O3900">
        <v>-813.72915638969152</v>
      </c>
      <c r="P3900">
        <v>1229655</v>
      </c>
    </row>
    <row r="3901" spans="1:16" x14ac:dyDescent="0.25">
      <c r="A3901" s="10">
        <v>43397</v>
      </c>
      <c r="B3901">
        <v>38342</v>
      </c>
      <c r="C3901">
        <v>0</v>
      </c>
      <c r="D3901">
        <v>0</v>
      </c>
      <c r="E3901">
        <v>0</v>
      </c>
      <c r="F3901">
        <v>0</v>
      </c>
      <c r="G3901">
        <v>9863.4876370203256</v>
      </c>
      <c r="H3901">
        <v>53.503518939999822</v>
      </c>
      <c r="I3901">
        <v>25537.387676175451</v>
      </c>
      <c r="J3901">
        <v>0</v>
      </c>
      <c r="K3901">
        <v>2544.1926825845562</v>
      </c>
      <c r="L3901">
        <v>0</v>
      </c>
      <c r="M3901">
        <v>0</v>
      </c>
      <c r="N3901">
        <v>0</v>
      </c>
      <c r="O3901">
        <v>343.42848527966851</v>
      </c>
      <c r="P3901">
        <v>1267997</v>
      </c>
    </row>
    <row r="3902" spans="1:16" x14ac:dyDescent="0.25">
      <c r="A3902" s="10">
        <v>43398</v>
      </c>
      <c r="B3902">
        <v>-3170</v>
      </c>
      <c r="C3902">
        <v>0</v>
      </c>
      <c r="D3902">
        <v>0</v>
      </c>
      <c r="E3902">
        <v>0</v>
      </c>
      <c r="F3902">
        <v>0</v>
      </c>
      <c r="G3902">
        <v>1096.5858617000411</v>
      </c>
      <c r="H3902">
        <v>-3334.13115423</v>
      </c>
      <c r="I3902">
        <v>-3482.297959561693</v>
      </c>
      <c r="J3902">
        <v>0</v>
      </c>
      <c r="K3902">
        <v>2091.5650369317532</v>
      </c>
      <c r="L3902">
        <v>0</v>
      </c>
      <c r="M3902">
        <v>0</v>
      </c>
      <c r="N3902">
        <v>0</v>
      </c>
      <c r="O3902">
        <v>458.27821515989848</v>
      </c>
      <c r="P3902">
        <v>1264827</v>
      </c>
    </row>
    <row r="3903" spans="1:16" x14ac:dyDescent="0.25">
      <c r="A3903" s="10">
        <v>43399</v>
      </c>
      <c r="B3903">
        <v>10775</v>
      </c>
      <c r="C3903">
        <v>0</v>
      </c>
      <c r="D3903">
        <v>0</v>
      </c>
      <c r="E3903">
        <v>0</v>
      </c>
      <c r="F3903">
        <v>0</v>
      </c>
      <c r="G3903">
        <v>36.317204729846743</v>
      </c>
      <c r="H3903">
        <v>-1555.696682929999</v>
      </c>
      <c r="I3903">
        <v>10429.54668924655</v>
      </c>
      <c r="J3903">
        <v>0</v>
      </c>
      <c r="K3903">
        <v>1875.4749353334901</v>
      </c>
      <c r="L3903">
        <v>0</v>
      </c>
      <c r="M3903">
        <v>0</v>
      </c>
      <c r="N3903">
        <v>0</v>
      </c>
      <c r="O3903">
        <v>-10.642146379884741</v>
      </c>
      <c r="P3903">
        <v>1275602</v>
      </c>
    </row>
    <row r="3904" spans="1:16" x14ac:dyDescent="0.25">
      <c r="A3904" s="10">
        <v>43402</v>
      </c>
      <c r="B3904">
        <v>-26728</v>
      </c>
      <c r="C3904">
        <v>0</v>
      </c>
      <c r="D3904">
        <v>0</v>
      </c>
      <c r="E3904">
        <v>0</v>
      </c>
      <c r="F3904">
        <v>0</v>
      </c>
      <c r="G3904">
        <v>-236.14914284007861</v>
      </c>
      <c r="H3904">
        <v>853.01261365000028</v>
      </c>
      <c r="I3904">
        <v>-26602.26907074999</v>
      </c>
      <c r="J3904">
        <v>0</v>
      </c>
      <c r="K3904">
        <v>191.69389897000011</v>
      </c>
      <c r="L3904">
        <v>0</v>
      </c>
      <c r="M3904">
        <v>0</v>
      </c>
      <c r="N3904">
        <v>0</v>
      </c>
      <c r="O3904">
        <v>-934.28829902993584</v>
      </c>
      <c r="P3904">
        <v>1248874</v>
      </c>
    </row>
    <row r="3905" spans="1:16" x14ac:dyDescent="0.25">
      <c r="A3905" s="10">
        <v>43403</v>
      </c>
      <c r="B3905">
        <v>-16407</v>
      </c>
      <c r="C3905">
        <v>0</v>
      </c>
      <c r="D3905">
        <v>0</v>
      </c>
      <c r="E3905">
        <v>0</v>
      </c>
      <c r="F3905">
        <v>0</v>
      </c>
      <c r="G3905">
        <v>228.7012620999769</v>
      </c>
      <c r="H3905">
        <v>-19434.290469660002</v>
      </c>
      <c r="I3905">
        <v>1644.6211468909171</v>
      </c>
      <c r="J3905">
        <v>0</v>
      </c>
      <c r="K3905">
        <v>1504.8544922690951</v>
      </c>
      <c r="L3905">
        <v>0</v>
      </c>
      <c r="M3905">
        <v>0</v>
      </c>
      <c r="N3905">
        <v>0</v>
      </c>
      <c r="O3905">
        <v>-350.88643159998742</v>
      </c>
      <c r="P3905">
        <v>1232467</v>
      </c>
    </row>
    <row r="3906" spans="1:16" x14ac:dyDescent="0.25">
      <c r="A3906" s="10">
        <v>43404</v>
      </c>
      <c r="B3906">
        <v>-77385</v>
      </c>
      <c r="C3906">
        <v>0</v>
      </c>
      <c r="D3906">
        <v>0</v>
      </c>
      <c r="E3906">
        <v>0</v>
      </c>
      <c r="F3906">
        <v>0</v>
      </c>
      <c r="G3906">
        <v>95.526578350186128</v>
      </c>
      <c r="H3906">
        <v>-83045.412327339989</v>
      </c>
      <c r="I3906">
        <v>4470.4478429770097</v>
      </c>
      <c r="J3906">
        <v>0</v>
      </c>
      <c r="K3906">
        <v>2197.9674809329599</v>
      </c>
      <c r="L3906">
        <v>0</v>
      </c>
      <c r="M3906">
        <v>0</v>
      </c>
      <c r="N3906">
        <v>0</v>
      </c>
      <c r="O3906">
        <v>-1103.5295749201671</v>
      </c>
      <c r="P3906">
        <v>1155082</v>
      </c>
    </row>
    <row r="3907" spans="1:16" x14ac:dyDescent="0.25">
      <c r="A3907" s="10">
        <v>43405</v>
      </c>
      <c r="B3907">
        <v>88965</v>
      </c>
      <c r="C3907">
        <v>0</v>
      </c>
      <c r="D3907">
        <v>0</v>
      </c>
      <c r="E3907">
        <v>0</v>
      </c>
      <c r="F3907">
        <v>0</v>
      </c>
      <c r="G3907">
        <v>-241.5144573499704</v>
      </c>
      <c r="H3907">
        <v>105837.17458173999</v>
      </c>
      <c r="I3907">
        <v>-17716.626496683341</v>
      </c>
      <c r="J3907">
        <v>0</v>
      </c>
      <c r="K3907">
        <v>2259.868940113342</v>
      </c>
      <c r="L3907">
        <v>0</v>
      </c>
      <c r="M3907">
        <v>0</v>
      </c>
      <c r="N3907">
        <v>0</v>
      </c>
      <c r="O3907">
        <v>-1173.902567820068</v>
      </c>
      <c r="P3907">
        <v>1244047</v>
      </c>
    </row>
    <row r="3908" spans="1:16" x14ac:dyDescent="0.25">
      <c r="A3908" s="10">
        <v>43406</v>
      </c>
      <c r="B3908">
        <v>-12484</v>
      </c>
      <c r="C3908">
        <v>0</v>
      </c>
      <c r="D3908">
        <v>0</v>
      </c>
      <c r="E3908">
        <v>0</v>
      </c>
      <c r="F3908">
        <v>0</v>
      </c>
      <c r="G3908">
        <v>341.06925147996049</v>
      </c>
      <c r="H3908">
        <v>180.42996668000001</v>
      </c>
      <c r="I3908">
        <v>-14227.516724851561</v>
      </c>
      <c r="J3908">
        <v>0</v>
      </c>
      <c r="K3908">
        <v>1699.2593511716871</v>
      </c>
      <c r="L3908">
        <v>0</v>
      </c>
      <c r="M3908">
        <v>0</v>
      </c>
      <c r="N3908">
        <v>0</v>
      </c>
      <c r="O3908">
        <v>-477.24184448008242</v>
      </c>
      <c r="P3908">
        <v>1231563</v>
      </c>
    </row>
    <row r="3909" spans="1:16" x14ac:dyDescent="0.25">
      <c r="A3909" s="10">
        <v>43409</v>
      </c>
      <c r="B3909">
        <v>-56489</v>
      </c>
      <c r="C3909">
        <v>0</v>
      </c>
      <c r="D3909">
        <v>0</v>
      </c>
      <c r="E3909">
        <v>0</v>
      </c>
      <c r="F3909">
        <v>0</v>
      </c>
      <c r="G3909">
        <v>-801.98034548012447</v>
      </c>
      <c r="H3909">
        <v>-149.44573555000011</v>
      </c>
      <c r="I3909">
        <v>-55986.516423719942</v>
      </c>
      <c r="J3909">
        <v>0</v>
      </c>
      <c r="K3909">
        <v>526.16156546999798</v>
      </c>
      <c r="L3909">
        <v>0</v>
      </c>
      <c r="M3909">
        <v>0</v>
      </c>
      <c r="N3909">
        <v>0</v>
      </c>
      <c r="O3909">
        <v>-77.219060719940288</v>
      </c>
      <c r="P3909">
        <v>1175074</v>
      </c>
    </row>
    <row r="3910" spans="1:16" x14ac:dyDescent="0.25">
      <c r="A3910" s="10">
        <v>43411</v>
      </c>
      <c r="B3910">
        <v>99655</v>
      </c>
      <c r="C3910">
        <v>0</v>
      </c>
      <c r="D3910">
        <v>0</v>
      </c>
      <c r="E3910">
        <v>0</v>
      </c>
      <c r="F3910">
        <v>0</v>
      </c>
      <c r="G3910">
        <v>40.006114649889497</v>
      </c>
      <c r="H3910">
        <v>720.61817165000002</v>
      </c>
      <c r="I3910">
        <v>95265.115900362143</v>
      </c>
      <c r="J3910">
        <v>0</v>
      </c>
      <c r="K3910">
        <v>3645.0161321979308</v>
      </c>
      <c r="L3910">
        <v>0</v>
      </c>
      <c r="M3910">
        <v>0</v>
      </c>
      <c r="N3910">
        <v>0</v>
      </c>
      <c r="O3910">
        <v>-15.75631885996361</v>
      </c>
      <c r="P3910">
        <v>1274729</v>
      </c>
    </row>
    <row r="3911" spans="1:16" x14ac:dyDescent="0.25">
      <c r="A3911" s="10">
        <v>43412</v>
      </c>
      <c r="B3911">
        <v>295</v>
      </c>
      <c r="C3911">
        <v>0</v>
      </c>
      <c r="D3911">
        <v>0</v>
      </c>
      <c r="E3911">
        <v>0</v>
      </c>
      <c r="F3911">
        <v>0</v>
      </c>
      <c r="G3911">
        <v>691.9604552200135</v>
      </c>
      <c r="H3911">
        <v>604.29243527000017</v>
      </c>
      <c r="I3911">
        <v>-2883.1358500097408</v>
      </c>
      <c r="J3911">
        <v>0</v>
      </c>
      <c r="K3911">
        <v>2262.6468457996712</v>
      </c>
      <c r="L3911">
        <v>0</v>
      </c>
      <c r="M3911">
        <v>0</v>
      </c>
      <c r="N3911">
        <v>0</v>
      </c>
      <c r="O3911">
        <v>-380.76388627994362</v>
      </c>
      <c r="P3911">
        <v>1275024</v>
      </c>
    </row>
    <row r="3912" spans="1:16" x14ac:dyDescent="0.25">
      <c r="A3912" s="10">
        <v>43413</v>
      </c>
      <c r="B3912">
        <v>-399.39999999990692</v>
      </c>
      <c r="C3912">
        <v>0</v>
      </c>
      <c r="D3912">
        <v>0</v>
      </c>
      <c r="E3912">
        <v>0</v>
      </c>
      <c r="F3912">
        <v>0</v>
      </c>
      <c r="G3912">
        <v>-190.14582029968491</v>
      </c>
      <c r="H3912">
        <v>-1326.2363789200001</v>
      </c>
      <c r="I3912">
        <v>55.489735422772362</v>
      </c>
      <c r="J3912">
        <v>-18.782994969999891</v>
      </c>
      <c r="K3912">
        <v>1807.088473127186</v>
      </c>
      <c r="L3912">
        <v>0</v>
      </c>
      <c r="M3912">
        <v>0</v>
      </c>
      <c r="N3912">
        <v>0</v>
      </c>
      <c r="O3912">
        <v>-726.81301436017986</v>
      </c>
      <c r="P3912">
        <v>1274624.6000000001</v>
      </c>
    </row>
    <row r="3913" spans="1:16" x14ac:dyDescent="0.25">
      <c r="A3913" s="10">
        <v>43416</v>
      </c>
      <c r="B3913">
        <v>-27381.600000000089</v>
      </c>
      <c r="C3913">
        <v>0</v>
      </c>
      <c r="D3913">
        <v>0</v>
      </c>
      <c r="E3913">
        <v>0</v>
      </c>
      <c r="F3913">
        <v>0</v>
      </c>
      <c r="G3913">
        <v>227.60200149985451</v>
      </c>
      <c r="H3913">
        <v>-13117.39695507</v>
      </c>
      <c r="I3913">
        <v>-15559.533479529549</v>
      </c>
      <c r="J3913">
        <v>0</v>
      </c>
      <c r="K3913">
        <v>1246.5683797495019</v>
      </c>
      <c r="L3913">
        <v>0</v>
      </c>
      <c r="M3913">
        <v>0</v>
      </c>
      <c r="N3913">
        <v>0</v>
      </c>
      <c r="O3913">
        <v>-178.83994664990169</v>
      </c>
      <c r="P3913">
        <v>1247243</v>
      </c>
    </row>
    <row r="3914" spans="1:16" x14ac:dyDescent="0.25">
      <c r="A3914" s="10">
        <v>43417</v>
      </c>
      <c r="B3914">
        <v>-58307</v>
      </c>
      <c r="C3914">
        <v>0</v>
      </c>
      <c r="D3914">
        <v>0</v>
      </c>
      <c r="E3914">
        <v>0</v>
      </c>
      <c r="F3914">
        <v>0</v>
      </c>
      <c r="G3914">
        <v>-130.6209150001832</v>
      </c>
      <c r="H3914">
        <v>14105.023309190001</v>
      </c>
      <c r="I3914">
        <v>-72387.724076780025</v>
      </c>
      <c r="J3914">
        <v>0</v>
      </c>
      <c r="K3914">
        <v>20.064652089999981</v>
      </c>
      <c r="L3914">
        <v>0</v>
      </c>
      <c r="M3914">
        <v>0</v>
      </c>
      <c r="N3914">
        <v>0</v>
      </c>
      <c r="O3914">
        <v>86.257030500207264</v>
      </c>
      <c r="P3914">
        <v>1188936</v>
      </c>
    </row>
    <row r="3915" spans="1:16" x14ac:dyDescent="0.25">
      <c r="A3915" s="10">
        <v>43418</v>
      </c>
      <c r="B3915">
        <v>-7662</v>
      </c>
      <c r="C3915">
        <v>0</v>
      </c>
      <c r="D3915">
        <v>0</v>
      </c>
      <c r="E3915">
        <v>0</v>
      </c>
      <c r="F3915">
        <v>0</v>
      </c>
      <c r="G3915">
        <v>-192.77129679994439</v>
      </c>
      <c r="H3915">
        <v>-2278.7364771100001</v>
      </c>
      <c r="I3915">
        <v>-7330.6437821161226</v>
      </c>
      <c r="J3915">
        <v>0</v>
      </c>
      <c r="K3915">
        <v>2134.482707366089</v>
      </c>
      <c r="L3915">
        <v>0</v>
      </c>
      <c r="M3915">
        <v>0</v>
      </c>
      <c r="N3915">
        <v>0</v>
      </c>
      <c r="O3915">
        <v>5.6688486599785293</v>
      </c>
      <c r="P3915">
        <v>1181274</v>
      </c>
    </row>
    <row r="3916" spans="1:16" x14ac:dyDescent="0.25">
      <c r="A3916" s="10">
        <v>43419</v>
      </c>
      <c r="B3916">
        <v>-5618</v>
      </c>
      <c r="C3916">
        <v>0</v>
      </c>
      <c r="D3916">
        <v>0</v>
      </c>
      <c r="E3916">
        <v>0</v>
      </c>
      <c r="F3916">
        <v>0</v>
      </c>
      <c r="G3916">
        <v>136.53023158976521</v>
      </c>
      <c r="H3916">
        <v>-1123.721622589999</v>
      </c>
      <c r="I3916">
        <v>-6698.2401453999337</v>
      </c>
      <c r="J3916">
        <v>0</v>
      </c>
      <c r="K3916">
        <v>2245.6269101799089</v>
      </c>
      <c r="L3916">
        <v>0</v>
      </c>
      <c r="M3916">
        <v>0</v>
      </c>
      <c r="N3916">
        <v>0</v>
      </c>
      <c r="O3916">
        <v>-178.1953737797412</v>
      </c>
      <c r="P3916">
        <v>1175656</v>
      </c>
    </row>
    <row r="3917" spans="1:16" x14ac:dyDescent="0.25">
      <c r="A3917" s="10">
        <v>43420</v>
      </c>
      <c r="B3917">
        <v>10247.600000000089</v>
      </c>
      <c r="C3917">
        <v>0</v>
      </c>
      <c r="D3917">
        <v>0</v>
      </c>
      <c r="E3917">
        <v>0</v>
      </c>
      <c r="F3917">
        <v>0</v>
      </c>
      <c r="G3917">
        <v>-240.14699797912479</v>
      </c>
      <c r="H3917">
        <v>1023.607361439999</v>
      </c>
      <c r="I3917">
        <v>7467.0824083227199</v>
      </c>
      <c r="J3917">
        <v>0</v>
      </c>
      <c r="K3917">
        <v>1759.942759737263</v>
      </c>
      <c r="L3917">
        <v>0</v>
      </c>
      <c r="M3917">
        <v>0</v>
      </c>
      <c r="N3917">
        <v>0</v>
      </c>
      <c r="O3917">
        <v>237.11446847923619</v>
      </c>
      <c r="P3917">
        <v>1185903.6000000001</v>
      </c>
    </row>
    <row r="3918" spans="1:16" x14ac:dyDescent="0.25">
      <c r="A3918" s="10">
        <v>43424</v>
      </c>
      <c r="B3918">
        <v>18427.399999999911</v>
      </c>
      <c r="C3918">
        <v>0</v>
      </c>
      <c r="D3918">
        <v>0</v>
      </c>
      <c r="E3918">
        <v>0</v>
      </c>
      <c r="F3918">
        <v>0</v>
      </c>
      <c r="G3918">
        <v>132.04711951989671</v>
      </c>
      <c r="H3918">
        <v>-1316.9580391</v>
      </c>
      <c r="I3918">
        <v>18163.269539080909</v>
      </c>
      <c r="J3918">
        <v>0</v>
      </c>
      <c r="K3918">
        <v>1594.452221809204</v>
      </c>
      <c r="L3918">
        <v>0</v>
      </c>
      <c r="M3918">
        <v>0</v>
      </c>
      <c r="N3918">
        <v>0</v>
      </c>
      <c r="O3918">
        <v>-145.4108413101047</v>
      </c>
      <c r="P3918">
        <v>1204331</v>
      </c>
    </row>
    <row r="3919" spans="1:16" x14ac:dyDescent="0.25">
      <c r="A3919" s="10">
        <v>43425</v>
      </c>
      <c r="B3919">
        <v>92130</v>
      </c>
      <c r="C3919">
        <v>0</v>
      </c>
      <c r="D3919">
        <v>0</v>
      </c>
      <c r="E3919">
        <v>0</v>
      </c>
      <c r="F3919">
        <v>0</v>
      </c>
      <c r="G3919">
        <v>299.78464060990518</v>
      </c>
      <c r="H3919">
        <v>-1052.877180859999</v>
      </c>
      <c r="I3919">
        <v>-24395.95314304065</v>
      </c>
      <c r="J3919">
        <v>0</v>
      </c>
      <c r="K3919">
        <v>1034.4539818905989</v>
      </c>
      <c r="L3919">
        <v>122234.263543917</v>
      </c>
      <c r="M3919">
        <v>0</v>
      </c>
      <c r="N3919">
        <v>0</v>
      </c>
      <c r="O3919">
        <v>-5989.6718425168874</v>
      </c>
      <c r="P3919">
        <v>1296461</v>
      </c>
    </row>
    <row r="3920" spans="1:16" x14ac:dyDescent="0.25">
      <c r="A3920" s="10">
        <v>43426</v>
      </c>
      <c r="B3920">
        <v>18991</v>
      </c>
      <c r="C3920">
        <v>0</v>
      </c>
      <c r="D3920">
        <v>0</v>
      </c>
      <c r="E3920">
        <v>0</v>
      </c>
      <c r="F3920">
        <v>0</v>
      </c>
      <c r="G3920">
        <v>-11511.839205850019</v>
      </c>
      <c r="H3920">
        <v>-592.75072945000011</v>
      </c>
      <c r="I3920">
        <v>28316.339529068911</v>
      </c>
      <c r="J3920">
        <v>0</v>
      </c>
      <c r="K3920">
        <v>2394.6048610710409</v>
      </c>
      <c r="L3920">
        <v>0</v>
      </c>
      <c r="M3920">
        <v>0</v>
      </c>
      <c r="N3920">
        <v>0</v>
      </c>
      <c r="O3920">
        <v>384.64554516007178</v>
      </c>
      <c r="P3920">
        <v>1315452</v>
      </c>
    </row>
    <row r="3921" spans="1:16" x14ac:dyDescent="0.25">
      <c r="A3921" s="10">
        <v>43427</v>
      </c>
      <c r="B3921">
        <v>68766</v>
      </c>
      <c r="C3921">
        <v>0</v>
      </c>
      <c r="D3921">
        <v>0</v>
      </c>
      <c r="E3921">
        <v>0</v>
      </c>
      <c r="F3921">
        <v>0</v>
      </c>
      <c r="G3921">
        <v>11851.54079088007</v>
      </c>
      <c r="H3921">
        <v>2354.4402783299988</v>
      </c>
      <c r="I3921">
        <v>48449.907013725962</v>
      </c>
      <c r="J3921">
        <v>0</v>
      </c>
      <c r="K3921">
        <v>2484.6273670540809</v>
      </c>
      <c r="L3921">
        <v>0</v>
      </c>
      <c r="M3921">
        <v>0</v>
      </c>
      <c r="N3921">
        <v>0</v>
      </c>
      <c r="O3921">
        <v>3625.4845500098882</v>
      </c>
      <c r="P3921">
        <v>1384218</v>
      </c>
    </row>
    <row r="3922" spans="1:16" x14ac:dyDescent="0.25">
      <c r="A3922" s="10">
        <v>43430</v>
      </c>
      <c r="B3922">
        <v>-702.39999999990687</v>
      </c>
      <c r="C3922">
        <v>0</v>
      </c>
      <c r="D3922">
        <v>0</v>
      </c>
      <c r="E3922">
        <v>0</v>
      </c>
      <c r="F3922">
        <v>0</v>
      </c>
      <c r="G3922">
        <v>19.01635560989234</v>
      </c>
      <c r="H3922">
        <v>-1659.4668506400001</v>
      </c>
      <c r="I3922">
        <v>-2747.369346447289</v>
      </c>
      <c r="J3922">
        <v>0</v>
      </c>
      <c r="K3922">
        <v>2220.1585754972311</v>
      </c>
      <c r="L3922">
        <v>0</v>
      </c>
      <c r="M3922">
        <v>0</v>
      </c>
      <c r="N3922">
        <v>0</v>
      </c>
      <c r="O3922">
        <v>1465.2612659802589</v>
      </c>
      <c r="P3922">
        <v>1383515.6</v>
      </c>
    </row>
    <row r="3923" spans="1:16" x14ac:dyDescent="0.25">
      <c r="A3923" s="10">
        <v>43431</v>
      </c>
      <c r="B3923">
        <v>-42654.200000000194</v>
      </c>
      <c r="C3923">
        <v>0</v>
      </c>
      <c r="D3923">
        <v>0</v>
      </c>
      <c r="E3923">
        <v>0</v>
      </c>
      <c r="F3923">
        <v>0</v>
      </c>
      <c r="G3923">
        <v>-37.709881350170463</v>
      </c>
      <c r="H3923">
        <v>1273.8391704500009</v>
      </c>
      <c r="I3923">
        <v>-45993.010173942079</v>
      </c>
      <c r="J3923">
        <v>0</v>
      </c>
      <c r="K3923">
        <v>1102.312964662063</v>
      </c>
      <c r="L3923">
        <v>0</v>
      </c>
      <c r="M3923">
        <v>0</v>
      </c>
      <c r="N3923">
        <v>0</v>
      </c>
      <c r="O3923">
        <v>1000.367920179997</v>
      </c>
      <c r="P3923">
        <v>1340861.3999999999</v>
      </c>
    </row>
    <row r="3924" spans="1:16" x14ac:dyDescent="0.25">
      <c r="A3924" s="10">
        <v>43432</v>
      </c>
      <c r="B3924">
        <v>-23429.100000000089</v>
      </c>
      <c r="C3924">
        <v>0</v>
      </c>
      <c r="D3924">
        <v>0</v>
      </c>
      <c r="E3924">
        <v>0</v>
      </c>
      <c r="F3924">
        <v>0</v>
      </c>
      <c r="G3924">
        <v>182.52338242964549</v>
      </c>
      <c r="H3924">
        <v>-2314.5807551599992</v>
      </c>
      <c r="I3924">
        <v>-21678.005374856759</v>
      </c>
      <c r="J3924">
        <v>0</v>
      </c>
      <c r="K3924">
        <v>1151.3624241267221</v>
      </c>
      <c r="L3924">
        <v>0</v>
      </c>
      <c r="M3924">
        <v>0</v>
      </c>
      <c r="N3924">
        <v>0</v>
      </c>
      <c r="O3924">
        <v>-770.39967653970086</v>
      </c>
      <c r="P3924">
        <v>1317432.3</v>
      </c>
    </row>
    <row r="3925" spans="1:16" x14ac:dyDescent="0.25">
      <c r="A3925" s="10">
        <v>43433</v>
      </c>
      <c r="B3925">
        <v>-78541.499999999767</v>
      </c>
      <c r="C3925">
        <v>0</v>
      </c>
      <c r="D3925">
        <v>0</v>
      </c>
      <c r="E3925">
        <v>0</v>
      </c>
      <c r="F3925">
        <v>0</v>
      </c>
      <c r="G3925">
        <v>67.813338070624695</v>
      </c>
      <c r="H3925">
        <v>-36583.044759399992</v>
      </c>
      <c r="I3925">
        <v>-42638.190419310347</v>
      </c>
      <c r="J3925">
        <v>0</v>
      </c>
      <c r="K3925">
        <v>1708.649713760268</v>
      </c>
      <c r="L3925">
        <v>0</v>
      </c>
      <c r="M3925">
        <v>0</v>
      </c>
      <c r="N3925">
        <v>0</v>
      </c>
      <c r="O3925">
        <v>-1096.727873120313</v>
      </c>
      <c r="P3925">
        <v>1238890.8</v>
      </c>
    </row>
    <row r="3926" spans="1:16" x14ac:dyDescent="0.25">
      <c r="A3926" s="10">
        <v>43437</v>
      </c>
      <c r="B3926">
        <v>7206.3999999999069</v>
      </c>
      <c r="C3926">
        <v>0</v>
      </c>
      <c r="D3926">
        <v>0</v>
      </c>
      <c r="E3926">
        <v>0</v>
      </c>
      <c r="F3926">
        <v>0</v>
      </c>
      <c r="G3926">
        <v>-1209.6752624008091</v>
      </c>
      <c r="H3926">
        <v>31258.330102609991</v>
      </c>
      <c r="I3926">
        <v>-25787.1459770943</v>
      </c>
      <c r="J3926">
        <v>0</v>
      </c>
      <c r="K3926">
        <v>2387.6702789043061</v>
      </c>
      <c r="L3926">
        <v>0</v>
      </c>
      <c r="M3926">
        <v>0</v>
      </c>
      <c r="N3926">
        <v>0</v>
      </c>
      <c r="O3926">
        <v>557.22085798072339</v>
      </c>
      <c r="P3926">
        <v>1246097.2</v>
      </c>
    </row>
    <row r="3927" spans="1:16" x14ac:dyDescent="0.25">
      <c r="A3927" s="10">
        <v>43438</v>
      </c>
      <c r="B3927">
        <v>-26309</v>
      </c>
      <c r="C3927">
        <v>0</v>
      </c>
      <c r="D3927">
        <v>0</v>
      </c>
      <c r="E3927">
        <v>0</v>
      </c>
      <c r="F3927">
        <v>0</v>
      </c>
      <c r="G3927">
        <v>68.472229390283132</v>
      </c>
      <c r="H3927">
        <v>1294.2579580800009</v>
      </c>
      <c r="I3927">
        <v>-28974.323534708001</v>
      </c>
      <c r="J3927">
        <v>0</v>
      </c>
      <c r="K3927">
        <v>1794.511857798002</v>
      </c>
      <c r="L3927">
        <v>0</v>
      </c>
      <c r="M3927">
        <v>0</v>
      </c>
      <c r="N3927">
        <v>0</v>
      </c>
      <c r="O3927">
        <v>-491.91851056028162</v>
      </c>
      <c r="P3927">
        <v>1219788.2</v>
      </c>
    </row>
    <row r="3928" spans="1:16" x14ac:dyDescent="0.25">
      <c r="A3928" s="10">
        <v>43439</v>
      </c>
      <c r="B3928">
        <v>-26062.19999999995</v>
      </c>
      <c r="C3928">
        <v>0</v>
      </c>
      <c r="D3928">
        <v>0</v>
      </c>
      <c r="E3928">
        <v>0</v>
      </c>
      <c r="F3928">
        <v>0</v>
      </c>
      <c r="G3928">
        <v>-127.4812677798093</v>
      </c>
      <c r="H3928">
        <v>7911.5443430900004</v>
      </c>
      <c r="I3928">
        <v>-36836.336729834671</v>
      </c>
      <c r="J3928">
        <v>0</v>
      </c>
      <c r="K3928">
        <v>1866.1861120046769</v>
      </c>
      <c r="L3928">
        <v>0</v>
      </c>
      <c r="M3928">
        <v>0</v>
      </c>
      <c r="N3928">
        <v>0</v>
      </c>
      <c r="O3928">
        <v>1123.8875425198521</v>
      </c>
      <c r="P3928">
        <v>1193726</v>
      </c>
    </row>
    <row r="3929" spans="1:16" x14ac:dyDescent="0.25">
      <c r="A3929" s="10">
        <v>43440</v>
      </c>
      <c r="B3929">
        <v>12123</v>
      </c>
      <c r="C3929">
        <v>0</v>
      </c>
      <c r="D3929">
        <v>0</v>
      </c>
      <c r="E3929">
        <v>-1100</v>
      </c>
      <c r="F3929">
        <v>0</v>
      </c>
      <c r="G3929">
        <v>41.128960659880249</v>
      </c>
      <c r="H3929">
        <v>-647.59849801000018</v>
      </c>
      <c r="I3929">
        <v>11026.45537507161</v>
      </c>
      <c r="J3929">
        <v>0</v>
      </c>
      <c r="K3929">
        <v>1589.2539431584651</v>
      </c>
      <c r="L3929">
        <v>0</v>
      </c>
      <c r="M3929">
        <v>0</v>
      </c>
      <c r="N3929">
        <v>0</v>
      </c>
      <c r="O3929">
        <v>1213.7602191200399</v>
      </c>
      <c r="P3929">
        <v>1205849</v>
      </c>
    </row>
    <row r="3930" spans="1:16" x14ac:dyDescent="0.25">
      <c r="A3930" s="10">
        <v>43441</v>
      </c>
      <c r="B3930">
        <v>30132</v>
      </c>
      <c r="C3930">
        <v>0</v>
      </c>
      <c r="D3930">
        <v>0</v>
      </c>
      <c r="E3930">
        <v>0</v>
      </c>
      <c r="F3930">
        <v>0</v>
      </c>
      <c r="G3930">
        <v>-304.1091293998611</v>
      </c>
      <c r="H3930">
        <v>-2026.8751973899989</v>
      </c>
      <c r="I3930">
        <v>28714.474316543899</v>
      </c>
      <c r="J3930">
        <v>0</v>
      </c>
      <c r="K3930">
        <v>2486.8748915959659</v>
      </c>
      <c r="L3930">
        <v>0</v>
      </c>
      <c r="M3930">
        <v>0</v>
      </c>
      <c r="N3930">
        <v>0</v>
      </c>
      <c r="O3930">
        <v>1261.635118649996</v>
      </c>
      <c r="P3930">
        <v>1235981</v>
      </c>
    </row>
    <row r="3931" spans="1:16" x14ac:dyDescent="0.25">
      <c r="A3931" s="10">
        <v>43444</v>
      </c>
      <c r="B3931">
        <v>42330</v>
      </c>
      <c r="C3931">
        <v>0</v>
      </c>
      <c r="D3931">
        <v>0</v>
      </c>
      <c r="E3931">
        <v>0</v>
      </c>
      <c r="F3931">
        <v>0</v>
      </c>
      <c r="G3931">
        <v>332.84744404977403</v>
      </c>
      <c r="H3931">
        <v>1637.941627429999</v>
      </c>
      <c r="I3931">
        <v>38103.367313413182</v>
      </c>
      <c r="J3931">
        <v>-18.359015969999749</v>
      </c>
      <c r="K3931">
        <v>1841.603347106746</v>
      </c>
      <c r="L3931">
        <v>0</v>
      </c>
      <c r="M3931">
        <v>0</v>
      </c>
      <c r="N3931">
        <v>0</v>
      </c>
      <c r="O3931">
        <v>432.59928397029552</v>
      </c>
      <c r="P3931">
        <v>1278311</v>
      </c>
    </row>
    <row r="3932" spans="1:16" x14ac:dyDescent="0.25">
      <c r="A3932" s="10">
        <v>43445</v>
      </c>
      <c r="B3932">
        <v>24735</v>
      </c>
      <c r="C3932">
        <v>0</v>
      </c>
      <c r="D3932">
        <v>0</v>
      </c>
      <c r="E3932">
        <v>0</v>
      </c>
      <c r="F3932">
        <v>0</v>
      </c>
      <c r="G3932">
        <v>-319.33579467953359</v>
      </c>
      <c r="H3932">
        <v>542.00908463000042</v>
      </c>
      <c r="I3932">
        <v>22178.249438229719</v>
      </c>
      <c r="J3932">
        <v>0</v>
      </c>
      <c r="K3932">
        <v>1863.419623540206</v>
      </c>
      <c r="L3932">
        <v>0</v>
      </c>
      <c r="M3932">
        <v>0</v>
      </c>
      <c r="N3932">
        <v>0</v>
      </c>
      <c r="O3932">
        <v>470.65764827961158</v>
      </c>
      <c r="P3932">
        <v>1303046</v>
      </c>
    </row>
    <row r="3933" spans="1:16" x14ac:dyDescent="0.25">
      <c r="A3933" s="10">
        <v>43446</v>
      </c>
      <c r="B3933">
        <v>22901</v>
      </c>
      <c r="C3933">
        <v>0</v>
      </c>
      <c r="D3933">
        <v>0</v>
      </c>
      <c r="E3933">
        <v>0</v>
      </c>
      <c r="F3933">
        <v>0</v>
      </c>
      <c r="G3933">
        <v>187.50753358968689</v>
      </c>
      <c r="H3933">
        <v>-810.16891454000006</v>
      </c>
      <c r="I3933">
        <v>20512.41415869282</v>
      </c>
      <c r="J3933">
        <v>0</v>
      </c>
      <c r="K3933">
        <v>1985.5074736572631</v>
      </c>
      <c r="L3933">
        <v>1186.094634810001</v>
      </c>
      <c r="M3933">
        <v>0</v>
      </c>
      <c r="N3933">
        <v>0</v>
      </c>
      <c r="O3933">
        <v>-160.3548862097656</v>
      </c>
      <c r="P3933">
        <v>1325947</v>
      </c>
    </row>
    <row r="3934" spans="1:16" x14ac:dyDescent="0.25">
      <c r="A3934" s="10">
        <v>43447</v>
      </c>
      <c r="B3934">
        <v>29167</v>
      </c>
      <c r="C3934">
        <v>0</v>
      </c>
      <c r="D3934">
        <v>0</v>
      </c>
      <c r="E3934">
        <v>1100</v>
      </c>
      <c r="F3934">
        <v>0</v>
      </c>
      <c r="G3934">
        <v>88.446496950367248</v>
      </c>
      <c r="H3934">
        <v>-1086.2553356799999</v>
      </c>
      <c r="I3934">
        <v>27593.120850739069</v>
      </c>
      <c r="J3934">
        <v>0</v>
      </c>
      <c r="K3934">
        <v>1217.2000175108319</v>
      </c>
      <c r="L3934">
        <v>0</v>
      </c>
      <c r="M3934">
        <v>0</v>
      </c>
      <c r="N3934">
        <v>0</v>
      </c>
      <c r="O3934">
        <v>254.48797047972971</v>
      </c>
      <c r="P3934">
        <v>1355114</v>
      </c>
    </row>
    <row r="3935" spans="1:16" x14ac:dyDescent="0.25">
      <c r="A3935" s="10">
        <v>43448</v>
      </c>
      <c r="B3935">
        <v>36629.199999999953</v>
      </c>
      <c r="C3935">
        <v>0</v>
      </c>
      <c r="D3935">
        <v>0</v>
      </c>
      <c r="E3935">
        <v>0</v>
      </c>
      <c r="F3935">
        <v>0</v>
      </c>
      <c r="G3935">
        <v>105.8059344495032</v>
      </c>
      <c r="H3935">
        <v>13.945968899999571</v>
      </c>
      <c r="I3935">
        <v>34231.14560117363</v>
      </c>
      <c r="J3935">
        <v>0</v>
      </c>
      <c r="K3935">
        <v>1795.262744256386</v>
      </c>
      <c r="L3935">
        <v>0</v>
      </c>
      <c r="M3935">
        <v>0</v>
      </c>
      <c r="N3935">
        <v>0</v>
      </c>
      <c r="O3935">
        <v>483.03975122043522</v>
      </c>
      <c r="P3935">
        <v>1391743.2</v>
      </c>
    </row>
    <row r="3936" spans="1:16" x14ac:dyDescent="0.25">
      <c r="A3936" s="10">
        <v>43451</v>
      </c>
      <c r="B3936">
        <v>4319.8000000000466</v>
      </c>
      <c r="C3936">
        <v>0</v>
      </c>
      <c r="D3936">
        <v>0</v>
      </c>
      <c r="E3936">
        <v>0</v>
      </c>
      <c r="F3936">
        <v>0</v>
      </c>
      <c r="G3936">
        <v>22.07646540030402</v>
      </c>
      <c r="H3936">
        <v>1661.2262596699991</v>
      </c>
      <c r="I3936">
        <v>1521.9799365637591</v>
      </c>
      <c r="J3936">
        <v>0</v>
      </c>
      <c r="K3936">
        <v>1377.730051766383</v>
      </c>
      <c r="L3936">
        <v>0</v>
      </c>
      <c r="M3936">
        <v>0</v>
      </c>
      <c r="N3936">
        <v>0</v>
      </c>
      <c r="O3936">
        <v>-263.21271340039863</v>
      </c>
      <c r="P3936">
        <v>1396063</v>
      </c>
    </row>
    <row r="3937" spans="1:16" x14ac:dyDescent="0.25">
      <c r="A3937" s="10">
        <v>43452</v>
      </c>
      <c r="B3937">
        <v>-18835</v>
      </c>
      <c r="C3937">
        <v>0</v>
      </c>
      <c r="D3937">
        <v>0</v>
      </c>
      <c r="E3937">
        <v>0</v>
      </c>
      <c r="F3937">
        <v>0</v>
      </c>
      <c r="G3937">
        <v>-216.82765813214809</v>
      </c>
      <c r="H3937">
        <v>386.73239722000022</v>
      </c>
      <c r="I3937">
        <v>-20710.044026807071</v>
      </c>
      <c r="J3937">
        <v>0</v>
      </c>
      <c r="K3937">
        <v>1581.5409837670991</v>
      </c>
      <c r="L3937">
        <v>0</v>
      </c>
      <c r="M3937">
        <v>0</v>
      </c>
      <c r="N3937">
        <v>0</v>
      </c>
      <c r="O3937">
        <v>123.5983039521165</v>
      </c>
      <c r="P3937">
        <v>1377228</v>
      </c>
    </row>
    <row r="3938" spans="1:16" x14ac:dyDescent="0.25">
      <c r="A3938" s="10">
        <v>43453</v>
      </c>
      <c r="B3938">
        <v>18962</v>
      </c>
      <c r="C3938">
        <v>0</v>
      </c>
      <c r="D3938">
        <v>0</v>
      </c>
      <c r="E3938">
        <v>0</v>
      </c>
      <c r="F3938">
        <v>0</v>
      </c>
      <c r="G3938">
        <v>41.022151120073431</v>
      </c>
      <c r="H3938">
        <v>-1469.955655109999</v>
      </c>
      <c r="I3938">
        <v>-49861.528496829676</v>
      </c>
      <c r="J3938">
        <v>0</v>
      </c>
      <c r="K3938">
        <v>1754.882866489668</v>
      </c>
      <c r="L3938">
        <v>68618.449999999983</v>
      </c>
      <c r="M3938">
        <v>0</v>
      </c>
      <c r="N3938">
        <v>0</v>
      </c>
      <c r="O3938">
        <v>-120.87086567005549</v>
      </c>
      <c r="P3938">
        <v>1396190</v>
      </c>
    </row>
    <row r="3939" spans="1:16" x14ac:dyDescent="0.25">
      <c r="A3939" s="10">
        <v>43454</v>
      </c>
      <c r="B3939">
        <v>-8276</v>
      </c>
      <c r="C3939">
        <v>0</v>
      </c>
      <c r="D3939">
        <v>0</v>
      </c>
      <c r="E3939">
        <v>0</v>
      </c>
      <c r="F3939">
        <v>0</v>
      </c>
      <c r="G3939">
        <v>269.90199482057398</v>
      </c>
      <c r="H3939">
        <v>229.263243469999</v>
      </c>
      <c r="I3939">
        <v>-9743.9008278931724</v>
      </c>
      <c r="J3939">
        <v>0</v>
      </c>
      <c r="K3939">
        <v>910.0374401031338</v>
      </c>
      <c r="L3939">
        <v>0</v>
      </c>
      <c r="M3939">
        <v>0</v>
      </c>
      <c r="N3939">
        <v>0</v>
      </c>
      <c r="O3939">
        <v>58.698149499465579</v>
      </c>
      <c r="P3939">
        <v>1387914</v>
      </c>
    </row>
    <row r="3940" spans="1:16" x14ac:dyDescent="0.25">
      <c r="A3940" s="10">
        <v>43455</v>
      </c>
      <c r="B3940">
        <v>8269</v>
      </c>
      <c r="C3940">
        <v>0</v>
      </c>
      <c r="D3940">
        <v>0</v>
      </c>
      <c r="E3940">
        <v>0</v>
      </c>
      <c r="F3940">
        <v>0</v>
      </c>
      <c r="G3940">
        <v>-47.322062500527181</v>
      </c>
      <c r="H3940">
        <v>-945.71268110999972</v>
      </c>
      <c r="I3940">
        <v>7910.5546353200916</v>
      </c>
      <c r="J3940">
        <v>0</v>
      </c>
      <c r="K3940">
        <v>1405.8166251000021</v>
      </c>
      <c r="L3940">
        <v>0</v>
      </c>
      <c r="M3940">
        <v>0</v>
      </c>
      <c r="N3940">
        <v>0</v>
      </c>
      <c r="O3940">
        <v>-54.336516809567911</v>
      </c>
      <c r="P3940">
        <v>1396183</v>
      </c>
    </row>
    <row r="3941" spans="1:16" x14ac:dyDescent="0.25">
      <c r="A3941" s="10">
        <v>43460</v>
      </c>
      <c r="B3941">
        <v>-1495</v>
      </c>
      <c r="C3941">
        <v>0</v>
      </c>
      <c r="D3941">
        <v>0</v>
      </c>
      <c r="E3941">
        <v>0</v>
      </c>
      <c r="F3941">
        <v>0</v>
      </c>
      <c r="G3941">
        <v>77.114986929981114</v>
      </c>
      <c r="H3941">
        <v>-3654.7346762900011</v>
      </c>
      <c r="I3941">
        <v>746.89306320983451</v>
      </c>
      <c r="J3941">
        <v>0</v>
      </c>
      <c r="K3941">
        <v>1763.187538640193</v>
      </c>
      <c r="L3941">
        <v>0</v>
      </c>
      <c r="M3941">
        <v>0</v>
      </c>
      <c r="N3941">
        <v>0</v>
      </c>
      <c r="O3941">
        <v>-427.46091249000818</v>
      </c>
      <c r="P3941">
        <v>1394688</v>
      </c>
    </row>
    <row r="3942" spans="1:16" x14ac:dyDescent="0.25">
      <c r="A3942" s="10">
        <v>43461</v>
      </c>
      <c r="B3942">
        <v>-11612</v>
      </c>
      <c r="C3942">
        <v>0</v>
      </c>
      <c r="D3942">
        <v>0</v>
      </c>
      <c r="E3942">
        <v>0</v>
      </c>
      <c r="F3942">
        <v>0</v>
      </c>
      <c r="G3942">
        <v>-5307.6339628201267</v>
      </c>
      <c r="H3942">
        <v>3893.6133099499989</v>
      </c>
      <c r="I3942">
        <v>-12608.355630144941</v>
      </c>
      <c r="J3942">
        <v>0</v>
      </c>
      <c r="K3942">
        <v>2358.844699244949</v>
      </c>
      <c r="L3942">
        <v>0</v>
      </c>
      <c r="M3942">
        <v>0</v>
      </c>
      <c r="N3942">
        <v>0</v>
      </c>
      <c r="O3942">
        <v>51.531583770120051</v>
      </c>
      <c r="P3942">
        <v>1383076</v>
      </c>
    </row>
    <row r="3943" spans="1:16" x14ac:dyDescent="0.25">
      <c r="A3943" s="10">
        <v>43462</v>
      </c>
      <c r="B3943">
        <v>25901</v>
      </c>
      <c r="C3943">
        <v>0</v>
      </c>
      <c r="D3943">
        <v>43698.672714569999</v>
      </c>
      <c r="E3943">
        <v>0</v>
      </c>
      <c r="F3943">
        <v>0</v>
      </c>
      <c r="G3943">
        <v>776.31492332005462</v>
      </c>
      <c r="H3943">
        <v>-12129.046948859999</v>
      </c>
      <c r="I3943">
        <v>-8719.9329444710165</v>
      </c>
      <c r="J3943">
        <v>0</v>
      </c>
      <c r="K3943">
        <v>3000.3279625111049</v>
      </c>
      <c r="L3943">
        <v>0</v>
      </c>
      <c r="M3943">
        <v>0</v>
      </c>
      <c r="N3943">
        <v>0</v>
      </c>
      <c r="O3943">
        <v>-725.33570707014303</v>
      </c>
      <c r="P3943">
        <v>1408977</v>
      </c>
    </row>
    <row r="3944" spans="1:16" x14ac:dyDescent="0.25">
      <c r="A3944" s="10">
        <v>43467</v>
      </c>
      <c r="B3944">
        <v>-23881</v>
      </c>
      <c r="C3944">
        <v>0</v>
      </c>
      <c r="D3944">
        <v>0</v>
      </c>
      <c r="E3944">
        <v>0</v>
      </c>
      <c r="F3944">
        <v>0</v>
      </c>
      <c r="G3944">
        <v>-2024.997267839648</v>
      </c>
      <c r="H3944">
        <v>15322.01283218</v>
      </c>
      <c r="I3944">
        <v>-39380.806229989394</v>
      </c>
      <c r="J3944">
        <v>0</v>
      </c>
      <c r="K3944">
        <v>2010.24888901945</v>
      </c>
      <c r="L3944">
        <v>0</v>
      </c>
      <c r="M3944">
        <v>0</v>
      </c>
      <c r="N3944">
        <v>0</v>
      </c>
      <c r="O3944">
        <v>192.54177662959151</v>
      </c>
      <c r="P3944">
        <v>1385096</v>
      </c>
    </row>
    <row r="3945" spans="1:16" x14ac:dyDescent="0.25">
      <c r="A3945" s="10">
        <v>43468</v>
      </c>
      <c r="B3945">
        <v>-30961</v>
      </c>
      <c r="C3945">
        <v>0</v>
      </c>
      <c r="D3945">
        <v>0</v>
      </c>
      <c r="E3945">
        <v>0</v>
      </c>
      <c r="F3945">
        <v>0</v>
      </c>
      <c r="G3945">
        <v>69.807303919700644</v>
      </c>
      <c r="H3945">
        <v>538.2810067700002</v>
      </c>
      <c r="I3945">
        <v>-33845.406151388313</v>
      </c>
      <c r="J3945">
        <v>0</v>
      </c>
      <c r="K3945">
        <v>2451.888029538306</v>
      </c>
      <c r="L3945">
        <v>0</v>
      </c>
      <c r="M3945">
        <v>0</v>
      </c>
      <c r="N3945">
        <v>0</v>
      </c>
      <c r="O3945">
        <v>-175.57018883970159</v>
      </c>
      <c r="P3945">
        <v>1354135</v>
      </c>
    </row>
    <row r="3946" spans="1:16" x14ac:dyDescent="0.25">
      <c r="A3946" s="10">
        <v>43469</v>
      </c>
      <c r="B3946">
        <v>-8564</v>
      </c>
      <c r="C3946">
        <v>0</v>
      </c>
      <c r="D3946">
        <v>0</v>
      </c>
      <c r="E3946">
        <v>0</v>
      </c>
      <c r="F3946">
        <v>0</v>
      </c>
      <c r="G3946">
        <v>80.103079770228874</v>
      </c>
      <c r="H3946">
        <v>211.2849944700001</v>
      </c>
      <c r="I3946">
        <v>-10275.805154298199</v>
      </c>
      <c r="J3946">
        <v>0</v>
      </c>
      <c r="K3946">
        <v>1729.0635497582459</v>
      </c>
      <c r="L3946">
        <v>0</v>
      </c>
      <c r="M3946">
        <v>0</v>
      </c>
      <c r="N3946">
        <v>0</v>
      </c>
      <c r="O3946">
        <v>-308.6464697002757</v>
      </c>
      <c r="P3946">
        <v>1345571</v>
      </c>
    </row>
    <row r="3947" spans="1:16" x14ac:dyDescent="0.25">
      <c r="A3947" s="10">
        <v>43472</v>
      </c>
      <c r="B3947">
        <v>-11870</v>
      </c>
      <c r="C3947">
        <v>0</v>
      </c>
      <c r="D3947">
        <v>0</v>
      </c>
      <c r="E3947">
        <v>0</v>
      </c>
      <c r="F3947">
        <v>0</v>
      </c>
      <c r="G3947">
        <v>5348.2801160801</v>
      </c>
      <c r="H3947">
        <v>-1948.7361188299999</v>
      </c>
      <c r="I3947">
        <v>-18172.055270537268</v>
      </c>
      <c r="J3947">
        <v>0</v>
      </c>
      <c r="K3947">
        <v>3099.1617805673482</v>
      </c>
      <c r="L3947">
        <v>0</v>
      </c>
      <c r="M3947">
        <v>0</v>
      </c>
      <c r="N3947">
        <v>0</v>
      </c>
      <c r="O3947">
        <v>-196.65050728018099</v>
      </c>
      <c r="P3947">
        <v>1333701</v>
      </c>
    </row>
    <row r="3948" spans="1:16" x14ac:dyDescent="0.25">
      <c r="A3948" s="10">
        <v>43473</v>
      </c>
      <c r="B3948">
        <v>9066</v>
      </c>
      <c r="C3948">
        <v>0</v>
      </c>
      <c r="D3948">
        <v>0</v>
      </c>
      <c r="E3948">
        <v>0</v>
      </c>
      <c r="F3948">
        <v>0</v>
      </c>
      <c r="G3948">
        <v>-823.69815244023994</v>
      </c>
      <c r="H3948">
        <v>2727.5690232500001</v>
      </c>
      <c r="I3948">
        <v>4295.3582480287878</v>
      </c>
      <c r="J3948">
        <v>0</v>
      </c>
      <c r="K3948">
        <v>3809.6047227511949</v>
      </c>
      <c r="L3948">
        <v>0</v>
      </c>
      <c r="M3948">
        <v>0</v>
      </c>
      <c r="N3948">
        <v>0</v>
      </c>
      <c r="O3948">
        <v>-942.83384158974332</v>
      </c>
      <c r="P3948">
        <v>1342767</v>
      </c>
    </row>
    <row r="3949" spans="1:16" x14ac:dyDescent="0.25">
      <c r="A3949" s="10">
        <v>43474</v>
      </c>
      <c r="B3949">
        <v>-23604</v>
      </c>
      <c r="C3949">
        <v>0</v>
      </c>
      <c r="D3949">
        <v>0</v>
      </c>
      <c r="E3949">
        <v>0</v>
      </c>
      <c r="F3949">
        <v>0</v>
      </c>
      <c r="G3949">
        <v>-100.72429624986989</v>
      </c>
      <c r="H3949">
        <v>259.47182993000001</v>
      </c>
      <c r="I3949">
        <v>-24605.09869055427</v>
      </c>
      <c r="J3949">
        <v>-5.538543380000192</v>
      </c>
      <c r="K3949">
        <v>1469.48640237425</v>
      </c>
      <c r="L3949">
        <v>0</v>
      </c>
      <c r="M3949">
        <v>0</v>
      </c>
      <c r="N3949">
        <v>0</v>
      </c>
      <c r="O3949">
        <v>-621.59670212011406</v>
      </c>
      <c r="P3949">
        <v>1319163</v>
      </c>
    </row>
    <row r="3950" spans="1:16" x14ac:dyDescent="0.25">
      <c r="A3950" s="10">
        <v>43475</v>
      </c>
      <c r="B3950">
        <v>2333</v>
      </c>
      <c r="C3950">
        <v>746.1</v>
      </c>
      <c r="D3950">
        <v>0</v>
      </c>
      <c r="E3950">
        <v>0</v>
      </c>
      <c r="F3950">
        <v>0</v>
      </c>
      <c r="G3950">
        <v>765.98527011029955</v>
      </c>
      <c r="H3950">
        <v>-198.74962355</v>
      </c>
      <c r="I3950">
        <v>10.199832832906401</v>
      </c>
      <c r="J3950">
        <v>0</v>
      </c>
      <c r="K3950">
        <v>1705.9948149470829</v>
      </c>
      <c r="L3950">
        <v>0</v>
      </c>
      <c r="M3950">
        <v>0</v>
      </c>
      <c r="N3950">
        <v>0</v>
      </c>
      <c r="O3950">
        <v>-696.53029434028849</v>
      </c>
      <c r="P3950">
        <v>1321496</v>
      </c>
    </row>
    <row r="3951" spans="1:16" x14ac:dyDescent="0.25">
      <c r="A3951" s="10">
        <v>43476</v>
      </c>
      <c r="B3951">
        <v>-9053</v>
      </c>
      <c r="C3951">
        <v>1483.96</v>
      </c>
      <c r="D3951">
        <v>0</v>
      </c>
      <c r="E3951">
        <v>0</v>
      </c>
      <c r="F3951">
        <v>0</v>
      </c>
      <c r="G3951">
        <v>-1274.022236370284</v>
      </c>
      <c r="H3951">
        <v>120.21950225000001</v>
      </c>
      <c r="I3951">
        <v>-10502.106026128749</v>
      </c>
      <c r="J3951">
        <v>0</v>
      </c>
      <c r="K3951">
        <v>1459.127750968931</v>
      </c>
      <c r="L3951">
        <v>0</v>
      </c>
      <c r="M3951">
        <v>0</v>
      </c>
      <c r="N3951">
        <v>0</v>
      </c>
      <c r="O3951">
        <v>-340.17899071989808</v>
      </c>
      <c r="P3951">
        <v>1312443</v>
      </c>
    </row>
    <row r="3952" spans="1:16" x14ac:dyDescent="0.25">
      <c r="A3952" s="10">
        <v>43479</v>
      </c>
      <c r="B3952">
        <v>25177</v>
      </c>
      <c r="C3952">
        <v>1856.55</v>
      </c>
      <c r="D3952">
        <v>0</v>
      </c>
      <c r="E3952">
        <v>0</v>
      </c>
      <c r="F3952">
        <v>0</v>
      </c>
      <c r="G3952">
        <v>577.37411699990093</v>
      </c>
      <c r="H3952">
        <v>41.486042750000003</v>
      </c>
      <c r="I3952">
        <v>20873.772074577169</v>
      </c>
      <c r="J3952">
        <v>0</v>
      </c>
      <c r="K3952">
        <v>2161.2251745528019</v>
      </c>
      <c r="L3952">
        <v>0</v>
      </c>
      <c r="M3952">
        <v>0</v>
      </c>
      <c r="N3952">
        <v>0</v>
      </c>
      <c r="O3952">
        <v>-333.40740887986613</v>
      </c>
      <c r="P3952">
        <v>1337620</v>
      </c>
    </row>
    <row r="3953" spans="1:16" x14ac:dyDescent="0.25">
      <c r="A3953" s="10">
        <v>43480</v>
      </c>
      <c r="B3953">
        <v>3316</v>
      </c>
      <c r="C3953">
        <v>1851.84</v>
      </c>
      <c r="D3953">
        <v>0</v>
      </c>
      <c r="E3953">
        <v>0</v>
      </c>
      <c r="F3953">
        <v>0</v>
      </c>
      <c r="G3953">
        <v>444.54443254014222</v>
      </c>
      <c r="H3953">
        <v>-595.74122914000009</v>
      </c>
      <c r="I3953">
        <v>-488.38923314958811</v>
      </c>
      <c r="J3953">
        <v>0</v>
      </c>
      <c r="K3953">
        <v>2354.9551989995698</v>
      </c>
      <c r="L3953">
        <v>0</v>
      </c>
      <c r="M3953">
        <v>0</v>
      </c>
      <c r="N3953">
        <v>0</v>
      </c>
      <c r="O3953">
        <v>-251.20916925012401</v>
      </c>
      <c r="P3953">
        <v>1340936</v>
      </c>
    </row>
    <row r="3954" spans="1:16" x14ac:dyDescent="0.25">
      <c r="A3954" s="10">
        <v>43481</v>
      </c>
      <c r="B3954">
        <v>-6195</v>
      </c>
      <c r="C3954">
        <v>1124.22</v>
      </c>
      <c r="D3954">
        <v>0</v>
      </c>
      <c r="E3954">
        <v>0</v>
      </c>
      <c r="F3954">
        <v>0</v>
      </c>
      <c r="G3954">
        <v>-657.65793320049249</v>
      </c>
      <c r="H3954">
        <v>305.19906481999999</v>
      </c>
      <c r="I3954">
        <v>-8734.035064394353</v>
      </c>
      <c r="J3954">
        <v>0</v>
      </c>
      <c r="K3954">
        <v>1732.04387841428</v>
      </c>
      <c r="L3954">
        <v>0</v>
      </c>
      <c r="M3954">
        <v>0</v>
      </c>
      <c r="N3954">
        <v>0</v>
      </c>
      <c r="O3954">
        <v>35.230054360566101</v>
      </c>
      <c r="P3954">
        <v>1334741</v>
      </c>
    </row>
    <row r="3955" spans="1:16" x14ac:dyDescent="0.25">
      <c r="A3955" s="10">
        <v>43482</v>
      </c>
      <c r="B3955">
        <v>6154</v>
      </c>
      <c r="C3955">
        <v>0</v>
      </c>
      <c r="D3955">
        <v>0</v>
      </c>
      <c r="E3955">
        <v>0</v>
      </c>
      <c r="F3955">
        <v>0</v>
      </c>
      <c r="G3955">
        <v>550.49562858013837</v>
      </c>
      <c r="H3955">
        <v>250.77647003000001</v>
      </c>
      <c r="I3955">
        <v>3435.0470542635298</v>
      </c>
      <c r="J3955">
        <v>0</v>
      </c>
      <c r="K3955">
        <v>1678.1885259464309</v>
      </c>
      <c r="L3955">
        <v>0</v>
      </c>
      <c r="M3955">
        <v>0</v>
      </c>
      <c r="N3955">
        <v>0</v>
      </c>
      <c r="O3955">
        <v>239.4923211799005</v>
      </c>
      <c r="P3955">
        <v>1340895</v>
      </c>
    </row>
    <row r="3956" spans="1:16" x14ac:dyDescent="0.25">
      <c r="A3956" s="10">
        <v>43483</v>
      </c>
      <c r="B3956">
        <v>-26505</v>
      </c>
      <c r="C3956">
        <v>0</v>
      </c>
      <c r="D3956">
        <v>0</v>
      </c>
      <c r="E3956">
        <v>0</v>
      </c>
      <c r="F3956">
        <v>0</v>
      </c>
      <c r="G3956">
        <v>289.01906509019932</v>
      </c>
      <c r="H3956">
        <v>-6463.9877278200001</v>
      </c>
      <c r="I3956">
        <v>-21754.971506436941</v>
      </c>
      <c r="J3956">
        <v>0</v>
      </c>
      <c r="K3956">
        <v>1546.9767942470071</v>
      </c>
      <c r="L3956">
        <v>0</v>
      </c>
      <c r="M3956">
        <v>0</v>
      </c>
      <c r="N3956">
        <v>0</v>
      </c>
      <c r="O3956">
        <v>-122.036625080269</v>
      </c>
      <c r="P3956">
        <v>1314390</v>
      </c>
    </row>
    <row r="3957" spans="1:16" x14ac:dyDescent="0.25">
      <c r="A3957" s="10">
        <v>43486</v>
      </c>
      <c r="B3957">
        <v>10336</v>
      </c>
      <c r="C3957">
        <v>0</v>
      </c>
      <c r="D3957">
        <v>0</v>
      </c>
      <c r="E3957">
        <v>0</v>
      </c>
      <c r="F3957">
        <v>0</v>
      </c>
      <c r="G3957">
        <v>278.58279417023152</v>
      </c>
      <c r="H3957">
        <v>6313.7165013600006</v>
      </c>
      <c r="I3957">
        <v>1748.055596062331</v>
      </c>
      <c r="J3957">
        <v>0</v>
      </c>
      <c r="K3957">
        <v>1910.3170092677019</v>
      </c>
      <c r="L3957">
        <v>0</v>
      </c>
      <c r="M3957">
        <v>0</v>
      </c>
      <c r="N3957">
        <v>0</v>
      </c>
      <c r="O3957">
        <v>85.32809913973324</v>
      </c>
      <c r="P3957">
        <v>1324726</v>
      </c>
    </row>
    <row r="3958" spans="1:16" x14ac:dyDescent="0.25">
      <c r="A3958" s="10">
        <v>43487</v>
      </c>
      <c r="B3958">
        <v>17683</v>
      </c>
      <c r="C3958">
        <v>1879.85</v>
      </c>
      <c r="D3958">
        <v>0</v>
      </c>
      <c r="E3958">
        <v>0</v>
      </c>
      <c r="F3958">
        <v>0</v>
      </c>
      <c r="G3958">
        <v>-3.282525889975517</v>
      </c>
      <c r="H3958">
        <v>219.53684722000011</v>
      </c>
      <c r="I3958">
        <v>13175.865066732509</v>
      </c>
      <c r="J3958">
        <v>0</v>
      </c>
      <c r="K3958">
        <v>2312.9595137675969</v>
      </c>
      <c r="L3958">
        <v>0</v>
      </c>
      <c r="M3958">
        <v>0</v>
      </c>
      <c r="N3958">
        <v>0</v>
      </c>
      <c r="O3958">
        <v>98.071098169864854</v>
      </c>
      <c r="P3958">
        <v>1342409</v>
      </c>
    </row>
    <row r="3959" spans="1:16" x14ac:dyDescent="0.25">
      <c r="A3959" s="10">
        <v>43488</v>
      </c>
      <c r="B3959">
        <v>11591</v>
      </c>
      <c r="C3959">
        <v>1876.08</v>
      </c>
      <c r="D3959">
        <v>0</v>
      </c>
      <c r="E3959">
        <v>0</v>
      </c>
      <c r="F3959">
        <v>0</v>
      </c>
      <c r="G3959">
        <v>-25.104045050484199</v>
      </c>
      <c r="H3959">
        <v>-418.42762598000002</v>
      </c>
      <c r="I3959">
        <v>8259.0939072666224</v>
      </c>
      <c r="J3959">
        <v>0</v>
      </c>
      <c r="K3959">
        <v>1791.118526053383</v>
      </c>
      <c r="L3959">
        <v>0</v>
      </c>
      <c r="M3959">
        <v>0</v>
      </c>
      <c r="N3959">
        <v>0</v>
      </c>
      <c r="O3959">
        <v>108.2392377104788</v>
      </c>
      <c r="P3959">
        <v>1354000</v>
      </c>
    </row>
    <row r="3960" spans="1:16" x14ac:dyDescent="0.25">
      <c r="A3960" s="10">
        <v>43489</v>
      </c>
      <c r="B3960">
        <v>9169</v>
      </c>
      <c r="C3960">
        <v>1878.16</v>
      </c>
      <c r="D3960">
        <v>0</v>
      </c>
      <c r="E3960">
        <v>0</v>
      </c>
      <c r="F3960">
        <v>0</v>
      </c>
      <c r="G3960">
        <v>-67.127200859814963</v>
      </c>
      <c r="H3960">
        <v>-11.77992293</v>
      </c>
      <c r="I3960">
        <v>5944.3062009296846</v>
      </c>
      <c r="J3960">
        <v>0</v>
      </c>
      <c r="K3960">
        <v>1607.8069923702189</v>
      </c>
      <c r="L3960">
        <v>0</v>
      </c>
      <c r="M3960">
        <v>0</v>
      </c>
      <c r="N3960">
        <v>0</v>
      </c>
      <c r="O3960">
        <v>-182.36606951008801</v>
      </c>
      <c r="P3960">
        <v>1363169</v>
      </c>
    </row>
    <row r="3961" spans="1:16" x14ac:dyDescent="0.25">
      <c r="A3961" s="10">
        <v>43490</v>
      </c>
      <c r="B3961">
        <v>4150</v>
      </c>
      <c r="C3961">
        <v>1860.165</v>
      </c>
      <c r="D3961">
        <v>0</v>
      </c>
      <c r="E3961">
        <v>0</v>
      </c>
      <c r="F3961">
        <v>0</v>
      </c>
      <c r="G3961">
        <v>-1.353845480215611</v>
      </c>
      <c r="H3961">
        <v>-12576.88445578</v>
      </c>
      <c r="I3961">
        <v>13183.918788127139</v>
      </c>
      <c r="J3961">
        <v>0</v>
      </c>
      <c r="K3961">
        <v>1763.52077802298</v>
      </c>
      <c r="L3961">
        <v>0</v>
      </c>
      <c r="M3961">
        <v>0</v>
      </c>
      <c r="N3961">
        <v>0</v>
      </c>
      <c r="O3961">
        <v>-79.366264889902595</v>
      </c>
      <c r="P3961">
        <v>1367319</v>
      </c>
    </row>
    <row r="3962" spans="1:16" x14ac:dyDescent="0.25">
      <c r="A3962" s="10">
        <v>43493</v>
      </c>
      <c r="B3962">
        <v>-495</v>
      </c>
      <c r="C3962">
        <v>1856.25</v>
      </c>
      <c r="D3962">
        <v>0</v>
      </c>
      <c r="E3962">
        <v>0</v>
      </c>
      <c r="F3962">
        <v>0</v>
      </c>
      <c r="G3962">
        <v>238.7537157900818</v>
      </c>
      <c r="H3962">
        <v>-34371.020720959998</v>
      </c>
      <c r="I3962">
        <v>29957.370390388071</v>
      </c>
      <c r="J3962">
        <v>0</v>
      </c>
      <c r="K3962">
        <v>1893.7109157820009</v>
      </c>
      <c r="L3962">
        <v>0</v>
      </c>
      <c r="M3962">
        <v>0</v>
      </c>
      <c r="N3962">
        <v>0</v>
      </c>
      <c r="O3962">
        <v>-70.064301000150635</v>
      </c>
      <c r="P3962">
        <v>1366824</v>
      </c>
    </row>
    <row r="3963" spans="1:16" x14ac:dyDescent="0.25">
      <c r="A3963" s="10">
        <v>43494</v>
      </c>
      <c r="B3963">
        <v>22555</v>
      </c>
      <c r="C3963">
        <v>1856.61</v>
      </c>
      <c r="D3963">
        <v>0</v>
      </c>
      <c r="E3963">
        <v>0</v>
      </c>
      <c r="F3963">
        <v>0</v>
      </c>
      <c r="G3963">
        <v>-70.074744609598156</v>
      </c>
      <c r="H3963">
        <v>-29719.80896196</v>
      </c>
      <c r="I3963">
        <v>47725.89464275178</v>
      </c>
      <c r="J3963">
        <v>0</v>
      </c>
      <c r="K3963">
        <v>2199.3832675482608</v>
      </c>
      <c r="L3963">
        <v>0</v>
      </c>
      <c r="M3963">
        <v>0</v>
      </c>
      <c r="N3963">
        <v>0</v>
      </c>
      <c r="O3963">
        <v>562.99579626955529</v>
      </c>
      <c r="P3963">
        <v>1389379</v>
      </c>
    </row>
    <row r="3964" spans="1:16" x14ac:dyDescent="0.25">
      <c r="A3964" s="10">
        <v>43495</v>
      </c>
      <c r="B3964">
        <v>-8177</v>
      </c>
      <c r="C3964">
        <v>751.6</v>
      </c>
      <c r="D3964">
        <v>0</v>
      </c>
      <c r="E3964">
        <v>0</v>
      </c>
      <c r="F3964">
        <v>0</v>
      </c>
      <c r="G3964">
        <v>191.00683863970221</v>
      </c>
      <c r="H3964">
        <v>-6429.5998349199936</v>
      </c>
      <c r="I3964">
        <v>-4286.4360950068804</v>
      </c>
      <c r="J3964">
        <v>0</v>
      </c>
      <c r="K3964">
        <v>1773.1501847168461</v>
      </c>
      <c r="L3964">
        <v>0</v>
      </c>
      <c r="M3964">
        <v>0</v>
      </c>
      <c r="N3964">
        <v>0</v>
      </c>
      <c r="O3964">
        <v>-176.72109342967451</v>
      </c>
      <c r="P3964">
        <v>1381202</v>
      </c>
    </row>
    <row r="3965" spans="1:16" x14ac:dyDescent="0.25">
      <c r="A3965" s="10">
        <v>43496</v>
      </c>
      <c r="B3965">
        <v>-28397</v>
      </c>
      <c r="C3965">
        <v>1854.48</v>
      </c>
      <c r="D3965">
        <v>0</v>
      </c>
      <c r="E3965">
        <v>0</v>
      </c>
      <c r="F3965">
        <v>0</v>
      </c>
      <c r="G3965">
        <v>209.99881314021161</v>
      </c>
      <c r="H3965">
        <v>-28516.019810179991</v>
      </c>
      <c r="I3965">
        <v>-3246.6482347940332</v>
      </c>
      <c r="J3965">
        <v>0</v>
      </c>
      <c r="K3965">
        <v>1623.272596494</v>
      </c>
      <c r="L3965">
        <v>0</v>
      </c>
      <c r="M3965">
        <v>0</v>
      </c>
      <c r="N3965">
        <v>0</v>
      </c>
      <c r="O3965">
        <v>-322.08336466018949</v>
      </c>
      <c r="P3965">
        <v>1352805</v>
      </c>
    </row>
    <row r="3966" spans="1:16" x14ac:dyDescent="0.25">
      <c r="A3966" s="10">
        <v>43497</v>
      </c>
      <c r="B3966">
        <v>88653</v>
      </c>
      <c r="C3966">
        <v>1865.17</v>
      </c>
      <c r="D3966">
        <v>0</v>
      </c>
      <c r="E3966">
        <v>0</v>
      </c>
      <c r="F3966">
        <v>0</v>
      </c>
      <c r="G3966">
        <v>-43.92399406982554</v>
      </c>
      <c r="H3966">
        <v>105383.48689073999</v>
      </c>
      <c r="I3966">
        <v>-20930.381854171399</v>
      </c>
      <c r="J3966">
        <v>0</v>
      </c>
      <c r="K3966">
        <v>1727.4333383413159</v>
      </c>
      <c r="L3966">
        <v>0</v>
      </c>
      <c r="M3966">
        <v>0</v>
      </c>
      <c r="N3966">
        <v>0</v>
      </c>
      <c r="O3966">
        <v>651.21561915990605</v>
      </c>
      <c r="P3966">
        <v>1441458</v>
      </c>
    </row>
    <row r="3967" spans="1:16" x14ac:dyDescent="0.25">
      <c r="A3967" s="10">
        <v>43500</v>
      </c>
      <c r="B3967">
        <v>-32799</v>
      </c>
      <c r="C3967">
        <v>2799.335</v>
      </c>
      <c r="D3967">
        <v>0</v>
      </c>
      <c r="E3967">
        <v>0</v>
      </c>
      <c r="F3967">
        <v>0</v>
      </c>
      <c r="G3967">
        <v>-368.86918827981799</v>
      </c>
      <c r="H3967">
        <v>2532.8317131199992</v>
      </c>
      <c r="I3967">
        <v>-39742.054326733567</v>
      </c>
      <c r="J3967">
        <v>0</v>
      </c>
      <c r="K3967">
        <v>1521.387780723511</v>
      </c>
      <c r="L3967">
        <v>0</v>
      </c>
      <c r="M3967">
        <v>0</v>
      </c>
      <c r="N3967">
        <v>0</v>
      </c>
      <c r="O3967">
        <v>458.36902116988489</v>
      </c>
      <c r="P3967">
        <v>1408659</v>
      </c>
    </row>
    <row r="3968" spans="1:16" x14ac:dyDescent="0.25">
      <c r="A3968" s="10">
        <v>43501</v>
      </c>
      <c r="B3968">
        <v>-26373</v>
      </c>
      <c r="C3968">
        <v>2788.2289999999998</v>
      </c>
      <c r="D3968">
        <v>0</v>
      </c>
      <c r="E3968">
        <v>0</v>
      </c>
      <c r="F3968">
        <v>0</v>
      </c>
      <c r="G3968">
        <v>56.225763249990678</v>
      </c>
      <c r="H3968">
        <v>3712.7661322300009</v>
      </c>
      <c r="I3968">
        <v>-34825.855656767963</v>
      </c>
      <c r="J3968">
        <v>0</v>
      </c>
      <c r="K3968">
        <v>1588.259388658</v>
      </c>
      <c r="L3968">
        <v>0</v>
      </c>
      <c r="M3968">
        <v>0</v>
      </c>
      <c r="N3968">
        <v>0</v>
      </c>
      <c r="O3968">
        <v>307.37537262997279</v>
      </c>
      <c r="P3968">
        <v>1382286</v>
      </c>
    </row>
    <row r="3969" spans="1:16" x14ac:dyDescent="0.25">
      <c r="A3969" s="10">
        <v>43502</v>
      </c>
      <c r="B3969">
        <v>-11378</v>
      </c>
      <c r="C3969">
        <v>2806.01</v>
      </c>
      <c r="D3969">
        <v>0</v>
      </c>
      <c r="E3969">
        <v>0</v>
      </c>
      <c r="F3969">
        <v>0</v>
      </c>
      <c r="G3969">
        <v>62.323639359500021</v>
      </c>
      <c r="H3969">
        <v>-1277.0890918800001</v>
      </c>
      <c r="I3969">
        <v>-15043.311024181659</v>
      </c>
      <c r="J3969">
        <v>0</v>
      </c>
      <c r="K3969">
        <v>1667.2112208516489</v>
      </c>
      <c r="L3969">
        <v>0</v>
      </c>
      <c r="M3969">
        <v>0</v>
      </c>
      <c r="N3969">
        <v>0</v>
      </c>
      <c r="O3969">
        <v>406.85525585051067</v>
      </c>
      <c r="P3969">
        <v>1370908</v>
      </c>
    </row>
    <row r="3970" spans="1:16" x14ac:dyDescent="0.25">
      <c r="A3970" s="10">
        <v>43503</v>
      </c>
      <c r="B3970">
        <v>-31595</v>
      </c>
      <c r="C3970">
        <v>945.55</v>
      </c>
      <c r="D3970">
        <v>0</v>
      </c>
      <c r="E3970">
        <v>0</v>
      </c>
      <c r="F3970">
        <v>0</v>
      </c>
      <c r="G3970">
        <v>-14.38571272009847</v>
      </c>
      <c r="H3970">
        <v>886.5116936300002</v>
      </c>
      <c r="I3970">
        <v>-34851.095757970943</v>
      </c>
      <c r="J3970">
        <v>0</v>
      </c>
      <c r="K3970">
        <v>1479.572531810946</v>
      </c>
      <c r="L3970">
        <v>0</v>
      </c>
      <c r="M3970">
        <v>0</v>
      </c>
      <c r="N3970">
        <v>0</v>
      </c>
      <c r="O3970">
        <v>-41.152754749913584</v>
      </c>
      <c r="P3970">
        <v>1339313</v>
      </c>
    </row>
    <row r="3971" spans="1:16" x14ac:dyDescent="0.25">
      <c r="A3971" s="10">
        <v>43504</v>
      </c>
      <c r="B3971">
        <v>-11629</v>
      </c>
      <c r="C3971">
        <v>947</v>
      </c>
      <c r="D3971">
        <v>0</v>
      </c>
      <c r="E3971">
        <v>0</v>
      </c>
      <c r="F3971">
        <v>0</v>
      </c>
      <c r="G3971">
        <v>260.32961690041992</v>
      </c>
      <c r="H3971">
        <v>354.40688741999998</v>
      </c>
      <c r="I3971">
        <v>-15066.42135568999</v>
      </c>
      <c r="J3971">
        <v>-3.666610719999881</v>
      </c>
      <c r="K3971">
        <v>1693.23893065999</v>
      </c>
      <c r="L3971">
        <v>0</v>
      </c>
      <c r="M3971">
        <v>0</v>
      </c>
      <c r="N3971">
        <v>0</v>
      </c>
      <c r="O3971">
        <v>186.1125314295823</v>
      </c>
      <c r="P3971">
        <v>1327684</v>
      </c>
    </row>
    <row r="3972" spans="1:16" x14ac:dyDescent="0.25">
      <c r="A3972" s="10">
        <v>43507</v>
      </c>
      <c r="B3972">
        <v>-11261</v>
      </c>
      <c r="C3972">
        <v>0</v>
      </c>
      <c r="D3972">
        <v>0</v>
      </c>
      <c r="E3972">
        <v>0</v>
      </c>
      <c r="F3972">
        <v>0</v>
      </c>
      <c r="G3972">
        <v>96.09545498995611</v>
      </c>
      <c r="H3972">
        <v>-2962.5081128500001</v>
      </c>
      <c r="I3972">
        <v>-10122.528711679861</v>
      </c>
      <c r="J3972">
        <v>0</v>
      </c>
      <c r="K3972">
        <v>1755.25304897001</v>
      </c>
      <c r="L3972">
        <v>0</v>
      </c>
      <c r="M3972">
        <v>0</v>
      </c>
      <c r="N3972">
        <v>0</v>
      </c>
      <c r="O3972">
        <v>-27.311679430107692</v>
      </c>
      <c r="P3972">
        <v>1316423</v>
      </c>
    </row>
    <row r="3973" spans="1:16" x14ac:dyDescent="0.25">
      <c r="A3973" s="10">
        <v>43508</v>
      </c>
      <c r="B3973">
        <v>-871</v>
      </c>
      <c r="C3973">
        <v>2834.88</v>
      </c>
      <c r="D3973">
        <v>0</v>
      </c>
      <c r="E3973">
        <v>0</v>
      </c>
      <c r="F3973">
        <v>0</v>
      </c>
      <c r="G3973">
        <v>-149.1259216700924</v>
      </c>
      <c r="H3973">
        <v>-354.45667709999998</v>
      </c>
      <c r="I3973">
        <v>-5155.2155731099192</v>
      </c>
      <c r="J3973">
        <v>0</v>
      </c>
      <c r="K3973">
        <v>1761.1576483500089</v>
      </c>
      <c r="L3973">
        <v>0</v>
      </c>
      <c r="M3973">
        <v>0</v>
      </c>
      <c r="N3973">
        <v>0</v>
      </c>
      <c r="O3973">
        <v>191.76052353000301</v>
      </c>
      <c r="P3973">
        <v>1315552</v>
      </c>
    </row>
    <row r="3974" spans="1:16" x14ac:dyDescent="0.25">
      <c r="A3974" s="10">
        <v>43509</v>
      </c>
      <c r="B3974">
        <v>-22558</v>
      </c>
      <c r="C3974">
        <v>685.41499999999996</v>
      </c>
      <c r="D3974">
        <v>0</v>
      </c>
      <c r="E3974">
        <v>0</v>
      </c>
      <c r="F3974">
        <v>0</v>
      </c>
      <c r="G3974">
        <v>-92.985980219880545</v>
      </c>
      <c r="H3974">
        <v>244.43149204999921</v>
      </c>
      <c r="I3974">
        <v>-24950.954321240191</v>
      </c>
      <c r="J3974">
        <v>0</v>
      </c>
      <c r="K3974">
        <v>1627.4727511400149</v>
      </c>
      <c r="L3974">
        <v>0</v>
      </c>
      <c r="M3974">
        <v>0</v>
      </c>
      <c r="N3974">
        <v>0</v>
      </c>
      <c r="O3974">
        <v>-71.378941729944927</v>
      </c>
      <c r="P3974">
        <v>1292994</v>
      </c>
    </row>
    <row r="3975" spans="1:16" x14ac:dyDescent="0.25">
      <c r="A3975" s="10">
        <v>43510</v>
      </c>
      <c r="B3975">
        <v>916</v>
      </c>
      <c r="C3975">
        <v>0</v>
      </c>
      <c r="D3975">
        <v>0</v>
      </c>
      <c r="E3975">
        <v>0</v>
      </c>
      <c r="F3975">
        <v>0</v>
      </c>
      <c r="G3975">
        <v>-18.889445860087559</v>
      </c>
      <c r="H3975">
        <v>-525.87535438000032</v>
      </c>
      <c r="I3975">
        <v>-122.5854450199986</v>
      </c>
      <c r="J3975">
        <v>0</v>
      </c>
      <c r="K3975">
        <v>1630.4145270699939</v>
      </c>
      <c r="L3975">
        <v>0</v>
      </c>
      <c r="M3975">
        <v>0</v>
      </c>
      <c r="N3975">
        <v>0</v>
      </c>
      <c r="O3975">
        <v>-47.064281809907243</v>
      </c>
      <c r="P3975">
        <v>1293910</v>
      </c>
    </row>
    <row r="3976" spans="1:16" x14ac:dyDescent="0.25">
      <c r="A3976" s="10">
        <v>43511</v>
      </c>
      <c r="B3976">
        <v>3822</v>
      </c>
      <c r="C3976">
        <v>0</v>
      </c>
      <c r="D3976">
        <v>0</v>
      </c>
      <c r="E3976">
        <v>0</v>
      </c>
      <c r="F3976">
        <v>0</v>
      </c>
      <c r="G3976">
        <v>-213.98793922979439</v>
      </c>
      <c r="H3976">
        <v>2588.8255920499992</v>
      </c>
      <c r="I3976">
        <v>-70.783937859814614</v>
      </c>
      <c r="J3976">
        <v>0</v>
      </c>
      <c r="K3976">
        <v>1630.6125678999881</v>
      </c>
      <c r="L3976">
        <v>0</v>
      </c>
      <c r="M3976">
        <v>0</v>
      </c>
      <c r="N3976">
        <v>0</v>
      </c>
      <c r="O3976">
        <v>-112.66628286037761</v>
      </c>
      <c r="P3976">
        <v>1297732</v>
      </c>
    </row>
    <row r="3977" spans="1:16" x14ac:dyDescent="0.25">
      <c r="A3977" s="10">
        <v>43514</v>
      </c>
      <c r="B3977">
        <v>2914</v>
      </c>
      <c r="C3977">
        <v>0</v>
      </c>
      <c r="D3977">
        <v>0</v>
      </c>
      <c r="E3977">
        <v>0</v>
      </c>
      <c r="F3977">
        <v>0</v>
      </c>
      <c r="G3977">
        <v>201.1966109996259</v>
      </c>
      <c r="H3977">
        <v>1428.2442192558981</v>
      </c>
      <c r="I3977">
        <v>-30.19571973988786</v>
      </c>
      <c r="J3977">
        <v>0</v>
      </c>
      <c r="K3977">
        <v>1635.5972034299859</v>
      </c>
      <c r="L3977">
        <v>0</v>
      </c>
      <c r="M3977">
        <v>0</v>
      </c>
      <c r="N3977">
        <v>0</v>
      </c>
      <c r="O3977">
        <v>-320.84231394562272</v>
      </c>
      <c r="P3977">
        <v>1300646</v>
      </c>
    </row>
    <row r="3978" spans="1:16" x14ac:dyDescent="0.25">
      <c r="A3978" s="10">
        <v>43515</v>
      </c>
      <c r="B3978">
        <v>11519</v>
      </c>
      <c r="C3978">
        <v>0</v>
      </c>
      <c r="D3978">
        <v>0</v>
      </c>
      <c r="E3978">
        <v>0</v>
      </c>
      <c r="F3978">
        <v>0</v>
      </c>
      <c r="G3978">
        <v>327.60817951031521</v>
      </c>
      <c r="H3978">
        <v>-90.920291639963025</v>
      </c>
      <c r="I3978">
        <v>9920.0924424598925</v>
      </c>
      <c r="J3978">
        <v>0</v>
      </c>
      <c r="K3978">
        <v>1602.6966619999921</v>
      </c>
      <c r="L3978">
        <v>0</v>
      </c>
      <c r="M3978">
        <v>0</v>
      </c>
      <c r="N3978">
        <v>0</v>
      </c>
      <c r="O3978">
        <v>-240.47699233023741</v>
      </c>
      <c r="P3978">
        <v>1312165</v>
      </c>
    </row>
    <row r="3979" spans="1:16" x14ac:dyDescent="0.25">
      <c r="A3979" s="10">
        <v>43516</v>
      </c>
      <c r="B3979">
        <v>-11236</v>
      </c>
      <c r="C3979">
        <v>0</v>
      </c>
      <c r="D3979">
        <v>0</v>
      </c>
      <c r="E3979">
        <v>0</v>
      </c>
      <c r="F3979">
        <v>0</v>
      </c>
      <c r="G3979">
        <v>-70.168461609905307</v>
      </c>
      <c r="H3979">
        <v>-121.68664301</v>
      </c>
      <c r="I3979">
        <v>-12472.752837179931</v>
      </c>
      <c r="J3979">
        <v>0</v>
      </c>
      <c r="K3979">
        <v>1672.626015249994</v>
      </c>
      <c r="L3979">
        <v>0</v>
      </c>
      <c r="M3979">
        <v>0</v>
      </c>
      <c r="N3979">
        <v>0</v>
      </c>
      <c r="O3979">
        <v>-244.0180734501628</v>
      </c>
      <c r="P3979">
        <v>1300929</v>
      </c>
    </row>
    <row r="3980" spans="1:16" x14ac:dyDescent="0.25">
      <c r="A3980" s="10">
        <v>43517</v>
      </c>
      <c r="B3980">
        <v>-2118</v>
      </c>
      <c r="C3980">
        <v>0</v>
      </c>
      <c r="D3980">
        <v>0</v>
      </c>
      <c r="E3980">
        <v>0</v>
      </c>
      <c r="F3980">
        <v>0</v>
      </c>
      <c r="G3980">
        <v>21.55918297966457</v>
      </c>
      <c r="H3980">
        <v>286.47682467999999</v>
      </c>
      <c r="I3980">
        <v>-3666.76939352008</v>
      </c>
      <c r="J3980">
        <v>0</v>
      </c>
      <c r="K3980">
        <v>1504.335010370005</v>
      </c>
      <c r="L3980">
        <v>0</v>
      </c>
      <c r="M3980">
        <v>0</v>
      </c>
      <c r="N3980">
        <v>0</v>
      </c>
      <c r="O3980">
        <v>-263.60162450958859</v>
      </c>
      <c r="P3980">
        <v>1298811</v>
      </c>
    </row>
    <row r="3981" spans="1:16" x14ac:dyDescent="0.25">
      <c r="A3981" s="10">
        <v>43518</v>
      </c>
      <c r="B3981">
        <v>16303</v>
      </c>
      <c r="C3981">
        <v>0</v>
      </c>
      <c r="D3981">
        <v>0</v>
      </c>
      <c r="E3981">
        <v>0</v>
      </c>
      <c r="F3981">
        <v>0</v>
      </c>
      <c r="G3981">
        <v>-4082.593341190021</v>
      </c>
      <c r="H3981">
        <v>-1526.10062969</v>
      </c>
      <c r="I3981">
        <v>18318.72900844994</v>
      </c>
      <c r="J3981">
        <v>0</v>
      </c>
      <c r="K3981">
        <v>1555.490214340002</v>
      </c>
      <c r="L3981">
        <v>0</v>
      </c>
      <c r="M3981">
        <v>0</v>
      </c>
      <c r="N3981">
        <v>0</v>
      </c>
      <c r="O3981">
        <v>2037.4747480900769</v>
      </c>
      <c r="P3981">
        <v>1315114</v>
      </c>
    </row>
    <row r="3982" spans="1:16" x14ac:dyDescent="0.25">
      <c r="A3982" s="10">
        <v>43521</v>
      </c>
      <c r="B3982">
        <v>35981.800000000047</v>
      </c>
      <c r="C3982">
        <v>0</v>
      </c>
      <c r="D3982">
        <v>0</v>
      </c>
      <c r="E3982">
        <v>0</v>
      </c>
      <c r="F3982">
        <v>0</v>
      </c>
      <c r="G3982">
        <v>1697.369281130098</v>
      </c>
      <c r="H3982">
        <v>1253.28741698</v>
      </c>
      <c r="I3982">
        <v>30340.927949090019</v>
      </c>
      <c r="J3982">
        <v>0</v>
      </c>
      <c r="K3982">
        <v>1605.6457203199659</v>
      </c>
      <c r="L3982">
        <v>0</v>
      </c>
      <c r="M3982">
        <v>0</v>
      </c>
      <c r="N3982">
        <v>0</v>
      </c>
      <c r="O3982">
        <v>1084.5696324799569</v>
      </c>
      <c r="P3982">
        <v>1351095.8</v>
      </c>
    </row>
    <row r="3983" spans="1:16" x14ac:dyDescent="0.25">
      <c r="A3983" s="10">
        <v>43522</v>
      </c>
      <c r="B3983">
        <v>22431.19999999995</v>
      </c>
      <c r="C3983">
        <v>0</v>
      </c>
      <c r="D3983">
        <v>0</v>
      </c>
      <c r="E3983">
        <v>0</v>
      </c>
      <c r="F3983">
        <v>0</v>
      </c>
      <c r="G3983">
        <v>25.333649919940171</v>
      </c>
      <c r="H3983">
        <v>-359.14440859000013</v>
      </c>
      <c r="I3983">
        <v>20428.379693610012</v>
      </c>
      <c r="J3983">
        <v>0</v>
      </c>
      <c r="K3983">
        <v>1522.9521551400151</v>
      </c>
      <c r="L3983">
        <v>0</v>
      </c>
      <c r="M3983">
        <v>0</v>
      </c>
      <c r="N3983">
        <v>0</v>
      </c>
      <c r="O3983">
        <v>813.67890991998866</v>
      </c>
      <c r="P3983">
        <v>1373527</v>
      </c>
    </row>
    <row r="3984" spans="1:16" x14ac:dyDescent="0.25">
      <c r="A3984" s="10">
        <v>43523</v>
      </c>
      <c r="B3984">
        <v>30627</v>
      </c>
      <c r="C3984">
        <v>0</v>
      </c>
      <c r="D3984">
        <v>0</v>
      </c>
      <c r="E3984">
        <v>0</v>
      </c>
      <c r="F3984">
        <v>0</v>
      </c>
      <c r="G3984">
        <v>-17.871401510366699</v>
      </c>
      <c r="H3984">
        <v>443.72794834000001</v>
      </c>
      <c r="I3984">
        <v>28052.54282673018</v>
      </c>
      <c r="J3984">
        <v>0</v>
      </c>
      <c r="K3984">
        <v>1860.4764479700009</v>
      </c>
      <c r="L3984">
        <v>0</v>
      </c>
      <c r="M3984">
        <v>0</v>
      </c>
      <c r="N3984">
        <v>0</v>
      </c>
      <c r="O3984">
        <v>288.12417847018878</v>
      </c>
      <c r="P3984">
        <v>1404154</v>
      </c>
    </row>
    <row r="3985" spans="1:16" x14ac:dyDescent="0.25">
      <c r="A3985" s="10">
        <v>43524</v>
      </c>
      <c r="B3985">
        <v>-1073.3999999999071</v>
      </c>
      <c r="C3985">
        <v>0</v>
      </c>
      <c r="D3985">
        <v>0</v>
      </c>
      <c r="E3985">
        <v>0</v>
      </c>
      <c r="F3985">
        <v>0</v>
      </c>
      <c r="G3985">
        <v>184.99749971022641</v>
      </c>
      <c r="H3985">
        <v>-33916.77154948</v>
      </c>
      <c r="I3985">
        <v>31100.784165380061</v>
      </c>
      <c r="J3985">
        <v>0</v>
      </c>
      <c r="K3985">
        <v>1712.9173167999861</v>
      </c>
      <c r="L3985">
        <v>0</v>
      </c>
      <c r="M3985">
        <v>0</v>
      </c>
      <c r="N3985">
        <v>0</v>
      </c>
      <c r="O3985">
        <v>-155.32743241017531</v>
      </c>
      <c r="P3985">
        <v>1403080.6</v>
      </c>
    </row>
    <row r="3986" spans="1:16" x14ac:dyDescent="0.25">
      <c r="A3986" s="10">
        <v>43525</v>
      </c>
      <c r="B3986">
        <v>511.39999999990692</v>
      </c>
      <c r="C3986">
        <v>0</v>
      </c>
      <c r="D3986">
        <v>0</v>
      </c>
      <c r="E3986">
        <v>0</v>
      </c>
      <c r="F3986">
        <v>0</v>
      </c>
      <c r="G3986">
        <v>16.441271529705091</v>
      </c>
      <c r="H3986">
        <v>30948.053524880001</v>
      </c>
      <c r="I3986">
        <v>-31892.461646009939</v>
      </c>
      <c r="J3986">
        <v>0</v>
      </c>
      <c r="K3986">
        <v>1603.3787392700151</v>
      </c>
      <c r="L3986">
        <v>0</v>
      </c>
      <c r="M3986">
        <v>0</v>
      </c>
      <c r="N3986">
        <v>0</v>
      </c>
      <c r="O3986">
        <v>-164.01188966987769</v>
      </c>
      <c r="P3986">
        <v>1403592</v>
      </c>
    </row>
    <row r="3987" spans="1:16" x14ac:dyDescent="0.25">
      <c r="A3987" s="10">
        <v>43530</v>
      </c>
      <c r="B3987">
        <v>-36698</v>
      </c>
      <c r="C3987">
        <v>0</v>
      </c>
      <c r="D3987">
        <v>0</v>
      </c>
      <c r="E3987">
        <v>0</v>
      </c>
      <c r="F3987">
        <v>0</v>
      </c>
      <c r="G3987">
        <v>-61.953678489885647</v>
      </c>
      <c r="H3987">
        <v>2092.2756287799998</v>
      </c>
      <c r="I3987">
        <v>-40543.426730695297</v>
      </c>
      <c r="J3987">
        <v>0</v>
      </c>
      <c r="K3987">
        <v>1958.2080692953671</v>
      </c>
      <c r="L3987">
        <v>0</v>
      </c>
      <c r="M3987">
        <v>0</v>
      </c>
      <c r="N3987">
        <v>0</v>
      </c>
      <c r="O3987">
        <v>-143.10328889018271</v>
      </c>
      <c r="P3987">
        <v>1366894</v>
      </c>
    </row>
    <row r="3988" spans="1:16" x14ac:dyDescent="0.25">
      <c r="A3988" s="10">
        <v>43531</v>
      </c>
      <c r="B3988">
        <v>-61204</v>
      </c>
      <c r="C3988">
        <v>0</v>
      </c>
      <c r="D3988">
        <v>0</v>
      </c>
      <c r="E3988">
        <v>0</v>
      </c>
      <c r="F3988">
        <v>0</v>
      </c>
      <c r="G3988">
        <v>-35.987927570096559</v>
      </c>
      <c r="H3988">
        <v>-23.74756546999993</v>
      </c>
      <c r="I3988">
        <v>-62927.616339908098</v>
      </c>
      <c r="J3988">
        <v>0</v>
      </c>
      <c r="K3988">
        <v>1952.210954848136</v>
      </c>
      <c r="L3988">
        <v>0</v>
      </c>
      <c r="M3988">
        <v>0</v>
      </c>
      <c r="N3988">
        <v>0</v>
      </c>
      <c r="O3988">
        <v>-168.85912189994269</v>
      </c>
      <c r="P3988">
        <v>1305690</v>
      </c>
    </row>
    <row r="3989" spans="1:16" x14ac:dyDescent="0.25">
      <c r="A3989" s="10">
        <v>43532</v>
      </c>
      <c r="B3989">
        <v>-18635</v>
      </c>
      <c r="C3989">
        <v>0</v>
      </c>
      <c r="D3989">
        <v>0</v>
      </c>
      <c r="E3989">
        <v>0</v>
      </c>
      <c r="F3989">
        <v>0</v>
      </c>
      <c r="G3989">
        <v>-652.65928864017246</v>
      </c>
      <c r="H3989">
        <v>1093.67362432</v>
      </c>
      <c r="I3989">
        <v>-21179.826329566891</v>
      </c>
      <c r="J3989">
        <v>0</v>
      </c>
      <c r="K3989">
        <v>2253.3860218467921</v>
      </c>
      <c r="L3989">
        <v>0</v>
      </c>
      <c r="M3989">
        <v>0</v>
      </c>
      <c r="N3989">
        <v>0</v>
      </c>
      <c r="O3989">
        <v>-149.57402795973391</v>
      </c>
      <c r="P3989">
        <v>1287055</v>
      </c>
    </row>
    <row r="3990" spans="1:16" x14ac:dyDescent="0.25">
      <c r="A3990" s="10">
        <v>43535</v>
      </c>
      <c r="B3990">
        <v>-32178</v>
      </c>
      <c r="C3990">
        <v>0</v>
      </c>
      <c r="D3990">
        <v>0</v>
      </c>
      <c r="E3990">
        <v>0</v>
      </c>
      <c r="F3990">
        <v>0</v>
      </c>
      <c r="G3990">
        <v>-1061.6760707094841</v>
      </c>
      <c r="H3990">
        <v>-0.28881419000000008</v>
      </c>
      <c r="I3990">
        <v>-32556.568186190911</v>
      </c>
      <c r="J3990">
        <v>0</v>
      </c>
      <c r="K3990">
        <v>2282.0429565009031</v>
      </c>
      <c r="L3990">
        <v>0</v>
      </c>
      <c r="M3990">
        <v>0</v>
      </c>
      <c r="N3990">
        <v>0</v>
      </c>
      <c r="O3990">
        <v>-841.50988541050901</v>
      </c>
      <c r="P3990">
        <v>1254877</v>
      </c>
    </row>
    <row r="3991" spans="1:16" x14ac:dyDescent="0.25">
      <c r="A3991" s="10">
        <v>43536</v>
      </c>
      <c r="B3991">
        <v>2233</v>
      </c>
      <c r="C3991">
        <v>0</v>
      </c>
      <c r="D3991">
        <v>0</v>
      </c>
      <c r="E3991">
        <v>0</v>
      </c>
      <c r="F3991">
        <v>0</v>
      </c>
      <c r="G3991">
        <v>-30.047446019856888</v>
      </c>
      <c r="H3991">
        <v>5.8499700000000487E-2</v>
      </c>
      <c r="I3991">
        <v>-627.1725450338563</v>
      </c>
      <c r="J3991">
        <v>-3.3094241500002681</v>
      </c>
      <c r="K3991">
        <v>2981.5043490037528</v>
      </c>
      <c r="L3991">
        <v>0</v>
      </c>
      <c r="M3991">
        <v>0</v>
      </c>
      <c r="N3991">
        <v>0</v>
      </c>
      <c r="O3991">
        <v>-88.033433500039791</v>
      </c>
      <c r="P3991">
        <v>1257110</v>
      </c>
    </row>
    <row r="3992" spans="1:16" x14ac:dyDescent="0.25">
      <c r="A3992" s="10">
        <v>43537</v>
      </c>
      <c r="B3992">
        <v>1941.3999999999071</v>
      </c>
      <c r="C3992">
        <v>0</v>
      </c>
      <c r="D3992">
        <v>0</v>
      </c>
      <c r="E3992">
        <v>0</v>
      </c>
      <c r="F3992">
        <v>0</v>
      </c>
      <c r="G3992">
        <v>-135.50777521047399</v>
      </c>
      <c r="H3992">
        <v>0.40011336999999969</v>
      </c>
      <c r="I3992">
        <v>-25.062486617593091</v>
      </c>
      <c r="J3992">
        <v>0</v>
      </c>
      <c r="K3992">
        <v>1925.3772142274249</v>
      </c>
      <c r="L3992">
        <v>0</v>
      </c>
      <c r="M3992">
        <v>0</v>
      </c>
      <c r="N3992">
        <v>0</v>
      </c>
      <c r="O3992">
        <v>176.1929342305489</v>
      </c>
      <c r="P3992">
        <v>1259051.3999999999</v>
      </c>
    </row>
    <row r="3993" spans="1:16" x14ac:dyDescent="0.25">
      <c r="A3993" s="10">
        <v>43538</v>
      </c>
      <c r="B3993">
        <v>23281.600000000089</v>
      </c>
      <c r="C3993">
        <v>0</v>
      </c>
      <c r="D3993">
        <v>0</v>
      </c>
      <c r="E3993">
        <v>0</v>
      </c>
      <c r="F3993">
        <v>0</v>
      </c>
      <c r="G3993">
        <v>-157.2369063894553</v>
      </c>
      <c r="H3993">
        <v>-13.480691009999999</v>
      </c>
      <c r="I3993">
        <v>21195.040878359931</v>
      </c>
      <c r="J3993">
        <v>0</v>
      </c>
      <c r="K3993">
        <v>2197.8769448300109</v>
      </c>
      <c r="L3993">
        <v>0</v>
      </c>
      <c r="M3993">
        <v>0</v>
      </c>
      <c r="N3993">
        <v>0</v>
      </c>
      <c r="O3993">
        <v>59.399774209610769</v>
      </c>
      <c r="P3993">
        <v>1282333</v>
      </c>
    </row>
    <row r="3994" spans="1:16" x14ac:dyDescent="0.25">
      <c r="A3994" s="10">
        <v>43539</v>
      </c>
      <c r="B3994">
        <v>3207</v>
      </c>
      <c r="C3994">
        <v>0</v>
      </c>
      <c r="D3994">
        <v>0</v>
      </c>
      <c r="E3994">
        <v>0</v>
      </c>
      <c r="F3994">
        <v>0</v>
      </c>
      <c r="G3994">
        <v>-6.0390597004735014</v>
      </c>
      <c r="H3994">
        <v>-196.03101762</v>
      </c>
      <c r="I3994">
        <v>1539.181536198128</v>
      </c>
      <c r="J3994">
        <v>0</v>
      </c>
      <c r="K3994">
        <v>2264.1801492819832</v>
      </c>
      <c r="L3994">
        <v>0</v>
      </c>
      <c r="M3994">
        <v>0</v>
      </c>
      <c r="N3994">
        <v>0</v>
      </c>
      <c r="O3994">
        <v>-394.29160815963718</v>
      </c>
      <c r="P3994">
        <v>1285540</v>
      </c>
    </row>
    <row r="3995" spans="1:16" x14ac:dyDescent="0.25">
      <c r="A3995" s="10">
        <v>43542</v>
      </c>
      <c r="B3995">
        <v>-2917</v>
      </c>
      <c r="C3995">
        <v>0</v>
      </c>
      <c r="D3995">
        <v>0</v>
      </c>
      <c r="E3995">
        <v>0</v>
      </c>
      <c r="F3995">
        <v>0</v>
      </c>
      <c r="G3995">
        <v>-211.2729192595605</v>
      </c>
      <c r="H3995">
        <v>208.67766513000001</v>
      </c>
      <c r="I3995">
        <v>-4413.0020933483029</v>
      </c>
      <c r="J3995">
        <v>0</v>
      </c>
      <c r="K3995">
        <v>2108.9885191980929</v>
      </c>
      <c r="L3995">
        <v>0</v>
      </c>
      <c r="M3995">
        <v>0</v>
      </c>
      <c r="N3995">
        <v>0</v>
      </c>
      <c r="O3995">
        <v>-610.39117172022998</v>
      </c>
      <c r="P3995">
        <v>1282623</v>
      </c>
    </row>
    <row r="3996" spans="1:16" x14ac:dyDescent="0.25">
      <c r="A3996" s="10">
        <v>43543</v>
      </c>
      <c r="B3996">
        <v>-7428</v>
      </c>
      <c r="C3996">
        <v>0</v>
      </c>
      <c r="D3996">
        <v>0</v>
      </c>
      <c r="E3996">
        <v>0</v>
      </c>
      <c r="F3996">
        <v>0</v>
      </c>
      <c r="G3996">
        <v>218.75778325987369</v>
      </c>
      <c r="H3996">
        <v>-911.89280601999997</v>
      </c>
      <c r="I3996">
        <v>-8954.9059243119555</v>
      </c>
      <c r="J3996">
        <v>0</v>
      </c>
      <c r="K3996">
        <v>2354.5800385920388</v>
      </c>
      <c r="L3996">
        <v>0</v>
      </c>
      <c r="M3996">
        <v>0</v>
      </c>
      <c r="N3996">
        <v>0</v>
      </c>
      <c r="O3996">
        <v>-134.53909151995691</v>
      </c>
      <c r="P3996">
        <v>1275195</v>
      </c>
    </row>
    <row r="3997" spans="1:16" x14ac:dyDescent="0.25">
      <c r="A3997" s="10">
        <v>43544</v>
      </c>
      <c r="B3997">
        <v>-5549.6000000000931</v>
      </c>
      <c r="C3997">
        <v>0</v>
      </c>
      <c r="D3997">
        <v>0</v>
      </c>
      <c r="E3997">
        <v>0</v>
      </c>
      <c r="F3997">
        <v>0</v>
      </c>
      <c r="G3997">
        <v>224.39041808997419</v>
      </c>
      <c r="H3997">
        <v>802.57351514999993</v>
      </c>
      <c r="I3997">
        <v>-8912.5288126443047</v>
      </c>
      <c r="J3997">
        <v>0</v>
      </c>
      <c r="K3997">
        <v>2413.7043727841601</v>
      </c>
      <c r="L3997">
        <v>0</v>
      </c>
      <c r="M3997">
        <v>0</v>
      </c>
      <c r="N3997">
        <v>0</v>
      </c>
      <c r="O3997">
        <v>-77.739493379922351</v>
      </c>
      <c r="P3997">
        <v>1269645.3999999999</v>
      </c>
    </row>
    <row r="3998" spans="1:16" x14ac:dyDescent="0.25">
      <c r="A3998" s="10">
        <v>43545</v>
      </c>
      <c r="B3998">
        <v>13942.100000000089</v>
      </c>
      <c r="C3998">
        <v>0</v>
      </c>
      <c r="D3998">
        <v>0</v>
      </c>
      <c r="E3998">
        <v>0</v>
      </c>
      <c r="F3998">
        <v>0</v>
      </c>
      <c r="G3998">
        <v>19.138973369865891</v>
      </c>
      <c r="H3998">
        <v>-3024.8819675700001</v>
      </c>
      <c r="I3998">
        <v>14603.46899242944</v>
      </c>
      <c r="J3998">
        <v>0</v>
      </c>
      <c r="K3998">
        <v>2439.392715010642</v>
      </c>
      <c r="L3998">
        <v>0</v>
      </c>
      <c r="M3998">
        <v>0</v>
      </c>
      <c r="N3998">
        <v>0</v>
      </c>
      <c r="O3998">
        <v>-95.018713239853241</v>
      </c>
      <c r="P3998">
        <v>1283587.5</v>
      </c>
    </row>
    <row r="3999" spans="1:16" x14ac:dyDescent="0.25">
      <c r="A3999" s="10">
        <v>43546</v>
      </c>
      <c r="B3999">
        <v>539.5</v>
      </c>
      <c r="C3999">
        <v>0</v>
      </c>
      <c r="D3999">
        <v>0</v>
      </c>
      <c r="E3999">
        <v>0</v>
      </c>
      <c r="F3999">
        <v>0</v>
      </c>
      <c r="G3999">
        <v>78.652741019890357</v>
      </c>
      <c r="H3999">
        <v>3120.1002408600002</v>
      </c>
      <c r="I3999">
        <v>-4987.3778211445306</v>
      </c>
      <c r="J3999">
        <v>0</v>
      </c>
      <c r="K3999">
        <v>2478.950185184618</v>
      </c>
      <c r="L3999">
        <v>0</v>
      </c>
      <c r="M3999">
        <v>0</v>
      </c>
      <c r="N3999">
        <v>0</v>
      </c>
      <c r="O3999">
        <v>-150.82534591997731</v>
      </c>
      <c r="P3999">
        <v>1284127</v>
      </c>
    </row>
    <row r="4000" spans="1:16" x14ac:dyDescent="0.25">
      <c r="A4000" s="10">
        <v>43549</v>
      </c>
      <c r="B4000">
        <v>8282</v>
      </c>
      <c r="C4000">
        <v>0</v>
      </c>
      <c r="D4000">
        <v>0</v>
      </c>
      <c r="E4000">
        <v>0</v>
      </c>
      <c r="F4000">
        <v>0</v>
      </c>
      <c r="G4000">
        <v>-120.80591303987489</v>
      </c>
      <c r="H4000">
        <v>-996.18171223000002</v>
      </c>
      <c r="I4000">
        <v>7074.6625576076331</v>
      </c>
      <c r="J4000">
        <v>0</v>
      </c>
      <c r="K4000">
        <v>2297.9993926123102</v>
      </c>
      <c r="L4000">
        <v>0</v>
      </c>
      <c r="M4000">
        <v>0</v>
      </c>
      <c r="N4000">
        <v>0</v>
      </c>
      <c r="O4000">
        <v>26.325675049931309</v>
      </c>
      <c r="P4000">
        <v>1292409</v>
      </c>
    </row>
    <row r="4001" spans="1:16" x14ac:dyDescent="0.25">
      <c r="A4001" s="10">
        <v>43550</v>
      </c>
      <c r="B4001">
        <v>22806</v>
      </c>
      <c r="C4001">
        <v>0</v>
      </c>
      <c r="D4001">
        <v>0</v>
      </c>
      <c r="E4001">
        <v>0</v>
      </c>
      <c r="F4001">
        <v>0</v>
      </c>
      <c r="G4001">
        <v>148.4639860101164</v>
      </c>
      <c r="H4001">
        <v>905.43737239999996</v>
      </c>
      <c r="I4001">
        <v>18508.408544038659</v>
      </c>
      <c r="J4001">
        <v>0</v>
      </c>
      <c r="K4001">
        <v>2531.7444575111758</v>
      </c>
      <c r="L4001">
        <v>0</v>
      </c>
      <c r="M4001">
        <v>0</v>
      </c>
      <c r="N4001">
        <v>0</v>
      </c>
      <c r="O4001">
        <v>711.94564004005224</v>
      </c>
      <c r="P4001">
        <v>1315215</v>
      </c>
    </row>
    <row r="4002" spans="1:16" x14ac:dyDescent="0.25">
      <c r="A4002" s="10">
        <v>43551</v>
      </c>
      <c r="B4002">
        <v>11836</v>
      </c>
      <c r="C4002">
        <v>0</v>
      </c>
      <c r="D4002">
        <v>0</v>
      </c>
      <c r="E4002">
        <v>0</v>
      </c>
      <c r="F4002">
        <v>0</v>
      </c>
      <c r="G4002">
        <v>26.238028489944551</v>
      </c>
      <c r="H4002">
        <v>105.66725150000001</v>
      </c>
      <c r="I4002">
        <v>9041.4206787194125</v>
      </c>
      <c r="J4002">
        <v>0</v>
      </c>
      <c r="K4002">
        <v>2582.732400680633</v>
      </c>
      <c r="L4002">
        <v>0</v>
      </c>
      <c r="M4002">
        <v>0</v>
      </c>
      <c r="N4002">
        <v>0</v>
      </c>
      <c r="O4002">
        <v>79.941640610009927</v>
      </c>
      <c r="P4002">
        <v>1327051</v>
      </c>
    </row>
    <row r="4003" spans="1:16" x14ac:dyDescent="0.25">
      <c r="A4003" s="10">
        <v>43552</v>
      </c>
      <c r="B4003">
        <v>4625</v>
      </c>
      <c r="C4003">
        <v>0</v>
      </c>
      <c r="D4003">
        <v>0</v>
      </c>
      <c r="E4003">
        <v>0</v>
      </c>
      <c r="F4003">
        <v>0</v>
      </c>
      <c r="G4003">
        <v>23.39016377007863</v>
      </c>
      <c r="H4003">
        <v>-58.965431279999997</v>
      </c>
      <c r="I4003">
        <v>1860.9805666989409</v>
      </c>
      <c r="J4003">
        <v>0</v>
      </c>
      <c r="K4003">
        <v>2335.3060826211081</v>
      </c>
      <c r="L4003">
        <v>0</v>
      </c>
      <c r="M4003">
        <v>0</v>
      </c>
      <c r="N4003">
        <v>0</v>
      </c>
      <c r="O4003">
        <v>464.28861818987212</v>
      </c>
      <c r="P4003">
        <v>1331676</v>
      </c>
    </row>
    <row r="4004" spans="1:16" x14ac:dyDescent="0.25">
      <c r="A4004" s="10">
        <v>43553</v>
      </c>
      <c r="B4004">
        <v>19845</v>
      </c>
      <c r="C4004">
        <v>0</v>
      </c>
      <c r="D4004">
        <v>0</v>
      </c>
      <c r="E4004">
        <v>0</v>
      </c>
      <c r="F4004">
        <v>0</v>
      </c>
      <c r="G4004">
        <v>-722.5892500500604</v>
      </c>
      <c r="H4004">
        <v>-27145.2446083</v>
      </c>
      <c r="I4004">
        <v>44416.025121389313</v>
      </c>
      <c r="J4004">
        <v>0</v>
      </c>
      <c r="K4004">
        <v>2651.0106509607331</v>
      </c>
      <c r="L4004">
        <v>0</v>
      </c>
      <c r="M4004">
        <v>0</v>
      </c>
      <c r="N4004">
        <v>0</v>
      </c>
      <c r="O4004">
        <v>645.79808600002434</v>
      </c>
      <c r="P4004">
        <v>1351521</v>
      </c>
    </row>
    <row r="4005" spans="1:16" x14ac:dyDescent="0.25">
      <c r="A4005" s="10">
        <v>43556</v>
      </c>
      <c r="B4005">
        <v>10642</v>
      </c>
      <c r="C4005">
        <v>0</v>
      </c>
      <c r="D4005">
        <v>0</v>
      </c>
      <c r="E4005">
        <v>0</v>
      </c>
      <c r="F4005">
        <v>0</v>
      </c>
      <c r="G4005">
        <v>491.08086863010391</v>
      </c>
      <c r="H4005">
        <v>26973.30775747</v>
      </c>
      <c r="I4005">
        <v>-18990.25512085226</v>
      </c>
      <c r="J4005">
        <v>0</v>
      </c>
      <c r="K4005">
        <v>2451.400780882353</v>
      </c>
      <c r="L4005">
        <v>0</v>
      </c>
      <c r="M4005">
        <v>0</v>
      </c>
      <c r="N4005">
        <v>0</v>
      </c>
      <c r="O4005">
        <v>-283.53428613019059</v>
      </c>
      <c r="P4005">
        <v>1362163</v>
      </c>
    </row>
    <row r="4006" spans="1:16" x14ac:dyDescent="0.25">
      <c r="A4006" s="10">
        <v>43558</v>
      </c>
      <c r="B4006">
        <v>-12515</v>
      </c>
      <c r="C4006">
        <v>0</v>
      </c>
      <c r="D4006">
        <v>0</v>
      </c>
      <c r="E4006">
        <v>0</v>
      </c>
      <c r="F4006">
        <v>0</v>
      </c>
      <c r="G4006">
        <v>-45.608720270088241</v>
      </c>
      <c r="H4006">
        <v>-3937.26883989</v>
      </c>
      <c r="I4006">
        <v>-11238.683927998651</v>
      </c>
      <c r="J4006">
        <v>0</v>
      </c>
      <c r="K4006">
        <v>2759.0327612887181</v>
      </c>
      <c r="L4006">
        <v>0</v>
      </c>
      <c r="M4006">
        <v>0</v>
      </c>
      <c r="N4006">
        <v>0</v>
      </c>
      <c r="O4006">
        <v>-52.471273129984183</v>
      </c>
      <c r="P4006">
        <v>1349648</v>
      </c>
    </row>
    <row r="4007" spans="1:16" x14ac:dyDescent="0.25">
      <c r="A4007" s="10">
        <v>43559</v>
      </c>
      <c r="B4007">
        <v>-2613</v>
      </c>
      <c r="C4007">
        <v>0</v>
      </c>
      <c r="D4007">
        <v>0</v>
      </c>
      <c r="E4007">
        <v>0</v>
      </c>
      <c r="F4007">
        <v>0</v>
      </c>
      <c r="G4007">
        <v>-597.15411316000871</v>
      </c>
      <c r="H4007">
        <v>3961.4564943099999</v>
      </c>
      <c r="I4007">
        <v>-8834.1226740309503</v>
      </c>
      <c r="J4007">
        <v>0</v>
      </c>
      <c r="K4007">
        <v>2954.6065317910029</v>
      </c>
      <c r="L4007">
        <v>0</v>
      </c>
      <c r="M4007">
        <v>0</v>
      </c>
      <c r="N4007">
        <v>0</v>
      </c>
      <c r="O4007">
        <v>-97.786238910044176</v>
      </c>
      <c r="P4007">
        <v>1347035</v>
      </c>
    </row>
    <row r="4008" spans="1:16" x14ac:dyDescent="0.25">
      <c r="A4008" s="10">
        <v>43560</v>
      </c>
      <c r="B4008">
        <v>-28344</v>
      </c>
      <c r="C4008">
        <v>0</v>
      </c>
      <c r="D4008">
        <v>0</v>
      </c>
      <c r="E4008">
        <v>0</v>
      </c>
      <c r="F4008">
        <v>0</v>
      </c>
      <c r="G4008">
        <v>655.52268365996906</v>
      </c>
      <c r="H4008">
        <v>92.453038450000022</v>
      </c>
      <c r="I4008">
        <v>-31999.572697231899</v>
      </c>
      <c r="J4008">
        <v>0</v>
      </c>
      <c r="K4008">
        <v>2746.5332946421249</v>
      </c>
      <c r="L4008">
        <v>0</v>
      </c>
      <c r="M4008">
        <v>0</v>
      </c>
      <c r="N4008">
        <v>0</v>
      </c>
      <c r="O4008">
        <v>161.06368047980141</v>
      </c>
      <c r="P4008">
        <v>1318691</v>
      </c>
    </row>
    <row r="4009" spans="1:16" x14ac:dyDescent="0.25">
      <c r="A4009" s="10">
        <v>43563</v>
      </c>
      <c r="B4009">
        <v>-29737</v>
      </c>
      <c r="C4009">
        <v>0</v>
      </c>
      <c r="D4009">
        <v>0</v>
      </c>
      <c r="E4009">
        <v>0</v>
      </c>
      <c r="F4009">
        <v>0</v>
      </c>
      <c r="G4009">
        <v>-21.01175401973012</v>
      </c>
      <c r="H4009">
        <v>-59.307392460000003</v>
      </c>
      <c r="I4009">
        <v>-32288.190171499042</v>
      </c>
      <c r="J4009">
        <v>0</v>
      </c>
      <c r="K4009">
        <v>3043.428496928917</v>
      </c>
      <c r="L4009">
        <v>0</v>
      </c>
      <c r="M4009">
        <v>0</v>
      </c>
      <c r="N4009">
        <v>0</v>
      </c>
      <c r="O4009">
        <v>-411.91917895014922</v>
      </c>
      <c r="P4009">
        <v>1288954</v>
      </c>
    </row>
    <row r="4010" spans="1:16" x14ac:dyDescent="0.25">
      <c r="A4010" s="10">
        <v>43564</v>
      </c>
      <c r="B4010">
        <v>723</v>
      </c>
      <c r="C4010">
        <v>0</v>
      </c>
      <c r="D4010">
        <v>0</v>
      </c>
      <c r="E4010">
        <v>0</v>
      </c>
      <c r="F4010">
        <v>0</v>
      </c>
      <c r="G4010">
        <v>29.789712749881769</v>
      </c>
      <c r="H4010">
        <v>33.899298600000009</v>
      </c>
      <c r="I4010">
        <v>-2159.3497072651521</v>
      </c>
      <c r="J4010">
        <v>-3.2631278600001679</v>
      </c>
      <c r="K4010">
        <v>2987.3341322350861</v>
      </c>
      <c r="L4010">
        <v>0</v>
      </c>
      <c r="M4010">
        <v>0</v>
      </c>
      <c r="N4010">
        <v>0</v>
      </c>
      <c r="O4010">
        <v>-165.4103084598155</v>
      </c>
      <c r="P4010">
        <v>1289677</v>
      </c>
    </row>
    <row r="4011" spans="1:16" x14ac:dyDescent="0.25">
      <c r="A4011" s="10">
        <v>43565</v>
      </c>
      <c r="B4011">
        <v>4075</v>
      </c>
      <c r="C4011">
        <v>0</v>
      </c>
      <c r="D4011">
        <v>0</v>
      </c>
      <c r="E4011">
        <v>0</v>
      </c>
      <c r="F4011">
        <v>0</v>
      </c>
      <c r="G4011">
        <v>1.0536069298115081</v>
      </c>
      <c r="H4011">
        <v>-383.40225410000011</v>
      </c>
      <c r="I4011">
        <v>2167.3387844064268</v>
      </c>
      <c r="J4011">
        <v>0</v>
      </c>
      <c r="K4011">
        <v>2598.34789669361</v>
      </c>
      <c r="L4011">
        <v>0</v>
      </c>
      <c r="M4011">
        <v>0</v>
      </c>
      <c r="N4011">
        <v>0</v>
      </c>
      <c r="O4011">
        <v>-308.33803392984919</v>
      </c>
      <c r="P4011">
        <v>1293752</v>
      </c>
    </row>
    <row r="4012" spans="1:16" x14ac:dyDescent="0.25">
      <c r="A4012" s="10">
        <v>43566</v>
      </c>
      <c r="B4012">
        <v>8299</v>
      </c>
      <c r="C4012">
        <v>0</v>
      </c>
      <c r="D4012">
        <v>0</v>
      </c>
      <c r="E4012">
        <v>0</v>
      </c>
      <c r="F4012">
        <v>0</v>
      </c>
      <c r="G4012">
        <v>94.998432400144054</v>
      </c>
      <c r="H4012">
        <v>398.18546059999989</v>
      </c>
      <c r="I4012">
        <v>5413.7382203295128</v>
      </c>
      <c r="J4012">
        <v>0</v>
      </c>
      <c r="K4012">
        <v>2692.4201067805338</v>
      </c>
      <c r="L4012">
        <v>0</v>
      </c>
      <c r="M4012">
        <v>0</v>
      </c>
      <c r="N4012">
        <v>0</v>
      </c>
      <c r="O4012">
        <v>-300.34222011019119</v>
      </c>
      <c r="P4012">
        <v>1302051</v>
      </c>
    </row>
    <row r="4013" spans="1:16" x14ac:dyDescent="0.25">
      <c r="A4013" s="10">
        <v>43567</v>
      </c>
      <c r="B4013">
        <v>18609</v>
      </c>
      <c r="C4013">
        <v>0</v>
      </c>
      <c r="D4013">
        <v>0</v>
      </c>
      <c r="E4013">
        <v>0</v>
      </c>
      <c r="F4013">
        <v>0</v>
      </c>
      <c r="G4013">
        <v>593.61957900112327</v>
      </c>
      <c r="H4013">
        <v>-45.960263779999991</v>
      </c>
      <c r="I4013">
        <v>15826.66082811181</v>
      </c>
      <c r="J4013">
        <v>0</v>
      </c>
      <c r="K4013">
        <v>2782.5421699782719</v>
      </c>
      <c r="L4013">
        <v>0</v>
      </c>
      <c r="M4013">
        <v>0</v>
      </c>
      <c r="N4013">
        <v>0</v>
      </c>
      <c r="O4013">
        <v>-547.86231331120507</v>
      </c>
      <c r="P4013">
        <v>1320660</v>
      </c>
    </row>
    <row r="4014" spans="1:16" x14ac:dyDescent="0.25">
      <c r="A4014" s="10">
        <v>43570</v>
      </c>
      <c r="B4014">
        <v>-3360</v>
      </c>
      <c r="C4014">
        <v>0</v>
      </c>
      <c r="D4014">
        <v>0</v>
      </c>
      <c r="E4014">
        <v>0</v>
      </c>
      <c r="F4014">
        <v>0</v>
      </c>
      <c r="G4014">
        <v>-2455.8297530303239</v>
      </c>
      <c r="H4014">
        <v>-3497.004084220001</v>
      </c>
      <c r="I4014">
        <v>326.16086841269862</v>
      </c>
      <c r="J4014">
        <v>0</v>
      </c>
      <c r="K4014">
        <v>2516.1052249472332</v>
      </c>
      <c r="L4014">
        <v>0</v>
      </c>
      <c r="M4014">
        <v>0</v>
      </c>
      <c r="N4014">
        <v>0</v>
      </c>
      <c r="O4014">
        <v>-249.43225610960641</v>
      </c>
      <c r="P4014">
        <v>1317300</v>
      </c>
    </row>
    <row r="4015" spans="1:16" x14ac:dyDescent="0.25">
      <c r="A4015" s="10">
        <v>43571</v>
      </c>
      <c r="B4015">
        <v>-9151</v>
      </c>
      <c r="C4015">
        <v>0</v>
      </c>
      <c r="D4015">
        <v>0</v>
      </c>
      <c r="E4015">
        <v>0</v>
      </c>
      <c r="F4015">
        <v>0</v>
      </c>
      <c r="G4015">
        <v>-2602.3893368699692</v>
      </c>
      <c r="H4015">
        <v>1946.9347262700001</v>
      </c>
      <c r="I4015">
        <v>-11105.30831899459</v>
      </c>
      <c r="J4015">
        <v>0</v>
      </c>
      <c r="K4015">
        <v>2601.1092617543982</v>
      </c>
      <c r="L4015">
        <v>0</v>
      </c>
      <c r="M4015">
        <v>0</v>
      </c>
      <c r="N4015">
        <v>0</v>
      </c>
      <c r="O4015">
        <v>8.6536678401607787</v>
      </c>
      <c r="P4015">
        <v>1308149</v>
      </c>
    </row>
    <row r="4016" spans="1:16" x14ac:dyDescent="0.25">
      <c r="A4016" s="10">
        <v>43572</v>
      </c>
      <c r="B4016">
        <v>-46052</v>
      </c>
      <c r="C4016">
        <v>0</v>
      </c>
      <c r="D4016">
        <v>0</v>
      </c>
      <c r="E4016">
        <v>0</v>
      </c>
      <c r="F4016">
        <v>0</v>
      </c>
      <c r="G4016">
        <v>4681.4224710202034</v>
      </c>
      <c r="H4016">
        <v>777.02694874999997</v>
      </c>
      <c r="I4016">
        <v>-54311.093076038873</v>
      </c>
      <c r="J4016">
        <v>0</v>
      </c>
      <c r="K4016">
        <v>2526.330941708849</v>
      </c>
      <c r="L4016">
        <v>0</v>
      </c>
      <c r="M4016">
        <v>0</v>
      </c>
      <c r="N4016">
        <v>0</v>
      </c>
      <c r="O4016">
        <v>274.31271455982642</v>
      </c>
      <c r="P4016">
        <v>1262097</v>
      </c>
    </row>
    <row r="4017" spans="1:16" x14ac:dyDescent="0.25">
      <c r="A4017" s="10">
        <v>43577</v>
      </c>
      <c r="B4017">
        <v>6290</v>
      </c>
      <c r="C4017">
        <v>0</v>
      </c>
      <c r="D4017">
        <v>0</v>
      </c>
      <c r="E4017">
        <v>0</v>
      </c>
      <c r="F4017">
        <v>0</v>
      </c>
      <c r="G4017">
        <v>-2435.6420765600892</v>
      </c>
      <c r="H4017">
        <v>-1469.8716217199999</v>
      </c>
      <c r="I4017">
        <v>6629.2608777759597</v>
      </c>
      <c r="J4017">
        <v>0</v>
      </c>
      <c r="K4017">
        <v>4073.101489694247</v>
      </c>
      <c r="L4017">
        <v>0</v>
      </c>
      <c r="M4017">
        <v>0</v>
      </c>
      <c r="N4017">
        <v>0</v>
      </c>
      <c r="O4017">
        <v>-506.84866919011802</v>
      </c>
      <c r="P4017">
        <v>1268387</v>
      </c>
    </row>
    <row r="4018" spans="1:16" x14ac:dyDescent="0.25">
      <c r="A4018" s="10">
        <v>43578</v>
      </c>
      <c r="B4018">
        <v>19486</v>
      </c>
      <c r="C4018">
        <v>0</v>
      </c>
      <c r="D4018">
        <v>0</v>
      </c>
      <c r="E4018">
        <v>0</v>
      </c>
      <c r="F4018">
        <v>0</v>
      </c>
      <c r="G4018">
        <v>-2565.293592630258</v>
      </c>
      <c r="H4018">
        <v>1724.6310793</v>
      </c>
      <c r="I4018">
        <v>16201.52732053981</v>
      </c>
      <c r="J4018">
        <v>0</v>
      </c>
      <c r="K4018">
        <v>4023.5619799702299</v>
      </c>
      <c r="L4018">
        <v>0</v>
      </c>
      <c r="M4018">
        <v>0</v>
      </c>
      <c r="N4018">
        <v>0</v>
      </c>
      <c r="O4018">
        <v>101.573212820218</v>
      </c>
      <c r="P4018">
        <v>1287873</v>
      </c>
    </row>
    <row r="4019" spans="1:16" x14ac:dyDescent="0.25">
      <c r="A4019" s="10">
        <v>43579</v>
      </c>
      <c r="B4019">
        <v>30148</v>
      </c>
      <c r="C4019">
        <v>0</v>
      </c>
      <c r="D4019">
        <v>0</v>
      </c>
      <c r="E4019">
        <v>0</v>
      </c>
      <c r="F4019">
        <v>0</v>
      </c>
      <c r="G4019">
        <v>1658.5202676198419</v>
      </c>
      <c r="H4019">
        <v>285.02543983999988</v>
      </c>
      <c r="I4019">
        <v>25068.176712850229</v>
      </c>
      <c r="J4019">
        <v>0</v>
      </c>
      <c r="K4019">
        <v>3214.2099152098431</v>
      </c>
      <c r="L4019">
        <v>0</v>
      </c>
      <c r="M4019">
        <v>0</v>
      </c>
      <c r="N4019">
        <v>0</v>
      </c>
      <c r="O4019">
        <v>-77.93233551990852</v>
      </c>
      <c r="P4019">
        <v>1318021</v>
      </c>
    </row>
    <row r="4020" spans="1:16" x14ac:dyDescent="0.25">
      <c r="A4020" s="10">
        <v>43580</v>
      </c>
      <c r="B4020">
        <v>35189</v>
      </c>
      <c r="C4020">
        <v>0</v>
      </c>
      <c r="D4020">
        <v>0</v>
      </c>
      <c r="E4020">
        <v>0</v>
      </c>
      <c r="F4020">
        <v>0</v>
      </c>
      <c r="G4020">
        <v>-1573.2226941001129</v>
      </c>
      <c r="H4020">
        <v>174.65345944000001</v>
      </c>
      <c r="I4020">
        <v>32689.694650121961</v>
      </c>
      <c r="J4020">
        <v>0</v>
      </c>
      <c r="K4020">
        <v>3512.9171708980548</v>
      </c>
      <c r="L4020">
        <v>0</v>
      </c>
      <c r="M4020">
        <v>0</v>
      </c>
      <c r="N4020">
        <v>0</v>
      </c>
      <c r="O4020">
        <v>384.95741364009149</v>
      </c>
      <c r="P4020">
        <v>1353210</v>
      </c>
    </row>
    <row r="4021" spans="1:16" x14ac:dyDescent="0.25">
      <c r="A4021" s="10">
        <v>43581</v>
      </c>
      <c r="B4021">
        <v>65109</v>
      </c>
      <c r="C4021">
        <v>0</v>
      </c>
      <c r="D4021">
        <v>0</v>
      </c>
      <c r="E4021">
        <v>0</v>
      </c>
      <c r="F4021">
        <v>0</v>
      </c>
      <c r="G4021">
        <v>1793.600848200417</v>
      </c>
      <c r="H4021">
        <v>109.04139811</v>
      </c>
      <c r="I4021">
        <v>58635.304403320297</v>
      </c>
      <c r="J4021">
        <v>0</v>
      </c>
      <c r="K4021">
        <v>4161.4764604897164</v>
      </c>
      <c r="L4021">
        <v>0</v>
      </c>
      <c r="M4021">
        <v>0</v>
      </c>
      <c r="N4021">
        <v>0</v>
      </c>
      <c r="O4021">
        <v>409.57688987956499</v>
      </c>
      <c r="P4021">
        <v>1418319</v>
      </c>
    </row>
    <row r="4022" spans="1:16" x14ac:dyDescent="0.25">
      <c r="A4022" s="10">
        <v>43584</v>
      </c>
      <c r="B4022">
        <v>-8402</v>
      </c>
      <c r="C4022">
        <v>0</v>
      </c>
      <c r="D4022">
        <v>0</v>
      </c>
      <c r="E4022">
        <v>0</v>
      </c>
      <c r="F4022">
        <v>0</v>
      </c>
      <c r="G4022">
        <v>-1678.699421229863</v>
      </c>
      <c r="H4022">
        <v>-1354.7701194199999</v>
      </c>
      <c r="I4022">
        <v>-8540.3541919450508</v>
      </c>
      <c r="J4022">
        <v>0</v>
      </c>
      <c r="K4022">
        <v>2542.5740520449158</v>
      </c>
      <c r="L4022">
        <v>0</v>
      </c>
      <c r="M4022">
        <v>0</v>
      </c>
      <c r="N4022">
        <v>0</v>
      </c>
      <c r="O4022">
        <v>629.24968054999772</v>
      </c>
      <c r="P4022">
        <v>1409917</v>
      </c>
    </row>
    <row r="4023" spans="1:16" x14ac:dyDescent="0.25">
      <c r="A4023" s="10">
        <v>43585</v>
      </c>
      <c r="B4023">
        <v>-6998</v>
      </c>
      <c r="C4023">
        <v>0</v>
      </c>
      <c r="D4023">
        <v>0</v>
      </c>
      <c r="E4023">
        <v>0</v>
      </c>
      <c r="F4023">
        <v>0</v>
      </c>
      <c r="G4023">
        <v>1260.9580692775669</v>
      </c>
      <c r="H4023">
        <v>-11995.314655530001</v>
      </c>
      <c r="I4023">
        <v>2864.1134956367309</v>
      </c>
      <c r="J4023">
        <v>0</v>
      </c>
      <c r="K4023">
        <v>2388.8726346931198</v>
      </c>
      <c r="L4023">
        <v>0</v>
      </c>
      <c r="M4023">
        <v>0</v>
      </c>
      <c r="N4023">
        <v>0</v>
      </c>
      <c r="O4023">
        <v>-1516.6295440774229</v>
      </c>
      <c r="P4023">
        <v>1402919</v>
      </c>
    </row>
    <row r="4024" spans="1:16" x14ac:dyDescent="0.25">
      <c r="A4024" s="10">
        <v>43587</v>
      </c>
      <c r="B4024">
        <v>-5676</v>
      </c>
      <c r="C4024">
        <v>0</v>
      </c>
      <c r="D4024">
        <v>0</v>
      </c>
      <c r="E4024">
        <v>0</v>
      </c>
      <c r="F4024">
        <v>0</v>
      </c>
      <c r="G4024">
        <v>-1608.504448519669</v>
      </c>
      <c r="H4024">
        <v>13290.129228399999</v>
      </c>
      <c r="I4024">
        <v>-19575.748288798499</v>
      </c>
      <c r="J4024">
        <v>0</v>
      </c>
      <c r="K4024">
        <v>2590.1352788184581</v>
      </c>
      <c r="L4024">
        <v>0</v>
      </c>
      <c r="M4024">
        <v>0</v>
      </c>
      <c r="N4024">
        <v>0</v>
      </c>
      <c r="O4024">
        <v>-372.01176990029131</v>
      </c>
      <c r="P4024">
        <v>1397243</v>
      </c>
    </row>
    <row r="4025" spans="1:16" x14ac:dyDescent="0.25">
      <c r="A4025" s="10">
        <v>43588</v>
      </c>
      <c r="B4025">
        <v>-1715</v>
      </c>
      <c r="C4025">
        <v>0</v>
      </c>
      <c r="D4025">
        <v>0</v>
      </c>
      <c r="E4025">
        <v>0</v>
      </c>
      <c r="F4025">
        <v>0</v>
      </c>
      <c r="G4025">
        <v>2638.5481948699889</v>
      </c>
      <c r="H4025">
        <v>10.94496695000001</v>
      </c>
      <c r="I4025">
        <v>-7780.1839719756972</v>
      </c>
      <c r="J4025">
        <v>0</v>
      </c>
      <c r="K4025">
        <v>2811.817337635629</v>
      </c>
      <c r="L4025">
        <v>0</v>
      </c>
      <c r="M4025">
        <v>0</v>
      </c>
      <c r="N4025">
        <v>0</v>
      </c>
      <c r="O4025">
        <v>603.87347252007885</v>
      </c>
      <c r="P4025">
        <v>1395528</v>
      </c>
    </row>
    <row r="4026" spans="1:16" x14ac:dyDescent="0.25">
      <c r="A4026" s="10">
        <v>43591</v>
      </c>
      <c r="B4026">
        <v>-22896</v>
      </c>
      <c r="C4026">
        <v>0</v>
      </c>
      <c r="D4026">
        <v>0</v>
      </c>
      <c r="E4026">
        <v>0</v>
      </c>
      <c r="F4026">
        <v>0</v>
      </c>
      <c r="G4026">
        <v>-2630.5775989901822</v>
      </c>
      <c r="H4026">
        <v>-2437.1357563699999</v>
      </c>
      <c r="I4026">
        <v>-21404.953663450779</v>
      </c>
      <c r="J4026">
        <v>0</v>
      </c>
      <c r="K4026">
        <v>3796.8056195708809</v>
      </c>
      <c r="L4026">
        <v>0</v>
      </c>
      <c r="M4026">
        <v>0</v>
      </c>
      <c r="N4026">
        <v>0</v>
      </c>
      <c r="O4026">
        <v>-220.13860075991761</v>
      </c>
      <c r="P4026">
        <v>1372632</v>
      </c>
    </row>
    <row r="4027" spans="1:16" x14ac:dyDescent="0.25">
      <c r="A4027" s="10">
        <v>43592</v>
      </c>
      <c r="B4027">
        <v>-695</v>
      </c>
      <c r="C4027">
        <v>0</v>
      </c>
      <c r="D4027">
        <v>0</v>
      </c>
      <c r="E4027">
        <v>0</v>
      </c>
      <c r="F4027">
        <v>0</v>
      </c>
      <c r="G4027">
        <v>2825.0843045700499</v>
      </c>
      <c r="H4027">
        <v>1709.07207105</v>
      </c>
      <c r="I4027">
        <v>-8392.9925740907202</v>
      </c>
      <c r="J4027">
        <v>0</v>
      </c>
      <c r="K4027">
        <v>3274.347666810761</v>
      </c>
      <c r="L4027">
        <v>0</v>
      </c>
      <c r="M4027">
        <v>0</v>
      </c>
      <c r="N4027">
        <v>0</v>
      </c>
      <c r="O4027">
        <v>-110.5114683400916</v>
      </c>
      <c r="P4027">
        <v>1371937</v>
      </c>
    </row>
    <row r="4028" spans="1:16" x14ac:dyDescent="0.25">
      <c r="A4028" s="10">
        <v>43593</v>
      </c>
      <c r="B4028">
        <v>-44372</v>
      </c>
      <c r="C4028">
        <v>0</v>
      </c>
      <c r="D4028">
        <v>0</v>
      </c>
      <c r="E4028">
        <v>0</v>
      </c>
      <c r="F4028">
        <v>0</v>
      </c>
      <c r="G4028">
        <v>-3155.4452305101108</v>
      </c>
      <c r="H4028">
        <v>-1903.0428818800001</v>
      </c>
      <c r="I4028">
        <v>-41878.707643392729</v>
      </c>
      <c r="J4028">
        <v>0</v>
      </c>
      <c r="K4028">
        <v>2925.1717109426691</v>
      </c>
      <c r="L4028">
        <v>0</v>
      </c>
      <c r="M4028">
        <v>0</v>
      </c>
      <c r="N4028">
        <v>0</v>
      </c>
      <c r="O4028">
        <v>-359.97595515982539</v>
      </c>
      <c r="P4028">
        <v>1327565</v>
      </c>
    </row>
    <row r="4029" spans="1:16" x14ac:dyDescent="0.25">
      <c r="A4029" s="10">
        <v>43594</v>
      </c>
      <c r="B4029">
        <v>-22892</v>
      </c>
      <c r="C4029">
        <v>0</v>
      </c>
      <c r="D4029">
        <v>0</v>
      </c>
      <c r="E4029">
        <v>0</v>
      </c>
      <c r="F4029">
        <v>0</v>
      </c>
      <c r="G4029">
        <v>-2951.6471086502002</v>
      </c>
      <c r="H4029">
        <v>1830.10759693</v>
      </c>
      <c r="I4029">
        <v>-24597.821716130009</v>
      </c>
      <c r="J4029">
        <v>-3.0390707900005509</v>
      </c>
      <c r="K4029">
        <v>2695.616295660001</v>
      </c>
      <c r="L4029">
        <v>0</v>
      </c>
      <c r="M4029">
        <v>0</v>
      </c>
      <c r="N4029">
        <v>0</v>
      </c>
      <c r="O4029">
        <v>134.78400298021009</v>
      </c>
      <c r="P4029">
        <v>1304673</v>
      </c>
    </row>
    <row r="4030" spans="1:16" x14ac:dyDescent="0.25">
      <c r="A4030" s="10">
        <v>43595</v>
      </c>
      <c r="B4030">
        <v>-17265</v>
      </c>
      <c r="C4030">
        <v>0</v>
      </c>
      <c r="D4030">
        <v>0</v>
      </c>
      <c r="E4030">
        <v>0</v>
      </c>
      <c r="F4030">
        <v>0</v>
      </c>
      <c r="G4030">
        <v>5369.5162491001747</v>
      </c>
      <c r="H4030">
        <v>304.47391823999999</v>
      </c>
      <c r="I4030">
        <v>-25758.505141714351</v>
      </c>
      <c r="J4030">
        <v>0</v>
      </c>
      <c r="K4030">
        <v>2666.3239675841851</v>
      </c>
      <c r="L4030">
        <v>0</v>
      </c>
      <c r="M4030">
        <v>0</v>
      </c>
      <c r="N4030">
        <v>0</v>
      </c>
      <c r="O4030">
        <v>153.1910067899953</v>
      </c>
      <c r="P4030">
        <v>1287408</v>
      </c>
    </row>
    <row r="4031" spans="1:16" x14ac:dyDescent="0.25">
      <c r="A4031" s="10">
        <v>43598</v>
      </c>
      <c r="B4031">
        <v>21849</v>
      </c>
      <c r="C4031">
        <v>0</v>
      </c>
      <c r="D4031">
        <v>0</v>
      </c>
      <c r="E4031">
        <v>0</v>
      </c>
      <c r="F4031">
        <v>0</v>
      </c>
      <c r="G4031">
        <v>-2204.4674218999912</v>
      </c>
      <c r="H4031">
        <v>-8.1430970100000195</v>
      </c>
      <c r="I4031">
        <v>21140.107390814232</v>
      </c>
      <c r="J4031">
        <v>0</v>
      </c>
      <c r="K4031">
        <v>3024.019403575413</v>
      </c>
      <c r="L4031">
        <v>0</v>
      </c>
      <c r="M4031">
        <v>0</v>
      </c>
      <c r="N4031">
        <v>0</v>
      </c>
      <c r="O4031">
        <v>-102.5162754796511</v>
      </c>
      <c r="P4031">
        <v>1309257</v>
      </c>
    </row>
    <row r="4032" spans="1:16" x14ac:dyDescent="0.25">
      <c r="A4032" s="10">
        <v>43599</v>
      </c>
      <c r="B4032">
        <v>23572</v>
      </c>
      <c r="C4032">
        <v>0</v>
      </c>
      <c r="D4032">
        <v>0</v>
      </c>
      <c r="E4032">
        <v>0</v>
      </c>
      <c r="F4032">
        <v>0</v>
      </c>
      <c r="G4032">
        <v>2663.8003064801528</v>
      </c>
      <c r="H4032">
        <v>39.919556459999967</v>
      </c>
      <c r="I4032">
        <v>17731.08884412597</v>
      </c>
      <c r="J4032">
        <v>0</v>
      </c>
      <c r="K4032">
        <v>2982.1468755139558</v>
      </c>
      <c r="L4032">
        <v>0</v>
      </c>
      <c r="M4032">
        <v>0</v>
      </c>
      <c r="N4032">
        <v>0</v>
      </c>
      <c r="O4032">
        <v>155.04441741991471</v>
      </c>
      <c r="P4032">
        <v>1332829</v>
      </c>
    </row>
    <row r="4033" spans="1:16" x14ac:dyDescent="0.25">
      <c r="A4033" s="10">
        <v>43600</v>
      </c>
      <c r="B4033">
        <v>16696</v>
      </c>
      <c r="C4033">
        <v>0</v>
      </c>
      <c r="D4033">
        <v>0</v>
      </c>
      <c r="E4033">
        <v>0</v>
      </c>
      <c r="F4033">
        <v>0</v>
      </c>
      <c r="G4033">
        <v>-2971.7692829201578</v>
      </c>
      <c r="H4033">
        <v>2.063291590000063</v>
      </c>
      <c r="I4033">
        <v>16822.425593849501</v>
      </c>
      <c r="J4033">
        <v>0</v>
      </c>
      <c r="K4033">
        <v>3108.0173887105748</v>
      </c>
      <c r="L4033">
        <v>0</v>
      </c>
      <c r="M4033">
        <v>0</v>
      </c>
      <c r="N4033">
        <v>0</v>
      </c>
      <c r="O4033">
        <v>-264.73699122992178</v>
      </c>
      <c r="P4033">
        <v>1349525</v>
      </c>
    </row>
    <row r="4034" spans="1:16" x14ac:dyDescent="0.25">
      <c r="A4034" s="10">
        <v>43601</v>
      </c>
      <c r="B4034">
        <v>-2396</v>
      </c>
      <c r="C4034">
        <v>0</v>
      </c>
      <c r="D4034">
        <v>0</v>
      </c>
      <c r="E4034">
        <v>0</v>
      </c>
      <c r="F4034">
        <v>0</v>
      </c>
      <c r="G4034">
        <v>-2644.693729749768</v>
      </c>
      <c r="H4034">
        <v>2.4855386700000959</v>
      </c>
      <c r="I4034">
        <v>-2686.160909866448</v>
      </c>
      <c r="J4034">
        <v>0</v>
      </c>
      <c r="K4034">
        <v>2976.200721006438</v>
      </c>
      <c r="L4034">
        <v>0</v>
      </c>
      <c r="M4034">
        <v>0</v>
      </c>
      <c r="N4034">
        <v>0</v>
      </c>
      <c r="O4034">
        <v>-43.831620060222122</v>
      </c>
      <c r="P4034">
        <v>1347129</v>
      </c>
    </row>
    <row r="4035" spans="1:16" x14ac:dyDescent="0.25">
      <c r="A4035" s="10">
        <v>43602</v>
      </c>
      <c r="B4035">
        <v>4012</v>
      </c>
      <c r="C4035">
        <v>0</v>
      </c>
      <c r="D4035">
        <v>0</v>
      </c>
      <c r="E4035">
        <v>0</v>
      </c>
      <c r="F4035">
        <v>0</v>
      </c>
      <c r="G4035">
        <v>5179.0077132199876</v>
      </c>
      <c r="H4035">
        <v>-119.9515463700001</v>
      </c>
      <c r="I4035">
        <v>-4788.7509155200096</v>
      </c>
      <c r="J4035">
        <v>0</v>
      </c>
      <c r="K4035">
        <v>2959.7582870599422</v>
      </c>
      <c r="L4035">
        <v>0</v>
      </c>
      <c r="M4035">
        <v>0</v>
      </c>
      <c r="N4035">
        <v>0</v>
      </c>
      <c r="O4035">
        <v>781.93646161007973</v>
      </c>
      <c r="P4035">
        <v>1351141</v>
      </c>
    </row>
    <row r="4036" spans="1:16" x14ac:dyDescent="0.25">
      <c r="A4036" s="10">
        <v>43605</v>
      </c>
      <c r="B4036">
        <v>-12875</v>
      </c>
      <c r="C4036">
        <v>0</v>
      </c>
      <c r="D4036">
        <v>0</v>
      </c>
      <c r="E4036">
        <v>0</v>
      </c>
      <c r="F4036">
        <v>0</v>
      </c>
      <c r="G4036">
        <v>-2538.84970179024</v>
      </c>
      <c r="H4036">
        <v>126.90156555</v>
      </c>
      <c r="I4036">
        <v>-12899.62771211646</v>
      </c>
      <c r="J4036">
        <v>0</v>
      </c>
      <c r="K4036">
        <v>2660.118201406407</v>
      </c>
      <c r="L4036">
        <v>0</v>
      </c>
      <c r="M4036">
        <v>0</v>
      </c>
      <c r="N4036">
        <v>0</v>
      </c>
      <c r="O4036">
        <v>-223.54235304970641</v>
      </c>
      <c r="P4036">
        <v>1338266</v>
      </c>
    </row>
    <row r="4037" spans="1:16" x14ac:dyDescent="0.25">
      <c r="A4037" s="10">
        <v>43606</v>
      </c>
      <c r="B4037">
        <v>-17806</v>
      </c>
      <c r="C4037">
        <v>0</v>
      </c>
      <c r="D4037">
        <v>0</v>
      </c>
      <c r="E4037">
        <v>0</v>
      </c>
      <c r="F4037">
        <v>0</v>
      </c>
      <c r="G4037">
        <v>3023.4424518399228</v>
      </c>
      <c r="H4037">
        <v>1.9477991800000609</v>
      </c>
      <c r="I4037">
        <v>-23447.140836249218</v>
      </c>
      <c r="J4037">
        <v>0</v>
      </c>
      <c r="K4037">
        <v>2672.7497119494078</v>
      </c>
      <c r="L4037">
        <v>0</v>
      </c>
      <c r="M4037">
        <v>0</v>
      </c>
      <c r="N4037">
        <v>0</v>
      </c>
      <c r="O4037">
        <v>-56.999126720107597</v>
      </c>
      <c r="P4037">
        <v>1320460</v>
      </c>
    </row>
    <row r="4038" spans="1:16" x14ac:dyDescent="0.25">
      <c r="A4038" s="10">
        <v>43607</v>
      </c>
      <c r="B4038">
        <v>11312</v>
      </c>
      <c r="C4038">
        <v>0</v>
      </c>
      <c r="D4038">
        <v>0</v>
      </c>
      <c r="E4038">
        <v>0</v>
      </c>
      <c r="F4038">
        <v>0</v>
      </c>
      <c r="G4038">
        <v>-2586.995664750244</v>
      </c>
      <c r="H4038">
        <v>-126.3856664800001</v>
      </c>
      <c r="I4038">
        <v>11166.22624782473</v>
      </c>
      <c r="J4038">
        <v>0</v>
      </c>
      <c r="K4038">
        <v>2822.721245605183</v>
      </c>
      <c r="L4038">
        <v>0</v>
      </c>
      <c r="M4038">
        <v>0</v>
      </c>
      <c r="N4038">
        <v>0</v>
      </c>
      <c r="O4038">
        <v>36.433837800333997</v>
      </c>
      <c r="P4038">
        <v>1331772</v>
      </c>
    </row>
    <row r="4039" spans="1:16" x14ac:dyDescent="0.25">
      <c r="A4039" s="10">
        <v>43608</v>
      </c>
      <c r="B4039">
        <v>13400</v>
      </c>
      <c r="C4039">
        <v>0</v>
      </c>
      <c r="D4039">
        <v>0</v>
      </c>
      <c r="E4039">
        <v>0</v>
      </c>
      <c r="F4039">
        <v>0</v>
      </c>
      <c r="G4039">
        <v>-2692.4950452094099</v>
      </c>
      <c r="H4039">
        <v>32.056921809999949</v>
      </c>
      <c r="I4039">
        <v>13136.745021839981</v>
      </c>
      <c r="J4039">
        <v>0</v>
      </c>
      <c r="K4039">
        <v>2975.9037645700992</v>
      </c>
      <c r="L4039">
        <v>0</v>
      </c>
      <c r="M4039">
        <v>0</v>
      </c>
      <c r="N4039">
        <v>0</v>
      </c>
      <c r="O4039">
        <v>-52.210663010664582</v>
      </c>
      <c r="P4039">
        <v>1345172</v>
      </c>
    </row>
    <row r="4040" spans="1:16" x14ac:dyDescent="0.25">
      <c r="A4040" s="10">
        <v>43609</v>
      </c>
      <c r="B4040">
        <v>-30187</v>
      </c>
      <c r="C4040">
        <v>0</v>
      </c>
      <c r="D4040">
        <v>0</v>
      </c>
      <c r="E4040">
        <v>0</v>
      </c>
      <c r="F4040">
        <v>0</v>
      </c>
      <c r="G4040">
        <v>-23735.488167320411</v>
      </c>
      <c r="H4040">
        <v>-2037.5691124299999</v>
      </c>
      <c r="I4040">
        <v>-7568.6766175008379</v>
      </c>
      <c r="J4040">
        <v>0</v>
      </c>
      <c r="K4040">
        <v>3001.844481370847</v>
      </c>
      <c r="L4040">
        <v>0</v>
      </c>
      <c r="M4040">
        <v>0</v>
      </c>
      <c r="N4040">
        <v>0</v>
      </c>
      <c r="O4040">
        <v>152.889415880396</v>
      </c>
      <c r="P4040">
        <v>1314985</v>
      </c>
    </row>
    <row r="4041" spans="1:16" x14ac:dyDescent="0.25">
      <c r="A4041" s="10">
        <v>43612</v>
      </c>
      <c r="B4041">
        <v>18723</v>
      </c>
      <c r="C4041">
        <v>0</v>
      </c>
      <c r="D4041">
        <v>0</v>
      </c>
      <c r="E4041">
        <v>0</v>
      </c>
      <c r="F4041">
        <v>0</v>
      </c>
      <c r="G4041">
        <v>-146.5505642797319</v>
      </c>
      <c r="H4041">
        <v>1582.5702616799999</v>
      </c>
      <c r="I4041">
        <v>14377.71105006721</v>
      </c>
      <c r="J4041">
        <v>0</v>
      </c>
      <c r="K4041">
        <v>2836.0313385127979</v>
      </c>
      <c r="L4041">
        <v>0</v>
      </c>
      <c r="M4041">
        <v>0</v>
      </c>
      <c r="N4041">
        <v>0</v>
      </c>
      <c r="O4041">
        <v>73.237914019719028</v>
      </c>
      <c r="P4041">
        <v>1333708</v>
      </c>
    </row>
    <row r="4042" spans="1:16" x14ac:dyDescent="0.25">
      <c r="A4042" s="10">
        <v>43613</v>
      </c>
      <c r="B4042">
        <v>7712</v>
      </c>
      <c r="C4042">
        <v>0</v>
      </c>
      <c r="D4042">
        <v>0</v>
      </c>
      <c r="E4042">
        <v>0</v>
      </c>
      <c r="F4042">
        <v>0</v>
      </c>
      <c r="G4042">
        <v>-5333.4589331601219</v>
      </c>
      <c r="H4042">
        <v>-2937.4513553299998</v>
      </c>
      <c r="I4042">
        <v>12250.916232860071</v>
      </c>
      <c r="J4042">
        <v>0</v>
      </c>
      <c r="K4042">
        <v>2978.6667527100062</v>
      </c>
      <c r="L4042">
        <v>0</v>
      </c>
      <c r="M4042">
        <v>0</v>
      </c>
      <c r="N4042">
        <v>0</v>
      </c>
      <c r="O4042">
        <v>753.32730292005181</v>
      </c>
      <c r="P4042">
        <v>1341420</v>
      </c>
    </row>
    <row r="4043" spans="1:16" x14ac:dyDescent="0.25">
      <c r="A4043" s="10">
        <v>43614</v>
      </c>
      <c r="B4043">
        <v>4369</v>
      </c>
      <c r="C4043">
        <v>0</v>
      </c>
      <c r="D4043">
        <v>0</v>
      </c>
      <c r="E4043">
        <v>0</v>
      </c>
      <c r="F4043">
        <v>0</v>
      </c>
      <c r="G4043">
        <v>-2650.0712753400412</v>
      </c>
      <c r="H4043">
        <v>-2034.3331966499991</v>
      </c>
      <c r="I4043">
        <v>6175.3615900486466</v>
      </c>
      <c r="J4043">
        <v>0</v>
      </c>
      <c r="K4043">
        <v>2652.408849761302</v>
      </c>
      <c r="L4043">
        <v>0</v>
      </c>
      <c r="M4043">
        <v>0</v>
      </c>
      <c r="N4043">
        <v>0</v>
      </c>
      <c r="O4043">
        <v>225.6340321800908</v>
      </c>
      <c r="P4043">
        <v>1345789</v>
      </c>
    </row>
    <row r="4044" spans="1:16" x14ac:dyDescent="0.25">
      <c r="A4044" s="10">
        <v>43615</v>
      </c>
      <c r="B4044">
        <v>70</v>
      </c>
      <c r="C4044">
        <v>0</v>
      </c>
      <c r="D4044">
        <v>0</v>
      </c>
      <c r="E4044">
        <v>0</v>
      </c>
      <c r="F4044">
        <v>0</v>
      </c>
      <c r="G4044">
        <v>-2558.7941435799139</v>
      </c>
      <c r="H4044">
        <v>-37731.712934670002</v>
      </c>
      <c r="I4044">
        <v>37379.761758407352</v>
      </c>
      <c r="J4044">
        <v>0</v>
      </c>
      <c r="K4044">
        <v>2778.3937550526189</v>
      </c>
      <c r="L4044">
        <v>0</v>
      </c>
      <c r="M4044">
        <v>0</v>
      </c>
      <c r="N4044">
        <v>0</v>
      </c>
      <c r="O4044">
        <v>202.35156478995259</v>
      </c>
      <c r="P4044">
        <v>1345859</v>
      </c>
    </row>
    <row r="4045" spans="1:16" x14ac:dyDescent="0.25">
      <c r="A4045" s="10">
        <v>43616</v>
      </c>
      <c r="B4045">
        <v>10593</v>
      </c>
      <c r="C4045">
        <v>0</v>
      </c>
      <c r="D4045">
        <v>0</v>
      </c>
      <c r="E4045">
        <v>0</v>
      </c>
      <c r="F4045">
        <v>77244.800000000003</v>
      </c>
      <c r="G4045">
        <v>-79943.689427520338</v>
      </c>
      <c r="H4045">
        <v>1203.2689081999999</v>
      </c>
      <c r="I4045">
        <v>9016.1091602789238</v>
      </c>
      <c r="J4045">
        <v>0</v>
      </c>
      <c r="K4045">
        <v>3155.463451611176</v>
      </c>
      <c r="L4045">
        <v>0</v>
      </c>
      <c r="M4045">
        <v>0</v>
      </c>
      <c r="N4045">
        <v>0</v>
      </c>
      <c r="O4045">
        <v>-82.952092569765227</v>
      </c>
      <c r="P4045">
        <v>1356452</v>
      </c>
    </row>
    <row r="4046" spans="1:16" x14ac:dyDescent="0.25">
      <c r="A4046" s="10">
        <v>43619</v>
      </c>
      <c r="B4046">
        <v>48548</v>
      </c>
      <c r="C4046">
        <v>0</v>
      </c>
      <c r="D4046">
        <v>0</v>
      </c>
      <c r="E4046">
        <v>0</v>
      </c>
      <c r="F4046">
        <v>0</v>
      </c>
      <c r="G4046">
        <v>42293.775249120212</v>
      </c>
      <c r="H4046">
        <v>39629.913091429989</v>
      </c>
      <c r="I4046">
        <v>-36030.999088990036</v>
      </c>
      <c r="J4046">
        <v>0</v>
      </c>
      <c r="K4046">
        <v>2823.662908039993</v>
      </c>
      <c r="L4046">
        <v>0</v>
      </c>
      <c r="M4046">
        <v>0</v>
      </c>
      <c r="N4046">
        <v>0</v>
      </c>
      <c r="O4046">
        <v>-168.35215960015921</v>
      </c>
      <c r="P4046">
        <v>1405000</v>
      </c>
    </row>
    <row r="4047" spans="1:16" x14ac:dyDescent="0.25">
      <c r="A4047" s="10">
        <v>43620</v>
      </c>
      <c r="B4047">
        <v>-14198</v>
      </c>
      <c r="C4047">
        <v>0</v>
      </c>
      <c r="D4047">
        <v>0</v>
      </c>
      <c r="E4047">
        <v>0</v>
      </c>
      <c r="F4047">
        <v>0</v>
      </c>
      <c r="G4047">
        <v>-2650.8963055701811</v>
      </c>
      <c r="H4047">
        <v>627.10361168000009</v>
      </c>
      <c r="I4047">
        <v>-15027.68994566018</v>
      </c>
      <c r="J4047">
        <v>0</v>
      </c>
      <c r="K4047">
        <v>2797.8143586502192</v>
      </c>
      <c r="L4047">
        <v>0</v>
      </c>
      <c r="M4047">
        <v>0</v>
      </c>
      <c r="N4047">
        <v>0</v>
      </c>
      <c r="O4047">
        <v>55.668280900143152</v>
      </c>
      <c r="P4047">
        <v>1390802</v>
      </c>
    </row>
    <row r="4048" spans="1:16" x14ac:dyDescent="0.25">
      <c r="A4048" s="10">
        <v>43621</v>
      </c>
      <c r="B4048">
        <v>-42526</v>
      </c>
      <c r="C4048">
        <v>0</v>
      </c>
      <c r="D4048">
        <v>-73212.439614885297</v>
      </c>
      <c r="E4048">
        <v>0</v>
      </c>
      <c r="F4048">
        <v>0</v>
      </c>
      <c r="G4048">
        <v>69743.418356245325</v>
      </c>
      <c r="H4048">
        <v>1868.41633996</v>
      </c>
      <c r="I4048">
        <v>-43837.414882669109</v>
      </c>
      <c r="J4048">
        <v>0</v>
      </c>
      <c r="K4048">
        <v>2556.8072065191209</v>
      </c>
      <c r="L4048">
        <v>0</v>
      </c>
      <c r="M4048">
        <v>0</v>
      </c>
      <c r="N4048">
        <v>0</v>
      </c>
      <c r="O4048">
        <v>355.21259482996538</v>
      </c>
      <c r="P4048">
        <v>1348276</v>
      </c>
    </row>
    <row r="4049" spans="1:16" x14ac:dyDescent="0.25">
      <c r="A4049" s="10">
        <v>43622</v>
      </c>
      <c r="B4049">
        <v>-61486</v>
      </c>
      <c r="C4049">
        <v>0</v>
      </c>
      <c r="D4049">
        <v>0</v>
      </c>
      <c r="E4049">
        <v>0</v>
      </c>
      <c r="F4049">
        <v>0</v>
      </c>
      <c r="G4049">
        <v>-5946.8113573199662</v>
      </c>
      <c r="H4049">
        <v>-1383.6153038499999</v>
      </c>
      <c r="I4049">
        <v>-56432.874215651769</v>
      </c>
      <c r="J4049">
        <v>0</v>
      </c>
      <c r="K4049">
        <v>2256.049549331914</v>
      </c>
      <c r="L4049">
        <v>0</v>
      </c>
      <c r="M4049">
        <v>0</v>
      </c>
      <c r="N4049">
        <v>0</v>
      </c>
      <c r="O4049">
        <v>21.25132748982287</v>
      </c>
      <c r="P4049">
        <v>1286790</v>
      </c>
    </row>
    <row r="4050" spans="1:16" x14ac:dyDescent="0.25">
      <c r="A4050" s="10">
        <v>43623</v>
      </c>
      <c r="B4050">
        <v>8277</v>
      </c>
      <c r="C4050">
        <v>0</v>
      </c>
      <c r="D4050">
        <v>0</v>
      </c>
      <c r="E4050">
        <v>0</v>
      </c>
      <c r="F4050">
        <v>0</v>
      </c>
      <c r="G4050">
        <v>9629.3747153899458</v>
      </c>
      <c r="H4050">
        <v>1032.3257810699999</v>
      </c>
      <c r="I4050">
        <v>-5041.7936145875137</v>
      </c>
      <c r="J4050">
        <v>0</v>
      </c>
      <c r="K4050">
        <v>2952.959930677599</v>
      </c>
      <c r="L4050">
        <v>0</v>
      </c>
      <c r="M4050">
        <v>0</v>
      </c>
      <c r="N4050">
        <v>0</v>
      </c>
      <c r="O4050">
        <v>-295.86681255002992</v>
      </c>
      <c r="P4050">
        <v>1295067</v>
      </c>
    </row>
    <row r="4051" spans="1:16" x14ac:dyDescent="0.25">
      <c r="A4051" s="10">
        <v>43626</v>
      </c>
      <c r="B4051">
        <v>5156</v>
      </c>
      <c r="C4051">
        <v>0</v>
      </c>
      <c r="D4051">
        <v>0</v>
      </c>
      <c r="E4051">
        <v>0</v>
      </c>
      <c r="F4051">
        <v>0</v>
      </c>
      <c r="G4051">
        <v>211.0225922597391</v>
      </c>
      <c r="H4051">
        <v>394.67381986999999</v>
      </c>
      <c r="I4051">
        <v>1028.1235955955931</v>
      </c>
      <c r="J4051">
        <v>-3.0261687900001562</v>
      </c>
      <c r="K4051">
        <v>3090.0870238944922</v>
      </c>
      <c r="L4051">
        <v>0</v>
      </c>
      <c r="M4051">
        <v>0</v>
      </c>
      <c r="N4051">
        <v>0</v>
      </c>
      <c r="O4051">
        <v>435.11913717017609</v>
      </c>
      <c r="P4051">
        <v>1300223</v>
      </c>
    </row>
    <row r="4052" spans="1:16" x14ac:dyDescent="0.25">
      <c r="A4052" s="10">
        <v>43627</v>
      </c>
      <c r="B4052">
        <v>2443</v>
      </c>
      <c r="C4052">
        <v>0</v>
      </c>
      <c r="D4052">
        <v>0</v>
      </c>
      <c r="E4052">
        <v>0</v>
      </c>
      <c r="F4052">
        <v>0</v>
      </c>
      <c r="G4052">
        <v>-2695.2796979897962</v>
      </c>
      <c r="H4052">
        <v>-85.114086929999985</v>
      </c>
      <c r="I4052">
        <v>1820.380769835087</v>
      </c>
      <c r="J4052">
        <v>0</v>
      </c>
      <c r="K4052">
        <v>2986.4064826196932</v>
      </c>
      <c r="L4052">
        <v>0</v>
      </c>
      <c r="M4052">
        <v>0</v>
      </c>
      <c r="N4052">
        <v>0</v>
      </c>
      <c r="O4052">
        <v>416.6065324650167</v>
      </c>
      <c r="P4052">
        <v>1302666</v>
      </c>
    </row>
    <row r="4053" spans="1:16" x14ac:dyDescent="0.25">
      <c r="A4053" s="10">
        <v>43628</v>
      </c>
      <c r="B4053">
        <v>22084</v>
      </c>
      <c r="C4053">
        <v>0</v>
      </c>
      <c r="D4053">
        <v>0</v>
      </c>
      <c r="E4053">
        <v>0</v>
      </c>
      <c r="F4053">
        <v>0</v>
      </c>
      <c r="G4053">
        <v>-2776.3861619900949</v>
      </c>
      <c r="H4053">
        <v>-1936.17395857</v>
      </c>
      <c r="I4053">
        <v>22976.41246235184</v>
      </c>
      <c r="J4053">
        <v>0</v>
      </c>
      <c r="K4053">
        <v>3127.4440432728011</v>
      </c>
      <c r="L4053">
        <v>0</v>
      </c>
      <c r="M4053">
        <v>0</v>
      </c>
      <c r="N4053">
        <v>0</v>
      </c>
      <c r="O4053">
        <v>692.70361493545352</v>
      </c>
      <c r="P4053">
        <v>1324750</v>
      </c>
    </row>
    <row r="4054" spans="1:16" x14ac:dyDescent="0.25">
      <c r="A4054" s="10">
        <v>43629</v>
      </c>
      <c r="B4054">
        <v>-4942</v>
      </c>
      <c r="C4054">
        <v>0</v>
      </c>
      <c r="D4054">
        <v>0</v>
      </c>
      <c r="E4054">
        <v>0</v>
      </c>
      <c r="F4054">
        <v>0</v>
      </c>
      <c r="G4054">
        <v>-3154.5220986899299</v>
      </c>
      <c r="H4054">
        <v>-66.196258669999679</v>
      </c>
      <c r="I4054">
        <v>-7516.1520635355264</v>
      </c>
      <c r="J4054">
        <v>0</v>
      </c>
      <c r="K4054">
        <v>2991.437540105484</v>
      </c>
      <c r="L4054">
        <v>0</v>
      </c>
      <c r="M4054">
        <v>0</v>
      </c>
      <c r="N4054">
        <v>0</v>
      </c>
      <c r="O4054">
        <v>2803.4328807899728</v>
      </c>
      <c r="P4054">
        <v>1319808</v>
      </c>
    </row>
    <row r="4055" spans="1:16" x14ac:dyDescent="0.25">
      <c r="A4055" s="10">
        <v>43630</v>
      </c>
      <c r="B4055">
        <v>3114</v>
      </c>
      <c r="C4055">
        <v>0</v>
      </c>
      <c r="D4055">
        <v>0</v>
      </c>
      <c r="E4055">
        <v>0</v>
      </c>
      <c r="F4055">
        <v>0</v>
      </c>
      <c r="G4055">
        <v>11256.976328339601</v>
      </c>
      <c r="H4055">
        <v>734.45304278999993</v>
      </c>
      <c r="I4055">
        <v>-12671.96239211666</v>
      </c>
      <c r="J4055">
        <v>0</v>
      </c>
      <c r="K4055">
        <v>2974.5115994566509</v>
      </c>
      <c r="L4055">
        <v>0</v>
      </c>
      <c r="M4055">
        <v>0</v>
      </c>
      <c r="N4055">
        <v>0</v>
      </c>
      <c r="O4055">
        <v>820.02142153041177</v>
      </c>
      <c r="P4055">
        <v>1322922</v>
      </c>
    </row>
    <row r="4056" spans="1:16" x14ac:dyDescent="0.25">
      <c r="A4056" s="10">
        <v>43634</v>
      </c>
      <c r="B4056">
        <v>19491</v>
      </c>
      <c r="C4056">
        <v>0</v>
      </c>
      <c r="D4056">
        <v>0</v>
      </c>
      <c r="E4056">
        <v>0</v>
      </c>
      <c r="F4056">
        <v>0</v>
      </c>
      <c r="G4056">
        <v>-3033.7593354397491</v>
      </c>
      <c r="H4056">
        <v>914.55638558999999</v>
      </c>
      <c r="I4056">
        <v>19513.90732035413</v>
      </c>
      <c r="J4056">
        <v>0</v>
      </c>
      <c r="K4056">
        <v>3450.644259655794</v>
      </c>
      <c r="L4056">
        <v>0</v>
      </c>
      <c r="M4056">
        <v>0</v>
      </c>
      <c r="N4056">
        <v>0</v>
      </c>
      <c r="O4056">
        <v>-1354.348630160177</v>
      </c>
      <c r="P4056">
        <v>1342413</v>
      </c>
    </row>
    <row r="4057" spans="1:16" x14ac:dyDescent="0.25">
      <c r="A4057" s="10">
        <v>43635</v>
      </c>
      <c r="B4057">
        <v>2641</v>
      </c>
      <c r="C4057">
        <v>0</v>
      </c>
      <c r="D4057">
        <v>0</v>
      </c>
      <c r="E4057">
        <v>0</v>
      </c>
      <c r="F4057">
        <v>0</v>
      </c>
      <c r="G4057">
        <v>-2025.6012929996291</v>
      </c>
      <c r="H4057">
        <v>-4361.9505936000014</v>
      </c>
      <c r="I4057">
        <v>4244.8666550985072</v>
      </c>
      <c r="J4057">
        <v>0</v>
      </c>
      <c r="K4057">
        <v>3306.6038321116271</v>
      </c>
      <c r="L4057">
        <v>0</v>
      </c>
      <c r="M4057">
        <v>0</v>
      </c>
      <c r="N4057">
        <v>0</v>
      </c>
      <c r="O4057">
        <v>1477.0813993894949</v>
      </c>
      <c r="P4057">
        <v>1345054</v>
      </c>
    </row>
    <row r="4058" spans="1:16" x14ac:dyDescent="0.25">
      <c r="A4058" s="10">
        <v>43637</v>
      </c>
      <c r="B4058">
        <v>-8159</v>
      </c>
      <c r="C4058">
        <v>0</v>
      </c>
      <c r="D4058">
        <v>8690.34</v>
      </c>
      <c r="E4058">
        <v>0</v>
      </c>
      <c r="F4058">
        <v>0</v>
      </c>
      <c r="G4058">
        <v>5202.3594690497011</v>
      </c>
      <c r="H4058">
        <v>175.0601500399998</v>
      </c>
      <c r="I4058">
        <v>-26404.78202787042</v>
      </c>
      <c r="J4058">
        <v>0</v>
      </c>
      <c r="K4058">
        <v>3519.9530094405559</v>
      </c>
      <c r="L4058">
        <v>0</v>
      </c>
      <c r="M4058">
        <v>0</v>
      </c>
      <c r="N4058">
        <v>0</v>
      </c>
      <c r="O4058">
        <v>658.06939934015827</v>
      </c>
      <c r="P4058">
        <v>1336895</v>
      </c>
    </row>
    <row r="4059" spans="1:16" x14ac:dyDescent="0.25">
      <c r="A4059" s="10">
        <v>43640</v>
      </c>
      <c r="B4059">
        <v>12660</v>
      </c>
      <c r="C4059">
        <v>0</v>
      </c>
      <c r="D4059">
        <v>8583</v>
      </c>
      <c r="E4059">
        <v>0</v>
      </c>
      <c r="F4059">
        <v>0</v>
      </c>
      <c r="G4059">
        <v>-2459.8356817501372</v>
      </c>
      <c r="H4059">
        <v>4294.8616298799998</v>
      </c>
      <c r="I4059">
        <v>-3980.8894098801538</v>
      </c>
      <c r="J4059">
        <v>0</v>
      </c>
      <c r="K4059">
        <v>4692.7579325499946</v>
      </c>
      <c r="L4059">
        <v>0</v>
      </c>
      <c r="M4059">
        <v>0</v>
      </c>
      <c r="N4059">
        <v>0</v>
      </c>
      <c r="O4059">
        <v>1530.105529200297</v>
      </c>
      <c r="P4059">
        <v>1349555</v>
      </c>
    </row>
    <row r="4060" spans="1:16" x14ac:dyDescent="0.25">
      <c r="A4060" s="10">
        <v>43641</v>
      </c>
      <c r="B4060">
        <v>16612</v>
      </c>
      <c r="C4060">
        <v>0</v>
      </c>
      <c r="D4060">
        <v>0</v>
      </c>
      <c r="E4060">
        <v>0</v>
      </c>
      <c r="F4060">
        <v>0</v>
      </c>
      <c r="G4060">
        <v>2511.8265275004378</v>
      </c>
      <c r="H4060">
        <v>-5451.3766746499996</v>
      </c>
      <c r="I4060">
        <v>12730.948901872849</v>
      </c>
      <c r="J4060">
        <v>0</v>
      </c>
      <c r="K4060">
        <v>4725.8314786871179</v>
      </c>
      <c r="L4060">
        <v>0</v>
      </c>
      <c r="M4060">
        <v>0</v>
      </c>
      <c r="N4060">
        <v>0</v>
      </c>
      <c r="O4060">
        <v>2094.7697665895939</v>
      </c>
      <c r="P4060">
        <v>1366167</v>
      </c>
    </row>
    <row r="4061" spans="1:16" x14ac:dyDescent="0.25">
      <c r="A4061" s="10">
        <v>43642</v>
      </c>
      <c r="B4061">
        <v>36279</v>
      </c>
      <c r="C4061">
        <v>0</v>
      </c>
      <c r="D4061">
        <v>0</v>
      </c>
      <c r="E4061">
        <v>0</v>
      </c>
      <c r="F4061">
        <v>0</v>
      </c>
      <c r="G4061">
        <v>1541.558219909791</v>
      </c>
      <c r="H4061">
        <v>-1398.40891554</v>
      </c>
      <c r="I4061">
        <v>31071.358239646539</v>
      </c>
      <c r="J4061">
        <v>0</v>
      </c>
      <c r="K4061">
        <v>3009.8213680331228</v>
      </c>
      <c r="L4061">
        <v>0</v>
      </c>
      <c r="M4061">
        <v>0</v>
      </c>
      <c r="N4061">
        <v>0</v>
      </c>
      <c r="O4061">
        <v>2054.6710879505481</v>
      </c>
      <c r="P4061">
        <v>1402446</v>
      </c>
    </row>
    <row r="4062" spans="1:16" x14ac:dyDescent="0.25">
      <c r="A4062" s="10">
        <v>43643</v>
      </c>
      <c r="B4062">
        <v>-1134</v>
      </c>
      <c r="C4062">
        <v>0</v>
      </c>
      <c r="D4062">
        <v>0</v>
      </c>
      <c r="E4062">
        <v>0</v>
      </c>
      <c r="F4062">
        <v>0</v>
      </c>
      <c r="G4062">
        <v>-2802.0733579501079</v>
      </c>
      <c r="H4062">
        <v>898.28232420000131</v>
      </c>
      <c r="I4062">
        <v>-1663.042711946182</v>
      </c>
      <c r="J4062">
        <v>0</v>
      </c>
      <c r="K4062">
        <v>3090.05130427637</v>
      </c>
      <c r="L4062">
        <v>0</v>
      </c>
      <c r="M4062">
        <v>0</v>
      </c>
      <c r="N4062">
        <v>0</v>
      </c>
      <c r="O4062">
        <v>-657.21755858008146</v>
      </c>
      <c r="P4062">
        <v>1401312</v>
      </c>
    </row>
    <row r="4063" spans="1:16" x14ac:dyDescent="0.25">
      <c r="A4063" s="10">
        <v>43644</v>
      </c>
      <c r="B4063">
        <v>-25509</v>
      </c>
      <c r="C4063">
        <v>0</v>
      </c>
      <c r="D4063">
        <v>0</v>
      </c>
      <c r="E4063">
        <v>0</v>
      </c>
      <c r="F4063">
        <v>0</v>
      </c>
      <c r="G4063">
        <v>372.70207708017961</v>
      </c>
      <c r="H4063">
        <v>-20841.518725369999</v>
      </c>
      <c r="I4063">
        <v>-8308.6740125494543</v>
      </c>
      <c r="J4063">
        <v>0</v>
      </c>
      <c r="K4063">
        <v>2928.099146259613</v>
      </c>
      <c r="L4063">
        <v>0</v>
      </c>
      <c r="M4063">
        <v>0</v>
      </c>
      <c r="N4063">
        <v>0</v>
      </c>
      <c r="O4063">
        <v>340.39151457965642</v>
      </c>
      <c r="P4063">
        <v>1375803</v>
      </c>
    </row>
    <row r="4064" spans="1:16" x14ac:dyDescent="0.25">
      <c r="A4064" s="10">
        <v>43647</v>
      </c>
      <c r="B4064">
        <v>36978</v>
      </c>
      <c r="C4064">
        <v>0</v>
      </c>
      <c r="D4064">
        <v>33958.639999999999</v>
      </c>
      <c r="E4064">
        <v>0</v>
      </c>
      <c r="F4064">
        <v>0</v>
      </c>
      <c r="G4064">
        <v>3032.7343369197852</v>
      </c>
      <c r="H4064">
        <v>17935.059062230001</v>
      </c>
      <c r="I4064">
        <v>-21494.831851383209</v>
      </c>
      <c r="J4064">
        <v>0</v>
      </c>
      <c r="K4064">
        <v>2994.1459473131631</v>
      </c>
      <c r="L4064">
        <v>0</v>
      </c>
      <c r="M4064">
        <v>0</v>
      </c>
      <c r="N4064">
        <v>0</v>
      </c>
      <c r="O4064">
        <v>552.25250492025953</v>
      </c>
      <c r="P4064">
        <v>1412781</v>
      </c>
    </row>
    <row r="4065" spans="1:16" x14ac:dyDescent="0.25">
      <c r="A4065" s="10">
        <v>43648</v>
      </c>
      <c r="B4065">
        <v>-28581</v>
      </c>
      <c r="C4065">
        <v>0</v>
      </c>
      <c r="D4065">
        <v>0</v>
      </c>
      <c r="E4065">
        <v>0</v>
      </c>
      <c r="F4065">
        <v>0</v>
      </c>
      <c r="G4065">
        <v>-16.19541502890047</v>
      </c>
      <c r="H4065">
        <v>1431.892603740002</v>
      </c>
      <c r="I4065">
        <v>-33998.641902335221</v>
      </c>
      <c r="J4065">
        <v>0</v>
      </c>
      <c r="K4065">
        <v>2703.216119415481</v>
      </c>
      <c r="L4065">
        <v>0</v>
      </c>
      <c r="M4065">
        <v>0</v>
      </c>
      <c r="N4065">
        <v>0</v>
      </c>
      <c r="O4065">
        <v>1298.7285942086421</v>
      </c>
      <c r="P4065">
        <v>1384200</v>
      </c>
    </row>
    <row r="4066" spans="1:16" x14ac:dyDescent="0.25">
      <c r="A4066" s="10">
        <v>43649</v>
      </c>
      <c r="B4066">
        <v>-58644</v>
      </c>
      <c r="C4066">
        <v>0</v>
      </c>
      <c r="D4066">
        <v>8493</v>
      </c>
      <c r="E4066">
        <v>0</v>
      </c>
      <c r="F4066">
        <v>0</v>
      </c>
      <c r="G4066">
        <v>-1629.990192390994</v>
      </c>
      <c r="H4066">
        <v>-280.86477444999758</v>
      </c>
      <c r="I4066">
        <v>-69136.792614487931</v>
      </c>
      <c r="J4066">
        <v>0</v>
      </c>
      <c r="K4066">
        <v>2125.3888935178888</v>
      </c>
      <c r="L4066">
        <v>0</v>
      </c>
      <c r="M4066">
        <v>0</v>
      </c>
      <c r="N4066">
        <v>0</v>
      </c>
      <c r="O4066">
        <v>1785.258687811038</v>
      </c>
      <c r="P4066">
        <v>1325556</v>
      </c>
    </row>
    <row r="4067" spans="1:16" x14ac:dyDescent="0.25">
      <c r="A4067" s="10">
        <v>43650</v>
      </c>
      <c r="B4067">
        <v>15704</v>
      </c>
      <c r="C4067">
        <v>0</v>
      </c>
      <c r="D4067">
        <v>0</v>
      </c>
      <c r="E4067">
        <v>0</v>
      </c>
      <c r="F4067">
        <v>0</v>
      </c>
      <c r="G4067">
        <v>2567.4953671099729</v>
      </c>
      <c r="H4067">
        <v>79.550109719999455</v>
      </c>
      <c r="I4067">
        <v>9255.5643630048726</v>
      </c>
      <c r="J4067">
        <v>0</v>
      </c>
      <c r="K4067">
        <v>2608.8755864451441</v>
      </c>
      <c r="L4067">
        <v>0</v>
      </c>
      <c r="M4067">
        <v>0</v>
      </c>
      <c r="N4067">
        <v>0</v>
      </c>
      <c r="O4067">
        <v>1192.514573720011</v>
      </c>
      <c r="P4067">
        <v>1341260</v>
      </c>
    </row>
    <row r="4068" spans="1:16" x14ac:dyDescent="0.25">
      <c r="A4068" s="10">
        <v>43651</v>
      </c>
      <c r="B4068">
        <v>4083</v>
      </c>
      <c r="C4068">
        <v>0</v>
      </c>
      <c r="D4068">
        <v>0</v>
      </c>
      <c r="E4068">
        <v>0</v>
      </c>
      <c r="F4068">
        <v>0</v>
      </c>
      <c r="G4068">
        <v>-5024.582267990073</v>
      </c>
      <c r="H4068">
        <v>4474.7717554099981</v>
      </c>
      <c r="I4068">
        <v>1535.110161522171</v>
      </c>
      <c r="J4068">
        <v>0</v>
      </c>
      <c r="K4068">
        <v>2942.86419284774</v>
      </c>
      <c r="L4068">
        <v>0</v>
      </c>
      <c r="M4068">
        <v>0</v>
      </c>
      <c r="N4068">
        <v>0</v>
      </c>
      <c r="O4068">
        <v>154.8361582101638</v>
      </c>
      <c r="P4068">
        <v>1345343</v>
      </c>
    </row>
    <row r="4069" spans="1:16" x14ac:dyDescent="0.25">
      <c r="A4069" s="10">
        <v>43656</v>
      </c>
      <c r="B4069">
        <v>-5459</v>
      </c>
      <c r="C4069">
        <v>0</v>
      </c>
      <c r="D4069">
        <v>0</v>
      </c>
      <c r="E4069">
        <v>0</v>
      </c>
      <c r="F4069">
        <v>0</v>
      </c>
      <c r="G4069">
        <v>608.36091484976191</v>
      </c>
      <c r="H4069">
        <v>3345.0585539899998</v>
      </c>
      <c r="I4069">
        <v>-13554.889335609971</v>
      </c>
      <c r="J4069">
        <v>-1.902121999999508</v>
      </c>
      <c r="K4069">
        <v>3941.9873610499958</v>
      </c>
      <c r="L4069">
        <v>0</v>
      </c>
      <c r="M4069">
        <v>0</v>
      </c>
      <c r="N4069">
        <v>0</v>
      </c>
      <c r="O4069">
        <v>202.38462772021381</v>
      </c>
      <c r="P4069">
        <v>1339884</v>
      </c>
    </row>
    <row r="4070" spans="1:16" x14ac:dyDescent="0.25">
      <c r="A4070" s="10">
        <v>43657</v>
      </c>
      <c r="B4070">
        <v>14035</v>
      </c>
      <c r="C4070">
        <v>0</v>
      </c>
      <c r="D4070">
        <v>0</v>
      </c>
      <c r="E4070">
        <v>0</v>
      </c>
      <c r="F4070">
        <v>0</v>
      </c>
      <c r="G4070">
        <v>3385.7452470503472</v>
      </c>
      <c r="H4070">
        <v>-849.2137525600001</v>
      </c>
      <c r="I4070">
        <v>6913.4778729211539</v>
      </c>
      <c r="J4070">
        <v>0</v>
      </c>
      <c r="K4070">
        <v>3881.8382669888078</v>
      </c>
      <c r="L4070">
        <v>0</v>
      </c>
      <c r="M4070">
        <v>0</v>
      </c>
      <c r="N4070">
        <v>0</v>
      </c>
      <c r="O4070">
        <v>703.1523655996898</v>
      </c>
      <c r="P4070">
        <v>1353919</v>
      </c>
    </row>
    <row r="4071" spans="1:16" x14ac:dyDescent="0.25">
      <c r="A4071" s="10">
        <v>43658</v>
      </c>
      <c r="B4071">
        <v>-7528</v>
      </c>
      <c r="C4071">
        <v>0</v>
      </c>
      <c r="D4071">
        <v>0</v>
      </c>
      <c r="E4071">
        <v>0</v>
      </c>
      <c r="F4071">
        <v>0</v>
      </c>
      <c r="G4071">
        <v>-493.71704615011112</v>
      </c>
      <c r="H4071">
        <v>316.62118362000001</v>
      </c>
      <c r="I4071">
        <v>-11146.737683514601</v>
      </c>
      <c r="J4071">
        <v>0</v>
      </c>
      <c r="K4071">
        <v>3676.8199604947131</v>
      </c>
      <c r="L4071">
        <v>0</v>
      </c>
      <c r="M4071">
        <v>0</v>
      </c>
      <c r="N4071">
        <v>0</v>
      </c>
      <c r="O4071">
        <v>119.0135855499975</v>
      </c>
      <c r="P4071">
        <v>1346391</v>
      </c>
    </row>
    <row r="4072" spans="1:16" x14ac:dyDescent="0.25">
      <c r="A4072" s="10">
        <v>43661</v>
      </c>
      <c r="B4072">
        <v>27328</v>
      </c>
      <c r="C4072">
        <v>0</v>
      </c>
      <c r="D4072">
        <v>0</v>
      </c>
      <c r="E4072">
        <v>0</v>
      </c>
      <c r="F4072">
        <v>0</v>
      </c>
      <c r="G4072">
        <v>307.57686394066792</v>
      </c>
      <c r="H4072">
        <v>87.104822329999934</v>
      </c>
      <c r="I4072">
        <v>22731.43113782466</v>
      </c>
      <c r="J4072">
        <v>0</v>
      </c>
      <c r="K4072">
        <v>3769.5721227652871</v>
      </c>
      <c r="L4072">
        <v>0</v>
      </c>
      <c r="M4072">
        <v>0</v>
      </c>
      <c r="N4072">
        <v>0</v>
      </c>
      <c r="O4072">
        <v>432.31505313938032</v>
      </c>
      <c r="P4072">
        <v>1373719</v>
      </c>
    </row>
    <row r="4073" spans="1:16" x14ac:dyDescent="0.25">
      <c r="A4073" s="10">
        <v>43662</v>
      </c>
      <c r="B4073">
        <v>12752</v>
      </c>
      <c r="C4073">
        <v>0</v>
      </c>
      <c r="D4073">
        <v>0</v>
      </c>
      <c r="E4073">
        <v>0</v>
      </c>
      <c r="F4073">
        <v>0</v>
      </c>
      <c r="G4073">
        <v>-507.54506631088537</v>
      </c>
      <c r="H4073">
        <v>11.78794923999976</v>
      </c>
      <c r="I4073">
        <v>11430.980048370309</v>
      </c>
      <c r="J4073">
        <v>0</v>
      </c>
      <c r="K4073">
        <v>4373.7582957895493</v>
      </c>
      <c r="L4073">
        <v>0</v>
      </c>
      <c r="M4073">
        <v>0</v>
      </c>
      <c r="N4073">
        <v>0</v>
      </c>
      <c r="O4073">
        <v>-2556.9812270889779</v>
      </c>
      <c r="P4073">
        <v>1386471</v>
      </c>
    </row>
    <row r="4074" spans="1:16" x14ac:dyDescent="0.25">
      <c r="A4074" s="10">
        <v>43663</v>
      </c>
      <c r="B4074">
        <v>17035</v>
      </c>
      <c r="C4074">
        <v>0</v>
      </c>
      <c r="D4074">
        <v>0</v>
      </c>
      <c r="E4074">
        <v>0</v>
      </c>
      <c r="F4074">
        <v>0</v>
      </c>
      <c r="G4074">
        <v>198.19722955048829</v>
      </c>
      <c r="H4074">
        <v>-1310.20350831</v>
      </c>
      <c r="I4074">
        <v>16094.18483034987</v>
      </c>
      <c r="J4074">
        <v>0</v>
      </c>
      <c r="K4074">
        <v>3072.2961827099898</v>
      </c>
      <c r="L4074">
        <v>0</v>
      </c>
      <c r="M4074">
        <v>0</v>
      </c>
      <c r="N4074">
        <v>0</v>
      </c>
      <c r="O4074">
        <v>-1019.474734300347</v>
      </c>
      <c r="P4074">
        <v>1403506</v>
      </c>
    </row>
    <row r="4075" spans="1:16" x14ac:dyDescent="0.25">
      <c r="A4075" s="10">
        <v>43664</v>
      </c>
      <c r="B4075">
        <v>21817</v>
      </c>
      <c r="C4075">
        <v>0</v>
      </c>
      <c r="D4075">
        <v>0</v>
      </c>
      <c r="E4075">
        <v>0</v>
      </c>
      <c r="F4075">
        <v>0</v>
      </c>
      <c r="G4075">
        <v>524.90355346973729</v>
      </c>
      <c r="H4075">
        <v>-349.05782580999988</v>
      </c>
      <c r="I4075">
        <v>18349.731577707691</v>
      </c>
      <c r="J4075">
        <v>0</v>
      </c>
      <c r="K4075">
        <v>2834.4391381422461</v>
      </c>
      <c r="L4075">
        <v>0</v>
      </c>
      <c r="M4075">
        <v>0</v>
      </c>
      <c r="N4075">
        <v>0</v>
      </c>
      <c r="O4075">
        <v>456.98355649032959</v>
      </c>
      <c r="P4075">
        <v>1425323</v>
      </c>
    </row>
    <row r="4076" spans="1:16" x14ac:dyDescent="0.25">
      <c r="A4076" s="10">
        <v>43665</v>
      </c>
      <c r="B4076">
        <v>20731</v>
      </c>
      <c r="C4076">
        <v>0</v>
      </c>
      <c r="D4076">
        <v>0</v>
      </c>
      <c r="E4076">
        <v>0</v>
      </c>
      <c r="F4076">
        <v>0</v>
      </c>
      <c r="G4076">
        <v>157.72745579975569</v>
      </c>
      <c r="H4076">
        <v>1246.2441130699999</v>
      </c>
      <c r="I4076">
        <v>14941.634214495771</v>
      </c>
      <c r="J4076">
        <v>0</v>
      </c>
      <c r="K4076">
        <v>2904.2952934141608</v>
      </c>
      <c r="L4076">
        <v>0</v>
      </c>
      <c r="M4076">
        <v>0</v>
      </c>
      <c r="N4076">
        <v>0</v>
      </c>
      <c r="O4076">
        <v>1481.0989232203101</v>
      </c>
      <c r="P4076">
        <v>1446054</v>
      </c>
    </row>
    <row r="4077" spans="1:16" x14ac:dyDescent="0.25">
      <c r="A4077" s="10">
        <v>43668</v>
      </c>
      <c r="B4077">
        <v>-43479</v>
      </c>
      <c r="C4077">
        <v>0</v>
      </c>
      <c r="D4077">
        <v>0</v>
      </c>
      <c r="E4077">
        <v>0</v>
      </c>
      <c r="F4077">
        <v>0</v>
      </c>
      <c r="G4077">
        <v>-181.77718361959771</v>
      </c>
      <c r="H4077">
        <v>206.41703965000011</v>
      </c>
      <c r="I4077">
        <v>-45588.093062824097</v>
      </c>
      <c r="J4077">
        <v>0</v>
      </c>
      <c r="K4077">
        <v>2085.7242613042749</v>
      </c>
      <c r="L4077">
        <v>0</v>
      </c>
      <c r="M4077">
        <v>0</v>
      </c>
      <c r="N4077">
        <v>0</v>
      </c>
      <c r="O4077">
        <v>-1.271054510572867</v>
      </c>
      <c r="P4077">
        <v>1402575</v>
      </c>
    </row>
    <row r="4078" spans="1:16" x14ac:dyDescent="0.25">
      <c r="A4078" s="10">
        <v>43669</v>
      </c>
      <c r="B4078">
        <v>17452</v>
      </c>
      <c r="C4078">
        <v>0</v>
      </c>
      <c r="D4078">
        <v>0</v>
      </c>
      <c r="E4078">
        <v>0</v>
      </c>
      <c r="F4078">
        <v>0</v>
      </c>
      <c r="G4078">
        <v>-174.9463519102404</v>
      </c>
      <c r="H4078">
        <v>216.47876814000011</v>
      </c>
      <c r="I4078">
        <v>14354.41629150999</v>
      </c>
      <c r="J4078">
        <v>0</v>
      </c>
      <c r="K4078">
        <v>2604.3368730202251</v>
      </c>
      <c r="L4078">
        <v>0</v>
      </c>
      <c r="M4078">
        <v>0</v>
      </c>
      <c r="N4078">
        <v>0</v>
      </c>
      <c r="O4078">
        <v>451.71441924002647</v>
      </c>
      <c r="P4078">
        <v>1420027</v>
      </c>
    </row>
    <row r="4079" spans="1:16" x14ac:dyDescent="0.25">
      <c r="A4079" s="10">
        <v>43670</v>
      </c>
      <c r="B4079">
        <v>2759</v>
      </c>
      <c r="C4079">
        <v>0</v>
      </c>
      <c r="D4079">
        <v>0</v>
      </c>
      <c r="E4079">
        <v>0</v>
      </c>
      <c r="F4079">
        <v>0</v>
      </c>
      <c r="G4079">
        <v>256.68235260018042</v>
      </c>
      <c r="H4079">
        <v>81.999311980000016</v>
      </c>
      <c r="I4079">
        <v>136.34046651050451</v>
      </c>
      <c r="J4079">
        <v>0</v>
      </c>
      <c r="K4079">
        <v>2852.4449272293919</v>
      </c>
      <c r="L4079">
        <v>0</v>
      </c>
      <c r="M4079">
        <v>0</v>
      </c>
      <c r="N4079">
        <v>0</v>
      </c>
      <c r="O4079">
        <v>-568.46705832007729</v>
      </c>
      <c r="P4079">
        <v>1422786</v>
      </c>
    </row>
    <row r="4080" spans="1:16" x14ac:dyDescent="0.25">
      <c r="A4080" s="10">
        <v>43671</v>
      </c>
      <c r="B4080">
        <v>17883</v>
      </c>
      <c r="C4080">
        <v>0</v>
      </c>
      <c r="D4080">
        <v>0</v>
      </c>
      <c r="E4080">
        <v>0</v>
      </c>
      <c r="F4080">
        <v>0</v>
      </c>
      <c r="G4080">
        <v>-83.817111700055307</v>
      </c>
      <c r="H4080">
        <v>70.477104369999893</v>
      </c>
      <c r="I4080">
        <v>15915.97747895983</v>
      </c>
      <c r="J4080">
        <v>0</v>
      </c>
      <c r="K4080">
        <v>2604.8814598400058</v>
      </c>
      <c r="L4080">
        <v>0</v>
      </c>
      <c r="M4080">
        <v>0</v>
      </c>
      <c r="N4080">
        <v>0</v>
      </c>
      <c r="O4080">
        <v>-624.51893146978182</v>
      </c>
      <c r="P4080">
        <v>1440669</v>
      </c>
    </row>
    <row r="4081" spans="1:16" x14ac:dyDescent="0.25">
      <c r="A4081" s="10">
        <v>43672</v>
      </c>
      <c r="B4081">
        <v>-23509</v>
      </c>
      <c r="C4081">
        <v>0</v>
      </c>
      <c r="D4081">
        <v>0</v>
      </c>
      <c r="E4081">
        <v>0</v>
      </c>
      <c r="F4081">
        <v>0</v>
      </c>
      <c r="G4081">
        <v>95.182130779970521</v>
      </c>
      <c r="H4081">
        <v>-3540.3134813499992</v>
      </c>
      <c r="I4081">
        <v>-21541.128686093962</v>
      </c>
      <c r="J4081">
        <v>0</v>
      </c>
      <c r="K4081">
        <v>2718.527348383951</v>
      </c>
      <c r="L4081">
        <v>0</v>
      </c>
      <c r="M4081">
        <v>0</v>
      </c>
      <c r="N4081">
        <v>0</v>
      </c>
      <c r="O4081">
        <v>-1241.267311719967</v>
      </c>
      <c r="P4081">
        <v>1417160</v>
      </c>
    </row>
    <row r="4082" spans="1:16" x14ac:dyDescent="0.25">
      <c r="A4082" s="10">
        <v>43675</v>
      </c>
      <c r="B4082">
        <v>-42238</v>
      </c>
      <c r="C4082">
        <v>0</v>
      </c>
      <c r="D4082">
        <v>0</v>
      </c>
      <c r="E4082">
        <v>0</v>
      </c>
      <c r="F4082">
        <v>0</v>
      </c>
      <c r="G4082">
        <v>-30.500871769841861</v>
      </c>
      <c r="H4082">
        <v>1189.9230392699999</v>
      </c>
      <c r="I4082">
        <v>-46344.811478347518</v>
      </c>
      <c r="J4082">
        <v>0</v>
      </c>
      <c r="K4082">
        <v>2610.4830273976149</v>
      </c>
      <c r="L4082">
        <v>0</v>
      </c>
      <c r="M4082">
        <v>0</v>
      </c>
      <c r="N4082">
        <v>0</v>
      </c>
      <c r="O4082">
        <v>336.90628344973811</v>
      </c>
      <c r="P4082">
        <v>1374922</v>
      </c>
    </row>
    <row r="4083" spans="1:16" x14ac:dyDescent="0.25">
      <c r="A4083" s="10">
        <v>43676</v>
      </c>
      <c r="B4083">
        <v>-49635</v>
      </c>
      <c r="C4083">
        <v>0</v>
      </c>
      <c r="D4083">
        <v>0</v>
      </c>
      <c r="E4083">
        <v>0</v>
      </c>
      <c r="F4083">
        <v>0</v>
      </c>
      <c r="G4083">
        <v>-44.501861550154331</v>
      </c>
      <c r="H4083">
        <v>-454.91012301000001</v>
      </c>
      <c r="I4083">
        <v>-50660.807446763618</v>
      </c>
      <c r="J4083">
        <v>0</v>
      </c>
      <c r="K4083">
        <v>2449.9236144934771</v>
      </c>
      <c r="L4083">
        <v>0</v>
      </c>
      <c r="M4083">
        <v>0</v>
      </c>
      <c r="N4083">
        <v>0</v>
      </c>
      <c r="O4083">
        <v>-924.70418316970608</v>
      </c>
      <c r="P4083">
        <v>1325287</v>
      </c>
    </row>
    <row r="4084" spans="1:16" x14ac:dyDescent="0.25">
      <c r="A4084" s="10">
        <v>43677</v>
      </c>
      <c r="B4084">
        <v>14010</v>
      </c>
      <c r="C4084">
        <v>0</v>
      </c>
      <c r="D4084">
        <v>0</v>
      </c>
      <c r="E4084">
        <v>0</v>
      </c>
      <c r="F4084">
        <v>0</v>
      </c>
      <c r="G4084">
        <v>33.434866160032577</v>
      </c>
      <c r="H4084">
        <v>1243.085738790001</v>
      </c>
      <c r="I4084">
        <v>10258.06059009978</v>
      </c>
      <c r="J4084">
        <v>0</v>
      </c>
      <c r="K4084">
        <v>2867.903885000072</v>
      </c>
      <c r="L4084">
        <v>0</v>
      </c>
      <c r="M4084">
        <v>0</v>
      </c>
      <c r="N4084">
        <v>0</v>
      </c>
      <c r="O4084">
        <v>-392.48508004988253</v>
      </c>
      <c r="P4084">
        <v>1339297</v>
      </c>
    </row>
    <row r="4085" spans="1:16" x14ac:dyDescent="0.25">
      <c r="A4085" s="10">
        <v>43678</v>
      </c>
      <c r="B4085">
        <v>-23487</v>
      </c>
      <c r="C4085">
        <v>0</v>
      </c>
      <c r="D4085">
        <v>0</v>
      </c>
      <c r="E4085">
        <v>0</v>
      </c>
      <c r="F4085">
        <v>0</v>
      </c>
      <c r="G4085">
        <v>14.54609622021133</v>
      </c>
      <c r="H4085">
        <v>179.29266318000009</v>
      </c>
      <c r="I4085">
        <v>-26233.577203053981</v>
      </c>
      <c r="J4085">
        <v>0</v>
      </c>
      <c r="K4085">
        <v>2448.7892260940848</v>
      </c>
      <c r="L4085">
        <v>0</v>
      </c>
      <c r="M4085">
        <v>0</v>
      </c>
      <c r="N4085">
        <v>0</v>
      </c>
      <c r="O4085">
        <v>103.9492175596824</v>
      </c>
      <c r="P4085">
        <v>1315810</v>
      </c>
    </row>
    <row r="4086" spans="1:16" x14ac:dyDescent="0.25">
      <c r="A4086" s="10">
        <v>43679</v>
      </c>
      <c r="B4086">
        <v>9768</v>
      </c>
      <c r="C4086">
        <v>0</v>
      </c>
      <c r="D4086">
        <v>0</v>
      </c>
      <c r="E4086">
        <v>0</v>
      </c>
      <c r="F4086">
        <v>0</v>
      </c>
      <c r="G4086">
        <v>-1771.4357145898621</v>
      </c>
      <c r="H4086">
        <v>-1247.4451566099999</v>
      </c>
      <c r="I4086">
        <v>10709.185205816289</v>
      </c>
      <c r="J4086">
        <v>0</v>
      </c>
      <c r="K4086">
        <v>3007.3987720936279</v>
      </c>
      <c r="L4086">
        <v>0</v>
      </c>
      <c r="M4086">
        <v>0</v>
      </c>
      <c r="N4086">
        <v>0</v>
      </c>
      <c r="O4086">
        <v>-929.70310671005791</v>
      </c>
      <c r="P4086">
        <v>1325578</v>
      </c>
    </row>
    <row r="4087" spans="1:16" x14ac:dyDescent="0.25">
      <c r="A4087" s="10">
        <v>43682</v>
      </c>
      <c r="B4087">
        <v>26209</v>
      </c>
      <c r="C4087">
        <v>0</v>
      </c>
      <c r="D4087">
        <v>0</v>
      </c>
      <c r="E4087">
        <v>0</v>
      </c>
      <c r="F4087">
        <v>0</v>
      </c>
      <c r="G4087">
        <v>1533.7364256897631</v>
      </c>
      <c r="H4087">
        <v>-150.2755339200003</v>
      </c>
      <c r="I4087">
        <v>22158.120199652389</v>
      </c>
      <c r="J4087">
        <v>0</v>
      </c>
      <c r="K4087">
        <v>3193.7121493376571</v>
      </c>
      <c r="L4087">
        <v>0</v>
      </c>
      <c r="M4087">
        <v>0</v>
      </c>
      <c r="N4087">
        <v>0</v>
      </c>
      <c r="O4087">
        <v>-526.29324075980912</v>
      </c>
      <c r="P4087">
        <v>1351787</v>
      </c>
    </row>
    <row r="4088" spans="1:16" x14ac:dyDescent="0.25">
      <c r="A4088" s="10">
        <v>43683</v>
      </c>
      <c r="B4088">
        <v>-1771</v>
      </c>
      <c r="C4088">
        <v>0</v>
      </c>
      <c r="D4088">
        <v>0</v>
      </c>
      <c r="E4088">
        <v>0</v>
      </c>
      <c r="F4088">
        <v>0</v>
      </c>
      <c r="G4088">
        <v>-1233.302062998886</v>
      </c>
      <c r="H4088">
        <v>-356.37055076999968</v>
      </c>
      <c r="I4088">
        <v>-2091.7182508192491</v>
      </c>
      <c r="J4088">
        <v>0</v>
      </c>
      <c r="K4088">
        <v>3092.7708331093741</v>
      </c>
      <c r="L4088">
        <v>0</v>
      </c>
      <c r="M4088">
        <v>0</v>
      </c>
      <c r="N4088">
        <v>0</v>
      </c>
      <c r="O4088">
        <v>-1182.3799685212391</v>
      </c>
      <c r="P4088">
        <v>1350016</v>
      </c>
    </row>
    <row r="4089" spans="1:16" x14ac:dyDescent="0.25">
      <c r="A4089" s="10">
        <v>43684</v>
      </c>
      <c r="B4089">
        <v>4548</v>
      </c>
      <c r="C4089">
        <v>0</v>
      </c>
      <c r="D4089">
        <v>0</v>
      </c>
      <c r="E4089">
        <v>0</v>
      </c>
      <c r="F4089">
        <v>0</v>
      </c>
      <c r="G4089">
        <v>24.742285998914781</v>
      </c>
      <c r="H4089">
        <v>-489.44981564000051</v>
      </c>
      <c r="I4089">
        <v>2363.5334713563789</v>
      </c>
      <c r="J4089">
        <v>0</v>
      </c>
      <c r="K4089">
        <v>2817.0164540534511</v>
      </c>
      <c r="L4089">
        <v>0</v>
      </c>
      <c r="M4089">
        <v>0</v>
      </c>
      <c r="N4089">
        <v>0</v>
      </c>
      <c r="O4089">
        <v>-167.84239576874461</v>
      </c>
      <c r="P4089">
        <v>1354564</v>
      </c>
    </row>
    <row r="4090" spans="1:16" x14ac:dyDescent="0.25">
      <c r="A4090" s="10">
        <v>43685</v>
      </c>
      <c r="B4090">
        <v>2191</v>
      </c>
      <c r="C4090">
        <v>0</v>
      </c>
      <c r="D4090">
        <v>0</v>
      </c>
      <c r="E4090">
        <v>0</v>
      </c>
      <c r="F4090">
        <v>0</v>
      </c>
      <c r="G4090">
        <v>1351.3377750910161</v>
      </c>
      <c r="H4090">
        <v>2051.6928461500011</v>
      </c>
      <c r="I4090">
        <v>-3659.455594997155</v>
      </c>
      <c r="J4090">
        <v>-1.902121999999508</v>
      </c>
      <c r="K4090">
        <v>2815.3531559971552</v>
      </c>
      <c r="L4090">
        <v>0</v>
      </c>
      <c r="M4090">
        <v>0</v>
      </c>
      <c r="N4090">
        <v>0</v>
      </c>
      <c r="O4090">
        <v>-366.02606024101709</v>
      </c>
      <c r="P4090">
        <v>1356755</v>
      </c>
    </row>
    <row r="4091" spans="1:16" x14ac:dyDescent="0.25">
      <c r="A4091" s="10">
        <v>43686</v>
      </c>
      <c r="B4091">
        <v>-12006</v>
      </c>
      <c r="C4091">
        <v>0</v>
      </c>
      <c r="D4091">
        <v>0</v>
      </c>
      <c r="E4091">
        <v>0</v>
      </c>
      <c r="F4091">
        <v>0</v>
      </c>
      <c r="G4091">
        <v>59.395421179042103</v>
      </c>
      <c r="H4091">
        <v>-2712.8936104499999</v>
      </c>
      <c r="I4091">
        <v>-12650.89610914653</v>
      </c>
      <c r="J4091">
        <v>0</v>
      </c>
      <c r="K4091">
        <v>2954.1480162164239</v>
      </c>
      <c r="L4091">
        <v>0</v>
      </c>
      <c r="M4091">
        <v>0</v>
      </c>
      <c r="N4091">
        <v>0</v>
      </c>
      <c r="O4091">
        <v>344.2462822010657</v>
      </c>
      <c r="P4091">
        <v>1344749</v>
      </c>
    </row>
    <row r="4092" spans="1:16" x14ac:dyDescent="0.25">
      <c r="A4092" s="10">
        <v>43689</v>
      </c>
      <c r="B4092">
        <v>142723</v>
      </c>
      <c r="C4092">
        <v>-5774.3009999999986</v>
      </c>
      <c r="D4092">
        <v>0</v>
      </c>
      <c r="E4092">
        <v>0</v>
      </c>
      <c r="F4092">
        <v>0</v>
      </c>
      <c r="G4092">
        <v>-852.34604321999041</v>
      </c>
      <c r="H4092">
        <v>-9459.718315170001</v>
      </c>
      <c r="I4092">
        <v>155878.11411196689</v>
      </c>
      <c r="J4092">
        <v>0</v>
      </c>
      <c r="K4092">
        <v>3024.308516623124</v>
      </c>
      <c r="L4092">
        <v>0</v>
      </c>
      <c r="M4092">
        <v>0</v>
      </c>
      <c r="N4092">
        <v>0</v>
      </c>
      <c r="O4092">
        <v>-93.05727020004997</v>
      </c>
      <c r="P4092">
        <v>1487472</v>
      </c>
    </row>
    <row r="4093" spans="1:16" x14ac:dyDescent="0.25">
      <c r="A4093" s="10">
        <v>43690</v>
      </c>
      <c r="B4093">
        <v>-20803</v>
      </c>
      <c r="C4093">
        <v>-8295.2569999999978</v>
      </c>
      <c r="D4093">
        <v>0</v>
      </c>
      <c r="E4093">
        <v>0</v>
      </c>
      <c r="F4093">
        <v>0</v>
      </c>
      <c r="G4093">
        <v>180.59355327080081</v>
      </c>
      <c r="H4093">
        <v>10881.36339699</v>
      </c>
      <c r="I4093">
        <v>-12464.24359378219</v>
      </c>
      <c r="J4093">
        <v>0</v>
      </c>
      <c r="K4093">
        <v>3237.3065232920821</v>
      </c>
      <c r="L4093">
        <v>0</v>
      </c>
      <c r="M4093">
        <v>0</v>
      </c>
      <c r="N4093">
        <v>0</v>
      </c>
      <c r="O4093">
        <v>-14342.7628797707</v>
      </c>
      <c r="P4093">
        <v>1466669</v>
      </c>
    </row>
    <row r="4094" spans="1:16" x14ac:dyDescent="0.25">
      <c r="A4094" s="10">
        <v>43691</v>
      </c>
      <c r="B4094">
        <v>-105756</v>
      </c>
      <c r="C4094">
        <v>-14641.067999999999</v>
      </c>
      <c r="D4094">
        <v>0</v>
      </c>
      <c r="E4094">
        <v>0</v>
      </c>
      <c r="F4094">
        <v>0</v>
      </c>
      <c r="G4094">
        <v>-587.60282519076736</v>
      </c>
      <c r="H4094">
        <v>-63849.255433320002</v>
      </c>
      <c r="I4094">
        <v>-27955.117761046859</v>
      </c>
      <c r="J4094">
        <v>0</v>
      </c>
      <c r="K4094">
        <v>2906.2272984268002</v>
      </c>
      <c r="L4094">
        <v>0</v>
      </c>
      <c r="M4094">
        <v>0</v>
      </c>
      <c r="N4094">
        <v>0</v>
      </c>
      <c r="O4094">
        <v>-1629.1832788691829</v>
      </c>
      <c r="P4094">
        <v>1360913</v>
      </c>
    </row>
    <row r="4095" spans="1:16" x14ac:dyDescent="0.25">
      <c r="A4095" s="10">
        <v>43692</v>
      </c>
      <c r="B4095">
        <v>-19079</v>
      </c>
      <c r="C4095">
        <v>0</v>
      </c>
      <c r="D4095">
        <v>0</v>
      </c>
      <c r="E4095">
        <v>0</v>
      </c>
      <c r="F4095">
        <v>0</v>
      </c>
      <c r="G4095">
        <v>1165.6793256301009</v>
      </c>
      <c r="H4095">
        <v>13751.84675853001</v>
      </c>
      <c r="I4095">
        <v>-35008.123347878922</v>
      </c>
      <c r="J4095">
        <v>0</v>
      </c>
      <c r="K4095">
        <v>3084.8751124290161</v>
      </c>
      <c r="L4095">
        <v>0</v>
      </c>
      <c r="M4095">
        <v>0</v>
      </c>
      <c r="N4095">
        <v>0</v>
      </c>
      <c r="O4095">
        <v>-2073.2778487102082</v>
      </c>
      <c r="P4095">
        <v>1341834</v>
      </c>
    </row>
    <row r="4096" spans="1:16" x14ac:dyDescent="0.25">
      <c r="A4096" s="10">
        <v>43693</v>
      </c>
      <c r="B4096">
        <v>-88077</v>
      </c>
      <c r="C4096">
        <v>0</v>
      </c>
      <c r="D4096">
        <v>0</v>
      </c>
      <c r="E4096">
        <v>0</v>
      </c>
      <c r="F4096">
        <v>0</v>
      </c>
      <c r="G4096">
        <v>1465.9686188700839</v>
      </c>
      <c r="H4096">
        <v>-27732.708726320008</v>
      </c>
      <c r="I4096">
        <v>-65122.282625496147</v>
      </c>
      <c r="J4096">
        <v>0</v>
      </c>
      <c r="K4096">
        <v>3319.6554658462842</v>
      </c>
      <c r="L4096">
        <v>0</v>
      </c>
      <c r="M4096">
        <v>0</v>
      </c>
      <c r="N4096">
        <v>0</v>
      </c>
      <c r="O4096">
        <v>-7.6327329002087936</v>
      </c>
      <c r="P4096">
        <v>1253757</v>
      </c>
    </row>
    <row r="4097" spans="1:16" x14ac:dyDescent="0.25">
      <c r="A4097" s="10">
        <v>43697</v>
      </c>
      <c r="B4097">
        <v>-12672</v>
      </c>
      <c r="C4097">
        <v>-6201.2640000000001</v>
      </c>
      <c r="D4097">
        <v>-127000</v>
      </c>
      <c r="E4097">
        <v>0</v>
      </c>
      <c r="F4097">
        <v>126999.9999999103</v>
      </c>
      <c r="G4097">
        <v>-2392.1089832704852</v>
      </c>
      <c r="H4097">
        <v>37820.722615040009</v>
      </c>
      <c r="I4097">
        <v>-44688.938168700319</v>
      </c>
      <c r="J4097">
        <v>0</v>
      </c>
      <c r="K4097">
        <v>2172.6686171405131</v>
      </c>
      <c r="L4097">
        <v>0</v>
      </c>
      <c r="M4097">
        <v>0</v>
      </c>
      <c r="N4097">
        <v>0</v>
      </c>
      <c r="O4097">
        <v>616.91991987997244</v>
      </c>
      <c r="P4097">
        <v>1241085</v>
      </c>
    </row>
    <row r="4098" spans="1:16" x14ac:dyDescent="0.25">
      <c r="A4098" s="10">
        <v>43698</v>
      </c>
      <c r="B4098">
        <v>39255</v>
      </c>
      <c r="C4098">
        <v>-5169.0320000000011</v>
      </c>
      <c r="D4098">
        <v>0</v>
      </c>
      <c r="E4098">
        <v>0</v>
      </c>
      <c r="F4098">
        <v>0</v>
      </c>
      <c r="G4098">
        <v>480.47534369988921</v>
      </c>
      <c r="H4098">
        <v>9459.0297265599947</v>
      </c>
      <c r="I4098">
        <v>29781.347176804909</v>
      </c>
      <c r="J4098">
        <v>0</v>
      </c>
      <c r="K4098">
        <v>4698.5452448549668</v>
      </c>
      <c r="L4098">
        <v>0</v>
      </c>
      <c r="M4098">
        <v>0</v>
      </c>
      <c r="N4098">
        <v>0</v>
      </c>
      <c r="O4098">
        <v>4.6345080802420853</v>
      </c>
      <c r="P4098">
        <v>1280340</v>
      </c>
    </row>
    <row r="4099" spans="1:16" x14ac:dyDescent="0.25">
      <c r="A4099" s="10">
        <v>43699</v>
      </c>
      <c r="B4099">
        <v>13376</v>
      </c>
      <c r="C4099">
        <v>0</v>
      </c>
      <c r="D4099">
        <v>0</v>
      </c>
      <c r="E4099">
        <v>0</v>
      </c>
      <c r="F4099">
        <v>0</v>
      </c>
      <c r="G4099">
        <v>-10.164875729855231</v>
      </c>
      <c r="H4099">
        <v>4421.0907960300028</v>
      </c>
      <c r="I4099">
        <v>3839.2578667537309</v>
      </c>
      <c r="J4099">
        <v>0</v>
      </c>
      <c r="K4099">
        <v>4468.7286633664053</v>
      </c>
      <c r="L4099">
        <v>0</v>
      </c>
      <c r="M4099">
        <v>0</v>
      </c>
      <c r="N4099">
        <v>0</v>
      </c>
      <c r="O4099">
        <v>657.08754957971541</v>
      </c>
      <c r="P4099">
        <v>1293716</v>
      </c>
    </row>
    <row r="4100" spans="1:16" x14ac:dyDescent="0.25">
      <c r="A4100" s="10">
        <v>43700</v>
      </c>
      <c r="B4100">
        <v>-48191</v>
      </c>
      <c r="C4100">
        <v>-2764.5039999999999</v>
      </c>
      <c r="D4100">
        <v>0</v>
      </c>
      <c r="E4100">
        <v>0</v>
      </c>
      <c r="F4100">
        <v>0</v>
      </c>
      <c r="G4100">
        <v>-46.135847439772078</v>
      </c>
      <c r="H4100">
        <v>-55111.566527320007</v>
      </c>
      <c r="I4100">
        <v>4415.7585975141264</v>
      </c>
      <c r="J4100">
        <v>0</v>
      </c>
      <c r="K4100">
        <v>4658.6806734258298</v>
      </c>
      <c r="L4100">
        <v>0</v>
      </c>
      <c r="M4100">
        <v>0</v>
      </c>
      <c r="N4100">
        <v>0</v>
      </c>
      <c r="O4100">
        <v>656.76710381982411</v>
      </c>
      <c r="P4100">
        <v>1245525</v>
      </c>
    </row>
    <row r="4101" spans="1:16" x14ac:dyDescent="0.25">
      <c r="A4101" s="10">
        <v>43703</v>
      </c>
      <c r="B4101">
        <v>50602</v>
      </c>
      <c r="C4101">
        <v>0</v>
      </c>
      <c r="D4101">
        <v>0</v>
      </c>
      <c r="E4101">
        <v>0</v>
      </c>
      <c r="F4101">
        <v>0</v>
      </c>
      <c r="G4101">
        <v>-229.6171610703955</v>
      </c>
      <c r="H4101">
        <v>31905.460880720009</v>
      </c>
      <c r="I4101">
        <v>11652.66564221308</v>
      </c>
      <c r="J4101">
        <v>0</v>
      </c>
      <c r="K4101">
        <v>7245.7835927370834</v>
      </c>
      <c r="L4101">
        <v>0</v>
      </c>
      <c r="M4101">
        <v>0</v>
      </c>
      <c r="N4101">
        <v>0</v>
      </c>
      <c r="O4101">
        <v>27.70704540023144</v>
      </c>
      <c r="P4101">
        <v>1296127</v>
      </c>
    </row>
    <row r="4102" spans="1:16" x14ac:dyDescent="0.25">
      <c r="A4102" s="10">
        <v>43704</v>
      </c>
      <c r="B4102">
        <v>-53557</v>
      </c>
      <c r="C4102">
        <v>-16817.164000000001</v>
      </c>
      <c r="D4102">
        <v>0</v>
      </c>
      <c r="E4102">
        <v>0</v>
      </c>
      <c r="F4102">
        <v>0</v>
      </c>
      <c r="G4102">
        <v>87.230376990933905</v>
      </c>
      <c r="H4102">
        <v>5368.3218646800087</v>
      </c>
      <c r="I4102">
        <v>-44598.760019521229</v>
      </c>
      <c r="J4102">
        <v>0</v>
      </c>
      <c r="K4102">
        <v>2151.9873559915318</v>
      </c>
      <c r="L4102">
        <v>0</v>
      </c>
      <c r="M4102">
        <v>0</v>
      </c>
      <c r="N4102">
        <v>0</v>
      </c>
      <c r="O4102">
        <v>251.3844218587619</v>
      </c>
      <c r="P4102">
        <v>1242570</v>
      </c>
    </row>
    <row r="4103" spans="1:16" x14ac:dyDescent="0.25">
      <c r="A4103" s="10">
        <v>43705</v>
      </c>
      <c r="B4103">
        <v>26116</v>
      </c>
      <c r="C4103">
        <v>-21337.627</v>
      </c>
      <c r="D4103">
        <v>0</v>
      </c>
      <c r="E4103">
        <v>0</v>
      </c>
      <c r="F4103">
        <v>0</v>
      </c>
      <c r="G4103">
        <v>-33.452155141039377</v>
      </c>
      <c r="H4103">
        <v>-9697.3562155000036</v>
      </c>
      <c r="I4103">
        <v>54295.520823607687</v>
      </c>
      <c r="J4103">
        <v>0</v>
      </c>
      <c r="K4103">
        <v>3709.8198317825691</v>
      </c>
      <c r="L4103">
        <v>0</v>
      </c>
      <c r="M4103">
        <v>0</v>
      </c>
      <c r="N4103">
        <v>0</v>
      </c>
      <c r="O4103">
        <v>-820.9052847492203</v>
      </c>
      <c r="P4103">
        <v>1268686</v>
      </c>
    </row>
    <row r="4104" spans="1:16" x14ac:dyDescent="0.25">
      <c r="A4104" s="10">
        <v>43706</v>
      </c>
      <c r="B4104">
        <v>60739</v>
      </c>
      <c r="C4104">
        <v>-12964.824000000001</v>
      </c>
      <c r="D4104">
        <v>0</v>
      </c>
      <c r="E4104">
        <v>0</v>
      </c>
      <c r="F4104">
        <v>0</v>
      </c>
      <c r="G4104">
        <v>38.436878239865258</v>
      </c>
      <c r="H4104">
        <v>-35935.174332549999</v>
      </c>
      <c r="I4104">
        <v>105647.90809184129</v>
      </c>
      <c r="J4104">
        <v>0</v>
      </c>
      <c r="K4104">
        <v>3908.4271904285611</v>
      </c>
      <c r="L4104">
        <v>0</v>
      </c>
      <c r="M4104">
        <v>0</v>
      </c>
      <c r="N4104">
        <v>0</v>
      </c>
      <c r="O4104">
        <v>44.226172040303943</v>
      </c>
      <c r="P4104">
        <v>1329425</v>
      </c>
    </row>
    <row r="4105" spans="1:16" x14ac:dyDescent="0.25">
      <c r="A4105" s="10">
        <v>43707</v>
      </c>
      <c r="B4105">
        <v>-33252</v>
      </c>
      <c r="C4105">
        <v>-22869.52</v>
      </c>
      <c r="D4105">
        <v>0</v>
      </c>
      <c r="E4105">
        <v>0</v>
      </c>
      <c r="F4105">
        <v>0</v>
      </c>
      <c r="G4105">
        <v>-37.45489924989954</v>
      </c>
      <c r="H4105">
        <v>-127772.63908763</v>
      </c>
      <c r="I4105">
        <v>114260.8115406913</v>
      </c>
      <c r="J4105">
        <v>0</v>
      </c>
      <c r="K4105">
        <v>4152.6319219987236</v>
      </c>
      <c r="L4105">
        <v>0</v>
      </c>
      <c r="M4105">
        <v>0</v>
      </c>
      <c r="N4105">
        <v>0</v>
      </c>
      <c r="O4105">
        <v>-985.82947581012922</v>
      </c>
      <c r="P4105">
        <v>1296173</v>
      </c>
    </row>
    <row r="4106" spans="1:16" x14ac:dyDescent="0.25">
      <c r="A4106" s="10">
        <v>43710</v>
      </c>
      <c r="B4106">
        <v>281716</v>
      </c>
      <c r="C4106">
        <v>0</v>
      </c>
      <c r="D4106">
        <v>0</v>
      </c>
      <c r="E4106">
        <v>0</v>
      </c>
      <c r="F4106">
        <v>0</v>
      </c>
      <c r="G4106">
        <v>-589.79935264946289</v>
      </c>
      <c r="H4106">
        <v>190575.26961563999</v>
      </c>
      <c r="I4106">
        <v>74598.363375351066</v>
      </c>
      <c r="J4106">
        <v>0</v>
      </c>
      <c r="K4106">
        <v>5787.0362731689502</v>
      </c>
      <c r="L4106">
        <v>0</v>
      </c>
      <c r="M4106">
        <v>0</v>
      </c>
      <c r="N4106">
        <v>0</v>
      </c>
      <c r="O4106">
        <v>11345.130088489441</v>
      </c>
      <c r="P4106">
        <v>1577889</v>
      </c>
    </row>
    <row r="4107" spans="1:16" x14ac:dyDescent="0.25">
      <c r="A4107" s="10">
        <v>43711</v>
      </c>
      <c r="B4107">
        <v>-46120</v>
      </c>
      <c r="C4107">
        <v>-7683.8559999999998</v>
      </c>
      <c r="D4107">
        <v>-3475.6210000000001</v>
      </c>
      <c r="E4107">
        <v>0</v>
      </c>
      <c r="F4107">
        <v>0</v>
      </c>
      <c r="G4107">
        <v>1900.545262660431</v>
      </c>
      <c r="H4107">
        <v>992.6357176499987</v>
      </c>
      <c r="I4107">
        <v>-40957.446126739487</v>
      </c>
      <c r="J4107">
        <v>0</v>
      </c>
      <c r="K4107">
        <v>2752.531476509625</v>
      </c>
      <c r="L4107">
        <v>0</v>
      </c>
      <c r="M4107">
        <v>0</v>
      </c>
      <c r="N4107">
        <v>0</v>
      </c>
      <c r="O4107">
        <v>351.21066991944099</v>
      </c>
      <c r="P4107">
        <v>1531769</v>
      </c>
    </row>
    <row r="4108" spans="1:16" x14ac:dyDescent="0.25">
      <c r="A4108" s="10">
        <v>43712</v>
      </c>
      <c r="B4108">
        <v>-35399</v>
      </c>
      <c r="C4108">
        <v>-9103.6412999999993</v>
      </c>
      <c r="D4108">
        <v>0</v>
      </c>
      <c r="E4108">
        <v>0</v>
      </c>
      <c r="F4108">
        <v>0</v>
      </c>
      <c r="G4108">
        <v>661.6716640800131</v>
      </c>
      <c r="H4108">
        <v>-4542.2379796800051</v>
      </c>
      <c r="I4108">
        <v>-26228.502230947601</v>
      </c>
      <c r="J4108">
        <v>0</v>
      </c>
      <c r="K4108">
        <v>2895.7794472774781</v>
      </c>
      <c r="L4108">
        <v>0</v>
      </c>
      <c r="M4108">
        <v>0</v>
      </c>
      <c r="N4108">
        <v>0</v>
      </c>
      <c r="O4108">
        <v>917.93039927012433</v>
      </c>
      <c r="P4108">
        <v>1496370</v>
      </c>
    </row>
    <row r="4109" spans="1:16" x14ac:dyDescent="0.25">
      <c r="A4109" s="10">
        <v>43713</v>
      </c>
      <c r="B4109">
        <v>-33798</v>
      </c>
      <c r="C4109">
        <v>-1064.5073</v>
      </c>
      <c r="D4109">
        <v>-4519.8</v>
      </c>
      <c r="E4109">
        <v>0</v>
      </c>
      <c r="F4109">
        <v>0</v>
      </c>
      <c r="G4109">
        <v>-17.892606591333791</v>
      </c>
      <c r="H4109">
        <v>4229.5831337800009</v>
      </c>
      <c r="I4109">
        <v>-36898.899862446713</v>
      </c>
      <c r="J4109">
        <v>0</v>
      </c>
      <c r="K4109">
        <v>2444.666427576848</v>
      </c>
      <c r="L4109">
        <v>0</v>
      </c>
      <c r="M4109">
        <v>0</v>
      </c>
      <c r="N4109">
        <v>0</v>
      </c>
      <c r="O4109">
        <v>2028.8502076811931</v>
      </c>
      <c r="P4109">
        <v>1462572</v>
      </c>
    </row>
    <row r="4110" spans="1:16" x14ac:dyDescent="0.25">
      <c r="A4110" s="10">
        <v>43714</v>
      </c>
      <c r="B4110">
        <v>-39131</v>
      </c>
      <c r="C4110">
        <v>0</v>
      </c>
      <c r="D4110">
        <v>0</v>
      </c>
      <c r="E4110">
        <v>0</v>
      </c>
      <c r="F4110">
        <v>0</v>
      </c>
      <c r="G4110">
        <v>1495.901119280647</v>
      </c>
      <c r="H4110">
        <v>-5158.9167811700063</v>
      </c>
      <c r="I4110">
        <v>-38530.444102681467</v>
      </c>
      <c r="J4110">
        <v>0</v>
      </c>
      <c r="K4110">
        <v>2650.3451603915992</v>
      </c>
      <c r="L4110">
        <v>0</v>
      </c>
      <c r="M4110">
        <v>0</v>
      </c>
      <c r="N4110">
        <v>0</v>
      </c>
      <c r="O4110">
        <v>412.11460417923809</v>
      </c>
      <c r="P4110">
        <v>1423441</v>
      </c>
    </row>
    <row r="4111" spans="1:16" x14ac:dyDescent="0.25">
      <c r="A4111" s="10">
        <v>43717</v>
      </c>
      <c r="B4111">
        <v>-92608</v>
      </c>
      <c r="C4111">
        <v>-4481.68</v>
      </c>
      <c r="D4111">
        <v>0</v>
      </c>
      <c r="E4111">
        <v>0</v>
      </c>
      <c r="F4111">
        <v>0</v>
      </c>
      <c r="G4111">
        <v>-31.179661050390109</v>
      </c>
      <c r="H4111">
        <v>-93689.627556099993</v>
      </c>
      <c r="I4111">
        <v>940.5446694730781</v>
      </c>
      <c r="J4111">
        <v>-1.899999999999636</v>
      </c>
      <c r="K4111">
        <v>4162.7360886068673</v>
      </c>
      <c r="L4111">
        <v>0</v>
      </c>
      <c r="M4111">
        <v>0</v>
      </c>
      <c r="N4111">
        <v>0</v>
      </c>
      <c r="O4111">
        <v>493.10645907044818</v>
      </c>
      <c r="P4111">
        <v>1330833</v>
      </c>
    </row>
    <row r="4112" spans="1:16" x14ac:dyDescent="0.25">
      <c r="A4112" s="10">
        <v>43718</v>
      </c>
      <c r="B4112">
        <v>11326</v>
      </c>
      <c r="C4112">
        <v>1567.7374</v>
      </c>
      <c r="D4112">
        <v>0</v>
      </c>
      <c r="E4112">
        <v>0</v>
      </c>
      <c r="F4112">
        <v>0</v>
      </c>
      <c r="G4112">
        <v>154.08292773001239</v>
      </c>
      <c r="H4112">
        <v>7229.8700319500203</v>
      </c>
      <c r="I4112">
        <v>-3086.4880365668801</v>
      </c>
      <c r="J4112">
        <v>0</v>
      </c>
      <c r="K4112">
        <v>4016.0509917869608</v>
      </c>
      <c r="L4112">
        <v>0</v>
      </c>
      <c r="M4112">
        <v>0</v>
      </c>
      <c r="N4112">
        <v>0</v>
      </c>
      <c r="O4112">
        <v>1444.746685099886</v>
      </c>
      <c r="P4112">
        <v>1342159</v>
      </c>
    </row>
    <row r="4113" spans="1:16" x14ac:dyDescent="0.25">
      <c r="A4113" s="10">
        <v>43719</v>
      </c>
      <c r="B4113">
        <v>19653</v>
      </c>
      <c r="C4113">
        <v>-3144.9207999999999</v>
      </c>
      <c r="D4113">
        <v>0</v>
      </c>
      <c r="E4113">
        <v>0</v>
      </c>
      <c r="F4113">
        <v>0</v>
      </c>
      <c r="G4113">
        <v>-966.94542754983877</v>
      </c>
      <c r="H4113">
        <v>13817.78766407</v>
      </c>
      <c r="I4113">
        <v>4039.9925795046152</v>
      </c>
      <c r="J4113">
        <v>0</v>
      </c>
      <c r="K4113">
        <v>3935.661648865379</v>
      </c>
      <c r="L4113">
        <v>0</v>
      </c>
      <c r="M4113">
        <v>0</v>
      </c>
      <c r="N4113">
        <v>0</v>
      </c>
      <c r="O4113">
        <v>1971.424335109848</v>
      </c>
      <c r="P4113">
        <v>1361812</v>
      </c>
    </row>
    <row r="4114" spans="1:16" x14ac:dyDescent="0.25">
      <c r="A4114" s="10">
        <v>43720</v>
      </c>
      <c r="B4114">
        <v>-10737</v>
      </c>
      <c r="C4114">
        <v>0</v>
      </c>
      <c r="D4114">
        <v>0</v>
      </c>
      <c r="E4114">
        <v>0</v>
      </c>
      <c r="F4114">
        <v>0</v>
      </c>
      <c r="G4114">
        <v>-325.7834487903524</v>
      </c>
      <c r="H4114">
        <v>2116.4005650199829</v>
      </c>
      <c r="I4114">
        <v>-17365.516846603019</v>
      </c>
      <c r="J4114">
        <v>0</v>
      </c>
      <c r="K4114">
        <v>3444.4481389930502</v>
      </c>
      <c r="L4114">
        <v>0</v>
      </c>
      <c r="M4114">
        <v>0</v>
      </c>
      <c r="N4114">
        <v>0</v>
      </c>
      <c r="O4114">
        <v>1393.451591380335</v>
      </c>
      <c r="P4114">
        <v>1351075</v>
      </c>
    </row>
    <row r="4115" spans="1:16" x14ac:dyDescent="0.25">
      <c r="A4115" s="10">
        <v>43721</v>
      </c>
      <c r="B4115">
        <v>-32091</v>
      </c>
      <c r="C4115">
        <v>0</v>
      </c>
      <c r="D4115">
        <v>-6160.2</v>
      </c>
      <c r="E4115">
        <v>0</v>
      </c>
      <c r="F4115">
        <v>0</v>
      </c>
      <c r="G4115">
        <v>248.48329737012</v>
      </c>
      <c r="H4115">
        <v>-3679.7665502800078</v>
      </c>
      <c r="I4115">
        <v>-24898.67393824994</v>
      </c>
      <c r="J4115">
        <v>0</v>
      </c>
      <c r="K4115">
        <v>3529.1772261100441</v>
      </c>
      <c r="L4115">
        <v>0</v>
      </c>
      <c r="M4115">
        <v>0</v>
      </c>
      <c r="N4115">
        <v>0</v>
      </c>
      <c r="O4115">
        <v>-1130.0200349502229</v>
      </c>
      <c r="P4115">
        <v>1318984</v>
      </c>
    </row>
    <row r="4116" spans="1:16" x14ac:dyDescent="0.25">
      <c r="A4116" s="10">
        <v>43724</v>
      </c>
      <c r="B4116">
        <v>-29503</v>
      </c>
      <c r="C4116">
        <v>-5907.4210999999996</v>
      </c>
      <c r="D4116">
        <v>-11792.025</v>
      </c>
      <c r="E4116">
        <v>0</v>
      </c>
      <c r="F4116">
        <v>0</v>
      </c>
      <c r="G4116">
        <v>-305.94277876997091</v>
      </c>
      <c r="H4116">
        <v>-16862.120569359991</v>
      </c>
      <c r="I4116">
        <v>-305.2305082581006</v>
      </c>
      <c r="J4116">
        <v>0</v>
      </c>
      <c r="K4116">
        <v>4652.5082731780476</v>
      </c>
      <c r="L4116">
        <v>0</v>
      </c>
      <c r="M4116">
        <v>0</v>
      </c>
      <c r="N4116">
        <v>0</v>
      </c>
      <c r="O4116">
        <v>1017.2316832100111</v>
      </c>
      <c r="P4116">
        <v>1289481</v>
      </c>
    </row>
    <row r="4117" spans="1:16" x14ac:dyDescent="0.25">
      <c r="A4117" s="10">
        <v>43725</v>
      </c>
      <c r="B4117">
        <v>13210</v>
      </c>
      <c r="C4117">
        <v>-4093.808</v>
      </c>
      <c r="D4117">
        <v>0</v>
      </c>
      <c r="E4117">
        <v>0</v>
      </c>
      <c r="F4117">
        <v>0</v>
      </c>
      <c r="G4117">
        <v>808.90406751005776</v>
      </c>
      <c r="H4117">
        <v>-27830.14126597</v>
      </c>
      <c r="I4117">
        <v>39363.218177899253</v>
      </c>
      <c r="J4117">
        <v>0</v>
      </c>
      <c r="K4117">
        <v>4074.5027383507741</v>
      </c>
      <c r="L4117">
        <v>0</v>
      </c>
      <c r="M4117">
        <v>0</v>
      </c>
      <c r="N4117">
        <v>0</v>
      </c>
      <c r="O4117">
        <v>887.32428220991642</v>
      </c>
      <c r="P4117">
        <v>1302691</v>
      </c>
    </row>
    <row r="4118" spans="1:16" x14ac:dyDescent="0.25">
      <c r="A4118" s="10">
        <v>43726</v>
      </c>
      <c r="B4118">
        <v>-25793</v>
      </c>
      <c r="C4118">
        <v>-6555.8271999999997</v>
      </c>
      <c r="D4118">
        <v>-3490.6</v>
      </c>
      <c r="E4118">
        <v>0</v>
      </c>
      <c r="F4118">
        <v>0</v>
      </c>
      <c r="G4118">
        <v>-275.66298426890819</v>
      </c>
      <c r="H4118">
        <v>-3877.696470579976</v>
      </c>
      <c r="I4118">
        <v>-16129.61889201333</v>
      </c>
      <c r="J4118">
        <v>0</v>
      </c>
      <c r="K4118">
        <v>3908.3431215532728</v>
      </c>
      <c r="L4118">
        <v>0</v>
      </c>
      <c r="M4118">
        <v>0</v>
      </c>
      <c r="N4118">
        <v>0</v>
      </c>
      <c r="O4118">
        <v>628.06242530893724</v>
      </c>
      <c r="P4118">
        <v>1276898</v>
      </c>
    </row>
    <row r="4119" spans="1:16" x14ac:dyDescent="0.25">
      <c r="A4119" s="10">
        <v>43727</v>
      </c>
      <c r="B4119">
        <v>-1490</v>
      </c>
      <c r="C4119">
        <v>-3399.8303999999998</v>
      </c>
      <c r="D4119">
        <v>0</v>
      </c>
      <c r="E4119">
        <v>0</v>
      </c>
      <c r="F4119">
        <v>0</v>
      </c>
      <c r="G4119">
        <v>643.61027723877623</v>
      </c>
      <c r="H4119">
        <v>-2865.744556930033</v>
      </c>
      <c r="I4119">
        <v>34.322043113643304</v>
      </c>
      <c r="J4119">
        <v>0</v>
      </c>
      <c r="K4119">
        <v>3793.8104165363511</v>
      </c>
      <c r="L4119">
        <v>0</v>
      </c>
      <c r="M4119">
        <v>0</v>
      </c>
      <c r="N4119">
        <v>0</v>
      </c>
      <c r="O4119">
        <v>303.83222004126259</v>
      </c>
      <c r="P4119">
        <v>1275408</v>
      </c>
    </row>
    <row r="4120" spans="1:16" x14ac:dyDescent="0.25">
      <c r="A4120" s="10">
        <v>43728</v>
      </c>
      <c r="B4120">
        <v>17347</v>
      </c>
      <c r="C4120">
        <v>-5495.4648000000016</v>
      </c>
      <c r="D4120">
        <v>0</v>
      </c>
      <c r="E4120">
        <v>0</v>
      </c>
      <c r="F4120">
        <v>0</v>
      </c>
      <c r="G4120">
        <v>-23.111513579963461</v>
      </c>
      <c r="H4120">
        <v>-2712.2128728200041</v>
      </c>
      <c r="I4120">
        <v>21296.312504145779</v>
      </c>
      <c r="J4120">
        <v>0</v>
      </c>
      <c r="K4120">
        <v>3917.1458019641918</v>
      </c>
      <c r="L4120">
        <v>0</v>
      </c>
      <c r="M4120">
        <v>0</v>
      </c>
      <c r="N4120">
        <v>0</v>
      </c>
      <c r="O4120">
        <v>364.33088028999191</v>
      </c>
      <c r="P4120">
        <v>1292755</v>
      </c>
    </row>
    <row r="4121" spans="1:16" x14ac:dyDescent="0.25">
      <c r="A4121" s="10">
        <v>43731</v>
      </c>
      <c r="B4121">
        <v>-11269</v>
      </c>
      <c r="C4121">
        <v>-4839.6235999999999</v>
      </c>
      <c r="D4121">
        <v>0</v>
      </c>
      <c r="E4121">
        <v>0</v>
      </c>
      <c r="F4121">
        <v>0</v>
      </c>
      <c r="G4121">
        <v>-146.59677405992679</v>
      </c>
      <c r="H4121">
        <v>-5183.9848984600103</v>
      </c>
      <c r="I4121">
        <v>-5848.2727691296022</v>
      </c>
      <c r="J4121">
        <v>0</v>
      </c>
      <c r="K4121">
        <v>4729.1942436698318</v>
      </c>
      <c r="L4121">
        <v>0</v>
      </c>
      <c r="M4121">
        <v>0</v>
      </c>
      <c r="N4121">
        <v>0</v>
      </c>
      <c r="O4121">
        <v>20.28379797970592</v>
      </c>
      <c r="P4121">
        <v>1281486</v>
      </c>
    </row>
    <row r="4122" spans="1:16" x14ac:dyDescent="0.25">
      <c r="A4122" s="10">
        <v>43732</v>
      </c>
      <c r="B4122">
        <v>-18374</v>
      </c>
      <c r="C4122">
        <v>0</v>
      </c>
      <c r="D4122">
        <v>-170.2</v>
      </c>
      <c r="E4122">
        <v>0</v>
      </c>
      <c r="F4122">
        <v>0</v>
      </c>
      <c r="G4122">
        <v>-563.13575202013897</v>
      </c>
      <c r="H4122">
        <v>-6432.4251805099784</v>
      </c>
      <c r="I4122">
        <v>-15179.41283088666</v>
      </c>
      <c r="J4122">
        <v>0</v>
      </c>
      <c r="K4122">
        <v>3361.3888467866191</v>
      </c>
      <c r="L4122">
        <v>0</v>
      </c>
      <c r="M4122">
        <v>0</v>
      </c>
      <c r="N4122">
        <v>0</v>
      </c>
      <c r="O4122">
        <v>609.7849166301603</v>
      </c>
      <c r="P4122">
        <v>1263112</v>
      </c>
    </row>
    <row r="4123" spans="1:16" x14ac:dyDescent="0.25">
      <c r="A4123" s="10">
        <v>43733</v>
      </c>
      <c r="B4123">
        <v>16870</v>
      </c>
      <c r="C4123">
        <v>0</v>
      </c>
      <c r="D4123">
        <v>0</v>
      </c>
      <c r="E4123">
        <v>0</v>
      </c>
      <c r="F4123">
        <v>0</v>
      </c>
      <c r="G4123">
        <v>307.91562749032431</v>
      </c>
      <c r="H4123">
        <v>1696.0351498199741</v>
      </c>
      <c r="I4123">
        <v>10345.38940667454</v>
      </c>
      <c r="J4123">
        <v>0</v>
      </c>
      <c r="K4123">
        <v>4060.3654067055541</v>
      </c>
      <c r="L4123">
        <v>0</v>
      </c>
      <c r="M4123">
        <v>0</v>
      </c>
      <c r="N4123">
        <v>0</v>
      </c>
      <c r="O4123">
        <v>460.29440930960482</v>
      </c>
      <c r="P4123">
        <v>1279982</v>
      </c>
    </row>
    <row r="4124" spans="1:16" x14ac:dyDescent="0.25">
      <c r="A4124" s="10">
        <v>43734</v>
      </c>
      <c r="B4124">
        <v>-1923</v>
      </c>
      <c r="C4124">
        <v>-3602.4256</v>
      </c>
      <c r="D4124">
        <v>0</v>
      </c>
      <c r="E4124">
        <v>0</v>
      </c>
      <c r="F4124">
        <v>0</v>
      </c>
      <c r="G4124">
        <v>278.99993856987521</v>
      </c>
      <c r="H4124">
        <v>-7004.3559531600331</v>
      </c>
      <c r="I4124">
        <v>3779.6046929624858</v>
      </c>
      <c r="J4124">
        <v>0</v>
      </c>
      <c r="K4124">
        <v>3674.7509447774651</v>
      </c>
      <c r="L4124">
        <v>0</v>
      </c>
      <c r="M4124">
        <v>0</v>
      </c>
      <c r="N4124">
        <v>0</v>
      </c>
      <c r="O4124">
        <v>950.42597685020701</v>
      </c>
      <c r="P4124">
        <v>1278059</v>
      </c>
    </row>
    <row r="4125" spans="1:16" x14ac:dyDescent="0.25">
      <c r="A4125" s="10">
        <v>43735</v>
      </c>
      <c r="B4125">
        <v>5158</v>
      </c>
      <c r="C4125">
        <v>-5475.0950000000003</v>
      </c>
      <c r="D4125">
        <v>120000</v>
      </c>
      <c r="E4125">
        <v>0</v>
      </c>
      <c r="F4125">
        <v>0</v>
      </c>
      <c r="G4125">
        <v>-84747.600611920236</v>
      </c>
      <c r="H4125">
        <v>-12333.138625660011</v>
      </c>
      <c r="I4125">
        <v>-15921.238080835439</v>
      </c>
      <c r="J4125">
        <v>0</v>
      </c>
      <c r="K4125">
        <v>3527.958385195559</v>
      </c>
      <c r="L4125">
        <v>0</v>
      </c>
      <c r="M4125">
        <v>0</v>
      </c>
      <c r="N4125">
        <v>0</v>
      </c>
      <c r="O4125">
        <v>107.1139332201228</v>
      </c>
      <c r="P4125">
        <v>1283217</v>
      </c>
    </row>
    <row r="4126" spans="1:16" x14ac:dyDescent="0.25">
      <c r="A4126" s="10">
        <v>43738</v>
      </c>
      <c r="B4126">
        <v>26812</v>
      </c>
      <c r="C4126">
        <v>-11724.43149999999</v>
      </c>
      <c r="D4126">
        <v>0</v>
      </c>
      <c r="E4126">
        <v>0</v>
      </c>
      <c r="F4126">
        <v>0</v>
      </c>
      <c r="G4126">
        <v>23608.241092660832</v>
      </c>
      <c r="H4126">
        <v>-31909.372212869988</v>
      </c>
      <c r="I4126">
        <v>42097.934434452087</v>
      </c>
      <c r="J4126">
        <v>0</v>
      </c>
      <c r="K4126">
        <v>4846.0137450975972</v>
      </c>
      <c r="L4126">
        <v>0</v>
      </c>
      <c r="M4126">
        <v>0</v>
      </c>
      <c r="N4126">
        <v>0</v>
      </c>
      <c r="O4126">
        <v>-106.38555934053871</v>
      </c>
      <c r="P4126">
        <v>1310029</v>
      </c>
    </row>
    <row r="4127" spans="1:16" x14ac:dyDescent="0.25">
      <c r="A4127" s="10">
        <v>43739</v>
      </c>
      <c r="B4127">
        <v>26726</v>
      </c>
      <c r="C4127">
        <v>-11743.73</v>
      </c>
      <c r="D4127">
        <v>0</v>
      </c>
      <c r="E4127">
        <v>0</v>
      </c>
      <c r="F4127">
        <v>0</v>
      </c>
      <c r="G4127">
        <v>9941.4915732788577</v>
      </c>
      <c r="H4127">
        <v>76232.720492210006</v>
      </c>
      <c r="I4127">
        <v>-51141.826970894122</v>
      </c>
      <c r="J4127">
        <v>0</v>
      </c>
      <c r="K4127">
        <v>3616.1289888139299</v>
      </c>
      <c r="L4127">
        <v>0</v>
      </c>
      <c r="M4127">
        <v>0</v>
      </c>
      <c r="N4127">
        <v>0</v>
      </c>
      <c r="O4127">
        <v>-178.78408340866741</v>
      </c>
      <c r="P4127">
        <v>1336755</v>
      </c>
    </row>
    <row r="4128" spans="1:16" x14ac:dyDescent="0.25">
      <c r="A4128" s="10">
        <v>43740</v>
      </c>
      <c r="B4128">
        <v>-16152</v>
      </c>
      <c r="C4128">
        <v>-8904.6205000000009</v>
      </c>
      <c r="D4128">
        <v>0</v>
      </c>
      <c r="E4128">
        <v>0</v>
      </c>
      <c r="F4128">
        <v>0</v>
      </c>
      <c r="G4128">
        <v>19844.498100880079</v>
      </c>
      <c r="H4128">
        <v>-13477.9493186</v>
      </c>
      <c r="I4128">
        <v>-17547.793319818102</v>
      </c>
      <c r="J4128">
        <v>0</v>
      </c>
      <c r="K4128">
        <v>3727.1529285382071</v>
      </c>
      <c r="L4128">
        <v>0</v>
      </c>
      <c r="M4128">
        <v>0</v>
      </c>
      <c r="N4128">
        <v>0</v>
      </c>
      <c r="O4128">
        <v>206.71210899981449</v>
      </c>
      <c r="P4128">
        <v>1320603</v>
      </c>
    </row>
    <row r="4129" spans="1:16" x14ac:dyDescent="0.25">
      <c r="A4129" s="10">
        <v>43741</v>
      </c>
      <c r="B4129">
        <v>12260</v>
      </c>
      <c r="C4129">
        <v>-1935.6304</v>
      </c>
      <c r="D4129">
        <v>0</v>
      </c>
      <c r="E4129">
        <v>0</v>
      </c>
      <c r="F4129">
        <v>0</v>
      </c>
      <c r="G4129">
        <v>17358.17601415014</v>
      </c>
      <c r="H4129">
        <v>11161.36359967</v>
      </c>
      <c r="I4129">
        <v>-17645.333077163199</v>
      </c>
      <c r="J4129">
        <v>0</v>
      </c>
      <c r="K4129">
        <v>3460.5435581634579</v>
      </c>
      <c r="L4129">
        <v>0</v>
      </c>
      <c r="M4129">
        <v>0</v>
      </c>
      <c r="N4129">
        <v>0</v>
      </c>
      <c r="O4129">
        <v>-139.11969482039791</v>
      </c>
      <c r="P4129">
        <v>1332863</v>
      </c>
    </row>
    <row r="4130" spans="1:16" x14ac:dyDescent="0.25">
      <c r="A4130" s="10">
        <v>43742</v>
      </c>
      <c r="B4130">
        <v>2580</v>
      </c>
      <c r="C4130">
        <v>-2222.4848000000002</v>
      </c>
      <c r="D4130">
        <v>0</v>
      </c>
      <c r="E4130">
        <v>0</v>
      </c>
      <c r="F4130">
        <v>0</v>
      </c>
      <c r="G4130">
        <v>424.92117801023238</v>
      </c>
      <c r="H4130">
        <v>2075.4496573200158</v>
      </c>
      <c r="I4130">
        <v>-962.71516194054857</v>
      </c>
      <c r="J4130">
        <v>0</v>
      </c>
      <c r="K4130">
        <v>3580.9410796305692</v>
      </c>
      <c r="L4130">
        <v>0</v>
      </c>
      <c r="M4130">
        <v>0</v>
      </c>
      <c r="N4130">
        <v>0</v>
      </c>
      <c r="O4130">
        <v>-316.11195302026857</v>
      </c>
      <c r="P4130">
        <v>1335443</v>
      </c>
    </row>
    <row r="4131" spans="1:16" x14ac:dyDescent="0.25">
      <c r="A4131" s="10">
        <v>43745</v>
      </c>
      <c r="B4131">
        <v>-6751</v>
      </c>
      <c r="C4131">
        <v>-2981.5243000000009</v>
      </c>
      <c r="D4131">
        <v>0</v>
      </c>
      <c r="E4131">
        <v>0</v>
      </c>
      <c r="F4131">
        <v>0</v>
      </c>
      <c r="G4131">
        <v>-11889.80509978032</v>
      </c>
      <c r="H4131">
        <v>-2458.601849410014</v>
      </c>
      <c r="I4131">
        <v>7550.5335810261313</v>
      </c>
      <c r="J4131">
        <v>0</v>
      </c>
      <c r="K4131">
        <v>3778.5645241439038</v>
      </c>
      <c r="L4131">
        <v>0</v>
      </c>
      <c r="M4131">
        <v>0</v>
      </c>
      <c r="N4131">
        <v>0</v>
      </c>
      <c r="O4131">
        <v>-750.16685597970172</v>
      </c>
      <c r="P4131">
        <v>1328692</v>
      </c>
    </row>
    <row r="4132" spans="1:16" x14ac:dyDescent="0.25">
      <c r="A4132" s="10">
        <v>43746</v>
      </c>
      <c r="B4132">
        <v>-7721</v>
      </c>
      <c r="C4132">
        <v>-4702.2916999999989</v>
      </c>
      <c r="D4132">
        <v>0</v>
      </c>
      <c r="E4132">
        <v>0</v>
      </c>
      <c r="F4132">
        <v>0</v>
      </c>
      <c r="G4132">
        <v>1052.263174339937</v>
      </c>
      <c r="H4132">
        <v>-14085.65108593</v>
      </c>
      <c r="I4132">
        <v>6045.3419930806849</v>
      </c>
      <c r="J4132">
        <v>-1.899999999999636</v>
      </c>
      <c r="K4132">
        <v>4079.828472249384</v>
      </c>
      <c r="L4132">
        <v>0</v>
      </c>
      <c r="M4132">
        <v>0</v>
      </c>
      <c r="N4132">
        <v>0</v>
      </c>
      <c r="O4132">
        <v>-108.5908537400019</v>
      </c>
      <c r="P4132">
        <v>1320971</v>
      </c>
    </row>
    <row r="4133" spans="1:16" x14ac:dyDescent="0.25">
      <c r="A4133" s="10">
        <v>43747</v>
      </c>
      <c r="B4133">
        <v>31515</v>
      </c>
      <c r="C4133">
        <v>-1449.8979999999999</v>
      </c>
      <c r="D4133">
        <v>0</v>
      </c>
      <c r="E4133">
        <v>0</v>
      </c>
      <c r="F4133">
        <v>0</v>
      </c>
      <c r="G4133">
        <v>5064.1104137504244</v>
      </c>
      <c r="H4133">
        <v>-10995.096899449971</v>
      </c>
      <c r="I4133">
        <v>34964.340282345191</v>
      </c>
      <c r="J4133">
        <v>0</v>
      </c>
      <c r="K4133">
        <v>3836.8018834947502</v>
      </c>
      <c r="L4133">
        <v>0</v>
      </c>
      <c r="M4133">
        <v>0</v>
      </c>
      <c r="N4133">
        <v>0</v>
      </c>
      <c r="O4133">
        <v>94.74231985960796</v>
      </c>
      <c r="P4133">
        <v>1352486</v>
      </c>
    </row>
    <row r="4134" spans="1:16" x14ac:dyDescent="0.25">
      <c r="A4134" s="10">
        <v>43748</v>
      </c>
      <c r="B4134">
        <v>-21571</v>
      </c>
      <c r="C4134">
        <v>-2348.7374</v>
      </c>
      <c r="D4134">
        <v>0</v>
      </c>
      <c r="E4134">
        <v>0</v>
      </c>
      <c r="F4134">
        <v>0</v>
      </c>
      <c r="G4134">
        <v>-327.8926371903201</v>
      </c>
      <c r="H4134">
        <v>-8983.2242162799812</v>
      </c>
      <c r="I4134">
        <v>-14019.299504554599</v>
      </c>
      <c r="J4134">
        <v>0</v>
      </c>
      <c r="K4134">
        <v>3563.4138537044842</v>
      </c>
      <c r="L4134">
        <v>0</v>
      </c>
      <c r="M4134">
        <v>0</v>
      </c>
      <c r="N4134">
        <v>0</v>
      </c>
      <c r="O4134">
        <v>544.73990432041319</v>
      </c>
      <c r="P4134">
        <v>1330915</v>
      </c>
    </row>
    <row r="4135" spans="1:16" x14ac:dyDescent="0.25">
      <c r="A4135" s="10">
        <v>43749</v>
      </c>
      <c r="B4135">
        <v>32338</v>
      </c>
      <c r="C4135">
        <v>-3327.5841</v>
      </c>
      <c r="D4135">
        <v>0</v>
      </c>
      <c r="E4135">
        <v>0</v>
      </c>
      <c r="F4135">
        <v>0</v>
      </c>
      <c r="G4135">
        <v>10855.574503129959</v>
      </c>
      <c r="H4135">
        <v>8446.2515155599685</v>
      </c>
      <c r="I4135">
        <v>13000.75383078726</v>
      </c>
      <c r="J4135">
        <v>0</v>
      </c>
      <c r="K4135">
        <v>3453.7890411628468</v>
      </c>
      <c r="L4135">
        <v>0</v>
      </c>
      <c r="M4135">
        <v>0</v>
      </c>
      <c r="N4135">
        <v>0</v>
      </c>
      <c r="O4135">
        <v>-90.784790640031133</v>
      </c>
      <c r="P4135">
        <v>1363253</v>
      </c>
    </row>
    <row r="4136" spans="1:16" x14ac:dyDescent="0.25">
      <c r="A4136" s="10">
        <v>43753</v>
      </c>
      <c r="B4136">
        <v>21478</v>
      </c>
      <c r="C4136">
        <v>-8920.3565000000053</v>
      </c>
      <c r="D4136">
        <v>0</v>
      </c>
      <c r="E4136">
        <v>0</v>
      </c>
      <c r="F4136">
        <v>0</v>
      </c>
      <c r="G4136">
        <v>458.83098717022739</v>
      </c>
      <c r="H4136">
        <v>35060.062071039982</v>
      </c>
      <c r="I4136">
        <v>-9910.6501396244857</v>
      </c>
      <c r="J4136">
        <v>0</v>
      </c>
      <c r="K4136">
        <v>4174.6461177044657</v>
      </c>
      <c r="L4136">
        <v>0</v>
      </c>
      <c r="M4136">
        <v>0</v>
      </c>
      <c r="N4136">
        <v>0</v>
      </c>
      <c r="O4136">
        <v>615.46746370981418</v>
      </c>
      <c r="P4136">
        <v>1384731</v>
      </c>
    </row>
    <row r="4137" spans="1:16" x14ac:dyDescent="0.25">
      <c r="A4137" s="10">
        <v>43754</v>
      </c>
      <c r="B4137">
        <v>460</v>
      </c>
      <c r="C4137">
        <v>-10794.725100000031</v>
      </c>
      <c r="D4137">
        <v>0</v>
      </c>
      <c r="E4137">
        <v>0</v>
      </c>
      <c r="F4137">
        <v>0</v>
      </c>
      <c r="G4137">
        <v>-6409.4389014601666</v>
      </c>
      <c r="H4137">
        <v>-2840.2325465699828</v>
      </c>
      <c r="I4137">
        <v>16607.61628686031</v>
      </c>
      <c r="J4137">
        <v>0</v>
      </c>
      <c r="K4137">
        <v>4175.4124842100064</v>
      </c>
      <c r="L4137">
        <v>0</v>
      </c>
      <c r="M4137">
        <v>0</v>
      </c>
      <c r="N4137">
        <v>0</v>
      </c>
      <c r="O4137">
        <v>-278.63222304013829</v>
      </c>
      <c r="P4137">
        <v>1385191</v>
      </c>
    </row>
    <row r="4138" spans="1:16" x14ac:dyDescent="0.25">
      <c r="A4138" s="10">
        <v>43755</v>
      </c>
      <c r="B4138">
        <v>-1037</v>
      </c>
      <c r="C4138">
        <v>-5583.625</v>
      </c>
      <c r="D4138">
        <v>0</v>
      </c>
      <c r="E4138">
        <v>0</v>
      </c>
      <c r="F4138">
        <v>0</v>
      </c>
      <c r="G4138">
        <v>13244.79155985993</v>
      </c>
      <c r="H4138">
        <v>-27271.887788380001</v>
      </c>
      <c r="I4138">
        <v>15168.338543876311</v>
      </c>
      <c r="J4138">
        <v>0</v>
      </c>
      <c r="K4138">
        <v>3434.3555935436748</v>
      </c>
      <c r="L4138">
        <v>0</v>
      </c>
      <c r="M4138">
        <v>0</v>
      </c>
      <c r="N4138">
        <v>0</v>
      </c>
      <c r="O4138">
        <v>-28.97290889991109</v>
      </c>
      <c r="P4138">
        <v>1384154</v>
      </c>
    </row>
    <row r="4139" spans="1:16" x14ac:dyDescent="0.25">
      <c r="A4139" s="10">
        <v>43756</v>
      </c>
      <c r="B4139">
        <v>-3216</v>
      </c>
      <c r="C4139">
        <v>-17023.724800000029</v>
      </c>
      <c r="D4139">
        <v>0</v>
      </c>
      <c r="E4139">
        <v>0</v>
      </c>
      <c r="F4139">
        <v>0</v>
      </c>
      <c r="G4139">
        <v>556.13539790021355</v>
      </c>
      <c r="H4139">
        <v>-3069.2621254299879</v>
      </c>
      <c r="I4139">
        <v>12752.89629185712</v>
      </c>
      <c r="J4139">
        <v>0</v>
      </c>
      <c r="K4139">
        <v>3899.0407794627158</v>
      </c>
      <c r="L4139">
        <v>0</v>
      </c>
      <c r="M4139">
        <v>0</v>
      </c>
      <c r="N4139">
        <v>0</v>
      </c>
      <c r="O4139">
        <v>-331.08554379003448</v>
      </c>
      <c r="P4139">
        <v>1380938</v>
      </c>
    </row>
    <row r="4140" spans="1:16" x14ac:dyDescent="0.25">
      <c r="A4140" s="10">
        <v>43759</v>
      </c>
      <c r="B4140">
        <v>32171</v>
      </c>
      <c r="C4140">
        <v>-20890.34</v>
      </c>
      <c r="D4140">
        <v>0</v>
      </c>
      <c r="E4140">
        <v>0</v>
      </c>
      <c r="F4140">
        <v>0</v>
      </c>
      <c r="G4140">
        <v>237.9889075897768</v>
      </c>
      <c r="H4140">
        <v>-5204.9180136700161</v>
      </c>
      <c r="I4140">
        <v>53494.433932821958</v>
      </c>
      <c r="J4140">
        <v>0</v>
      </c>
      <c r="K4140">
        <v>4595.355566647936</v>
      </c>
      <c r="L4140">
        <v>0</v>
      </c>
      <c r="M4140">
        <v>0</v>
      </c>
      <c r="N4140">
        <v>0</v>
      </c>
      <c r="O4140">
        <v>-61.520393389670062</v>
      </c>
      <c r="P4140">
        <v>1413109</v>
      </c>
    </row>
    <row r="4141" spans="1:16" x14ac:dyDescent="0.25">
      <c r="A4141" s="10">
        <v>43760</v>
      </c>
      <c r="B4141">
        <v>15121</v>
      </c>
      <c r="C4141">
        <v>-26216.5</v>
      </c>
      <c r="D4141">
        <v>0</v>
      </c>
      <c r="E4141">
        <v>0</v>
      </c>
      <c r="F4141">
        <v>0</v>
      </c>
      <c r="G4141">
        <v>-3310.7802995502129</v>
      </c>
      <c r="H4141">
        <v>-16396.01411400002</v>
      </c>
      <c r="I4141">
        <v>57971.567968634423</v>
      </c>
      <c r="J4141">
        <v>0</v>
      </c>
      <c r="K4141">
        <v>2959.0179128354889</v>
      </c>
      <c r="L4141">
        <v>0</v>
      </c>
      <c r="M4141">
        <v>0</v>
      </c>
      <c r="N4141">
        <v>0</v>
      </c>
      <c r="O4141">
        <v>113.7085320803217</v>
      </c>
      <c r="P4141">
        <v>1428230</v>
      </c>
    </row>
    <row r="4142" spans="1:16" x14ac:dyDescent="0.25">
      <c r="A4142" s="10">
        <v>43761</v>
      </c>
      <c r="B4142">
        <v>37306</v>
      </c>
      <c r="C4142">
        <v>-32731.36250000009</v>
      </c>
      <c r="D4142">
        <v>0</v>
      </c>
      <c r="E4142">
        <v>0</v>
      </c>
      <c r="F4142">
        <v>0</v>
      </c>
      <c r="G4142">
        <v>-42.780971260001479</v>
      </c>
      <c r="H4142">
        <v>11705.817078110011</v>
      </c>
      <c r="I4142">
        <v>54236.036044694018</v>
      </c>
      <c r="J4142">
        <v>0</v>
      </c>
      <c r="K4142">
        <v>3346.3960907361852</v>
      </c>
      <c r="L4142">
        <v>0</v>
      </c>
      <c r="M4142">
        <v>0</v>
      </c>
      <c r="N4142">
        <v>0</v>
      </c>
      <c r="O4142">
        <v>791.89425771988317</v>
      </c>
      <c r="P4142">
        <v>1465536</v>
      </c>
    </row>
    <row r="4143" spans="1:16" x14ac:dyDescent="0.25">
      <c r="A4143" s="10">
        <v>43762</v>
      </c>
      <c r="B4143">
        <v>-18680</v>
      </c>
      <c r="C4143">
        <v>-41019.300000000003</v>
      </c>
      <c r="D4143">
        <v>0</v>
      </c>
      <c r="E4143">
        <v>0</v>
      </c>
      <c r="F4143">
        <v>0</v>
      </c>
      <c r="G4143">
        <v>-1904.6021904197651</v>
      </c>
      <c r="H4143">
        <v>-15645.515701</v>
      </c>
      <c r="I4143">
        <v>38820.4017151277</v>
      </c>
      <c r="J4143">
        <v>0</v>
      </c>
      <c r="K4143">
        <v>2769.7552443124532</v>
      </c>
      <c r="L4143">
        <v>0</v>
      </c>
      <c r="M4143">
        <v>0</v>
      </c>
      <c r="N4143">
        <v>0</v>
      </c>
      <c r="O4143">
        <v>-1700.739068020386</v>
      </c>
      <c r="P4143">
        <v>1446856</v>
      </c>
    </row>
    <row r="4144" spans="1:16" x14ac:dyDescent="0.25">
      <c r="A4144" s="10">
        <v>43763</v>
      </c>
      <c r="B4144">
        <v>40326</v>
      </c>
      <c r="C4144">
        <v>-48761.9</v>
      </c>
      <c r="D4144">
        <v>0</v>
      </c>
      <c r="E4144">
        <v>0</v>
      </c>
      <c r="F4144">
        <v>0</v>
      </c>
      <c r="G4144">
        <v>-14996.42110018005</v>
      </c>
      <c r="H4144">
        <v>-18.90154116999474</v>
      </c>
      <c r="I4144">
        <v>100122.0423120528</v>
      </c>
      <c r="J4144">
        <v>0</v>
      </c>
      <c r="K4144">
        <v>3257.7529895972289</v>
      </c>
      <c r="L4144">
        <v>0</v>
      </c>
      <c r="M4144">
        <v>0</v>
      </c>
      <c r="N4144">
        <v>0</v>
      </c>
      <c r="O4144">
        <v>723.42733970001427</v>
      </c>
      <c r="P4144">
        <v>1487182</v>
      </c>
    </row>
    <row r="4145" spans="1:16" x14ac:dyDescent="0.25">
      <c r="A4145" s="10">
        <v>43766</v>
      </c>
      <c r="B4145">
        <v>-62640</v>
      </c>
      <c r="C4145">
        <v>2402.4</v>
      </c>
      <c r="D4145">
        <v>0</v>
      </c>
      <c r="E4145">
        <v>0</v>
      </c>
      <c r="F4145">
        <v>0</v>
      </c>
      <c r="G4145">
        <v>6291.604054279911</v>
      </c>
      <c r="H4145">
        <v>-60919.375572400022</v>
      </c>
      <c r="I4145">
        <v>-15539.093397621071</v>
      </c>
      <c r="J4145">
        <v>0</v>
      </c>
      <c r="K4145">
        <v>2880.5894660911758</v>
      </c>
      <c r="L4145">
        <v>0</v>
      </c>
      <c r="M4145">
        <v>0</v>
      </c>
      <c r="N4145">
        <v>0</v>
      </c>
      <c r="O4145">
        <v>2243.8754496500042</v>
      </c>
      <c r="P4145">
        <v>1424542</v>
      </c>
    </row>
    <row r="4146" spans="1:16" x14ac:dyDescent="0.25">
      <c r="A4146" s="10">
        <v>43767</v>
      </c>
      <c r="B4146">
        <v>-7863</v>
      </c>
      <c r="C4146">
        <v>5944.9103000000023</v>
      </c>
      <c r="D4146">
        <v>0</v>
      </c>
      <c r="E4146">
        <v>0</v>
      </c>
      <c r="F4146">
        <v>0</v>
      </c>
      <c r="G4146">
        <v>-715.06694823956104</v>
      </c>
      <c r="H4146">
        <v>-11140.100779879949</v>
      </c>
      <c r="I4146">
        <v>-1125.9808442976789</v>
      </c>
      <c r="J4146">
        <v>0</v>
      </c>
      <c r="K4146">
        <v>2329.994621307645</v>
      </c>
      <c r="L4146">
        <v>0</v>
      </c>
      <c r="M4146">
        <v>0</v>
      </c>
      <c r="N4146">
        <v>0</v>
      </c>
      <c r="O4146">
        <v>-3156.756348890453</v>
      </c>
      <c r="P4146">
        <v>1416679</v>
      </c>
    </row>
    <row r="4147" spans="1:16" x14ac:dyDescent="0.25">
      <c r="A4147" s="10">
        <v>43768</v>
      </c>
      <c r="B4147">
        <v>37045</v>
      </c>
      <c r="C4147">
        <v>477.65</v>
      </c>
      <c r="D4147">
        <v>0</v>
      </c>
      <c r="E4147">
        <v>0</v>
      </c>
      <c r="F4147">
        <v>0</v>
      </c>
      <c r="G4147">
        <v>-3788.592160260298</v>
      </c>
      <c r="H4147">
        <v>-2768.6384161500609</v>
      </c>
      <c r="I4147">
        <v>40692.398653247859</v>
      </c>
      <c r="J4147">
        <v>0</v>
      </c>
      <c r="K4147">
        <v>2748.7953461120978</v>
      </c>
      <c r="L4147">
        <v>0</v>
      </c>
      <c r="M4147">
        <v>0</v>
      </c>
      <c r="N4147">
        <v>0</v>
      </c>
      <c r="O4147">
        <v>-316.61342294960201</v>
      </c>
      <c r="P4147">
        <v>1453724</v>
      </c>
    </row>
    <row r="4148" spans="1:16" x14ac:dyDescent="0.25">
      <c r="A4148" s="10">
        <v>43769</v>
      </c>
      <c r="B4148">
        <v>-66481</v>
      </c>
      <c r="C4148">
        <v>0</v>
      </c>
      <c r="D4148">
        <v>0</v>
      </c>
      <c r="E4148">
        <v>0</v>
      </c>
      <c r="F4148">
        <v>0</v>
      </c>
      <c r="G4148">
        <v>9539.8413034499645</v>
      </c>
      <c r="H4148">
        <v>-37371.842956349952</v>
      </c>
      <c r="I4148">
        <v>-40961.864584424773</v>
      </c>
      <c r="J4148">
        <v>0</v>
      </c>
      <c r="K4148">
        <v>2392.3282009645491</v>
      </c>
      <c r="L4148">
        <v>0</v>
      </c>
      <c r="M4148">
        <v>0</v>
      </c>
      <c r="N4148">
        <v>0</v>
      </c>
      <c r="O4148">
        <v>-79.461963639798341</v>
      </c>
      <c r="P4148">
        <v>1387243</v>
      </c>
    </row>
    <row r="4149" spans="1:16" x14ac:dyDescent="0.25">
      <c r="A4149" s="10">
        <v>43770</v>
      </c>
      <c r="B4149">
        <v>61830</v>
      </c>
      <c r="C4149">
        <v>7403.8936000000003</v>
      </c>
      <c r="D4149">
        <v>0</v>
      </c>
      <c r="E4149">
        <v>0</v>
      </c>
      <c r="F4149">
        <v>0</v>
      </c>
      <c r="G4149">
        <v>5419.5503849305096</v>
      </c>
      <c r="H4149">
        <v>80604.286460299976</v>
      </c>
      <c r="I4149">
        <v>-33772.510598855559</v>
      </c>
      <c r="J4149">
        <v>0</v>
      </c>
      <c r="K4149">
        <v>2112.1228664956079</v>
      </c>
      <c r="L4149">
        <v>0</v>
      </c>
      <c r="M4149">
        <v>0</v>
      </c>
      <c r="N4149">
        <v>0</v>
      </c>
      <c r="O4149">
        <v>62.657287129462929</v>
      </c>
      <c r="P4149">
        <v>1449073</v>
      </c>
    </row>
    <row r="4150" spans="1:16" x14ac:dyDescent="0.25">
      <c r="A4150" s="10">
        <v>43773</v>
      </c>
      <c r="B4150">
        <v>-10992</v>
      </c>
      <c r="C4150">
        <v>6925.3508000000002</v>
      </c>
      <c r="D4150">
        <v>0</v>
      </c>
      <c r="E4150">
        <v>0</v>
      </c>
      <c r="F4150">
        <v>0</v>
      </c>
      <c r="G4150">
        <v>-3965.25561378057</v>
      </c>
      <c r="H4150">
        <v>13912.55138605001</v>
      </c>
      <c r="I4150">
        <v>-30842.15642622847</v>
      </c>
      <c r="J4150">
        <v>0</v>
      </c>
      <c r="K4150">
        <v>3130.3474721783909</v>
      </c>
      <c r="L4150">
        <v>0</v>
      </c>
      <c r="M4150">
        <v>0</v>
      </c>
      <c r="N4150">
        <v>0</v>
      </c>
      <c r="O4150">
        <v>-152.83761821936241</v>
      </c>
      <c r="P4150">
        <v>1438081</v>
      </c>
    </row>
    <row r="4151" spans="1:16" x14ac:dyDescent="0.25">
      <c r="A4151" s="10">
        <v>43774</v>
      </c>
      <c r="B4151">
        <v>-20363</v>
      </c>
      <c r="C4151">
        <v>9276.0067999999992</v>
      </c>
      <c r="D4151">
        <v>0</v>
      </c>
      <c r="E4151">
        <v>0</v>
      </c>
      <c r="F4151">
        <v>0</v>
      </c>
      <c r="G4151">
        <v>-2053.086730420006</v>
      </c>
      <c r="H4151">
        <v>12266.31655621997</v>
      </c>
      <c r="I4151">
        <v>-41675.020457329687</v>
      </c>
      <c r="J4151">
        <v>0</v>
      </c>
      <c r="K4151">
        <v>2248.500247949577</v>
      </c>
      <c r="L4151">
        <v>0</v>
      </c>
      <c r="M4151">
        <v>0</v>
      </c>
      <c r="N4151">
        <v>0</v>
      </c>
      <c r="O4151">
        <v>-425.71641641984752</v>
      </c>
      <c r="P4151">
        <v>1417718</v>
      </c>
    </row>
    <row r="4152" spans="1:16" x14ac:dyDescent="0.25">
      <c r="A4152" s="10">
        <v>43776</v>
      </c>
      <c r="B4152">
        <v>12317</v>
      </c>
      <c r="C4152">
        <v>12695.1415</v>
      </c>
      <c r="D4152">
        <v>0</v>
      </c>
      <c r="E4152">
        <v>0</v>
      </c>
      <c r="F4152">
        <v>0</v>
      </c>
      <c r="G4152">
        <v>1200.802432210271</v>
      </c>
      <c r="H4152">
        <v>-3556.9940914099861</v>
      </c>
      <c r="I4152">
        <v>-1112.4408311436421</v>
      </c>
      <c r="J4152">
        <v>0</v>
      </c>
      <c r="K4152">
        <v>2605.6931479436448</v>
      </c>
      <c r="L4152">
        <v>0</v>
      </c>
      <c r="M4152">
        <v>0</v>
      </c>
      <c r="N4152">
        <v>0</v>
      </c>
      <c r="O4152">
        <v>484.79784239970832</v>
      </c>
      <c r="P4152">
        <v>1430035</v>
      </c>
    </row>
    <row r="4153" spans="1:16" x14ac:dyDescent="0.25">
      <c r="A4153" s="10">
        <v>43777</v>
      </c>
      <c r="B4153">
        <v>32614</v>
      </c>
      <c r="C4153">
        <v>20587.399099999999</v>
      </c>
      <c r="D4153">
        <v>0</v>
      </c>
      <c r="E4153">
        <v>0</v>
      </c>
      <c r="F4153">
        <v>0</v>
      </c>
      <c r="G4153">
        <v>4595.2041120300928</v>
      </c>
      <c r="H4153">
        <v>-35583.587483679992</v>
      </c>
      <c r="I4153">
        <v>40482.708213324076</v>
      </c>
      <c r="J4153">
        <v>0</v>
      </c>
      <c r="K4153">
        <v>3163.0293414861658</v>
      </c>
      <c r="L4153">
        <v>0</v>
      </c>
      <c r="M4153">
        <v>0</v>
      </c>
      <c r="N4153">
        <v>0</v>
      </c>
      <c r="O4153">
        <v>-630.75328316033847</v>
      </c>
      <c r="P4153">
        <v>1462649</v>
      </c>
    </row>
    <row r="4154" spans="1:16" x14ac:dyDescent="0.25">
      <c r="A4154" s="10">
        <v>43780</v>
      </c>
      <c r="B4154">
        <v>58059</v>
      </c>
      <c r="C4154">
        <v>0</v>
      </c>
      <c r="D4154">
        <v>0</v>
      </c>
      <c r="E4154">
        <v>0</v>
      </c>
      <c r="F4154">
        <v>0</v>
      </c>
      <c r="G4154">
        <v>128.61966030964959</v>
      </c>
      <c r="H4154">
        <v>28223.053674159979</v>
      </c>
      <c r="I4154">
        <v>25576.576642159722</v>
      </c>
      <c r="J4154">
        <v>-1.9020000000000441</v>
      </c>
      <c r="K4154">
        <v>3862.868659050273</v>
      </c>
      <c r="L4154">
        <v>0</v>
      </c>
      <c r="M4154">
        <v>0</v>
      </c>
      <c r="N4154">
        <v>0</v>
      </c>
      <c r="O4154">
        <v>269.78336432037759</v>
      </c>
      <c r="P4154">
        <v>1520708</v>
      </c>
    </row>
    <row r="4155" spans="1:16" x14ac:dyDescent="0.25">
      <c r="A4155" s="10">
        <v>43781</v>
      </c>
      <c r="B4155">
        <v>50773</v>
      </c>
      <c r="C4155">
        <v>12061.272000000001</v>
      </c>
      <c r="D4155">
        <v>0</v>
      </c>
      <c r="E4155">
        <v>0</v>
      </c>
      <c r="F4155">
        <v>0</v>
      </c>
      <c r="G4155">
        <v>-80.728139189728864</v>
      </c>
      <c r="H4155">
        <v>14820.004889590031</v>
      </c>
      <c r="I4155">
        <v>20684.819518930279</v>
      </c>
      <c r="J4155">
        <v>0</v>
      </c>
      <c r="K4155">
        <v>3165.0601723897448</v>
      </c>
      <c r="L4155">
        <v>0</v>
      </c>
      <c r="M4155">
        <v>0</v>
      </c>
      <c r="N4155">
        <v>0</v>
      </c>
      <c r="O4155">
        <v>122.5715582796838</v>
      </c>
      <c r="P4155">
        <v>1571481</v>
      </c>
    </row>
    <row r="4156" spans="1:16" x14ac:dyDescent="0.25">
      <c r="A4156" s="10">
        <v>43782</v>
      </c>
      <c r="B4156">
        <v>11949</v>
      </c>
      <c r="C4156">
        <v>5136.7542000000003</v>
      </c>
      <c r="D4156">
        <v>0</v>
      </c>
      <c r="E4156">
        <v>0</v>
      </c>
      <c r="F4156">
        <v>0</v>
      </c>
      <c r="G4156">
        <v>-183.10249850003311</v>
      </c>
      <c r="H4156">
        <v>-6756.0539649800339</v>
      </c>
      <c r="I4156">
        <v>11631.86230222869</v>
      </c>
      <c r="J4156">
        <v>0</v>
      </c>
      <c r="K4156">
        <v>2983.6620509913191</v>
      </c>
      <c r="L4156">
        <v>0</v>
      </c>
      <c r="M4156">
        <v>0</v>
      </c>
      <c r="N4156">
        <v>0</v>
      </c>
      <c r="O4156">
        <v>-864.12208973994348</v>
      </c>
      <c r="P4156">
        <v>1583430</v>
      </c>
    </row>
    <row r="4157" spans="1:16" x14ac:dyDescent="0.25">
      <c r="A4157" s="10">
        <v>43783</v>
      </c>
      <c r="B4157">
        <v>18661</v>
      </c>
      <c r="C4157">
        <v>7582.7002000000002</v>
      </c>
      <c r="D4157">
        <v>0</v>
      </c>
      <c r="E4157">
        <v>0</v>
      </c>
      <c r="F4157">
        <v>0</v>
      </c>
      <c r="G4157">
        <v>116.18791051957059</v>
      </c>
      <c r="H4157">
        <v>685.94095705001382</v>
      </c>
      <c r="I4157">
        <v>7653.8170903029386</v>
      </c>
      <c r="J4157">
        <v>0</v>
      </c>
      <c r="K4157">
        <v>1989.6507393069451</v>
      </c>
      <c r="L4157">
        <v>0</v>
      </c>
      <c r="M4157">
        <v>0</v>
      </c>
      <c r="N4157">
        <v>0</v>
      </c>
      <c r="O4157">
        <v>632.70310282053106</v>
      </c>
      <c r="P4157">
        <v>1602091</v>
      </c>
    </row>
    <row r="4158" spans="1:16" x14ac:dyDescent="0.25">
      <c r="A4158" s="10">
        <v>43784</v>
      </c>
      <c r="B4158">
        <v>8649</v>
      </c>
      <c r="C4158">
        <v>8475.1990000000005</v>
      </c>
      <c r="D4158">
        <v>0</v>
      </c>
      <c r="E4158">
        <v>0</v>
      </c>
      <c r="F4158">
        <v>0</v>
      </c>
      <c r="G4158">
        <v>-1350.254392489891</v>
      </c>
      <c r="H4158">
        <v>-2152.9790249100188</v>
      </c>
      <c r="I4158">
        <v>1201.547510243952</v>
      </c>
      <c r="J4158">
        <v>0</v>
      </c>
      <c r="K4158">
        <v>2117.5099667160921</v>
      </c>
      <c r="L4158">
        <v>0</v>
      </c>
      <c r="M4158">
        <v>0</v>
      </c>
      <c r="N4158">
        <v>0</v>
      </c>
      <c r="O4158">
        <v>357.97694043986479</v>
      </c>
      <c r="P4158">
        <v>1610740</v>
      </c>
    </row>
    <row r="4159" spans="1:16" x14ac:dyDescent="0.25">
      <c r="A4159" s="10">
        <v>43788</v>
      </c>
      <c r="B4159">
        <v>-5297</v>
      </c>
      <c r="C4159">
        <v>7432.1903999999986</v>
      </c>
      <c r="D4159">
        <v>0</v>
      </c>
      <c r="E4159">
        <v>0</v>
      </c>
      <c r="F4159">
        <v>0</v>
      </c>
      <c r="G4159">
        <v>-1251.455104390169</v>
      </c>
      <c r="H4159">
        <v>-13200.965889019981</v>
      </c>
      <c r="I4159">
        <v>-1169.3061732174831</v>
      </c>
      <c r="J4159">
        <v>0</v>
      </c>
      <c r="K4159">
        <v>2868.82343383748</v>
      </c>
      <c r="L4159">
        <v>0</v>
      </c>
      <c r="M4159">
        <v>0</v>
      </c>
      <c r="N4159">
        <v>0</v>
      </c>
      <c r="O4159">
        <v>23.713332790150162</v>
      </c>
      <c r="P4159">
        <v>1605443</v>
      </c>
    </row>
    <row r="4160" spans="1:16" x14ac:dyDescent="0.25">
      <c r="A4160" s="10">
        <v>43789</v>
      </c>
      <c r="B4160">
        <v>10153</v>
      </c>
      <c r="C4160">
        <v>3822.2514000000001</v>
      </c>
      <c r="D4160">
        <v>0</v>
      </c>
      <c r="E4160">
        <v>0</v>
      </c>
      <c r="F4160">
        <v>0</v>
      </c>
      <c r="G4160">
        <v>-1150.3081703598041</v>
      </c>
      <c r="H4160">
        <v>-7461.0717066700163</v>
      </c>
      <c r="I4160">
        <v>12368.02373349154</v>
      </c>
      <c r="J4160">
        <v>0</v>
      </c>
      <c r="K4160">
        <v>2760.0991900385502</v>
      </c>
      <c r="L4160">
        <v>0</v>
      </c>
      <c r="M4160">
        <v>0</v>
      </c>
      <c r="N4160">
        <v>0</v>
      </c>
      <c r="O4160">
        <v>-185.9944465002736</v>
      </c>
      <c r="P4160">
        <v>1615596</v>
      </c>
    </row>
    <row r="4161" spans="1:16" x14ac:dyDescent="0.25">
      <c r="A4161" s="10">
        <v>43790</v>
      </c>
      <c r="B4161">
        <v>27848</v>
      </c>
      <c r="C4161">
        <v>4062.8094000000001</v>
      </c>
      <c r="D4161">
        <v>0</v>
      </c>
      <c r="E4161">
        <v>20000</v>
      </c>
      <c r="F4161">
        <v>0</v>
      </c>
      <c r="G4161">
        <v>-3947.2262862098241</v>
      </c>
      <c r="H4161">
        <v>-6830.1794376800244</v>
      </c>
      <c r="I4161">
        <v>11684.284664003641</v>
      </c>
      <c r="J4161">
        <v>0</v>
      </c>
      <c r="K4161">
        <v>2776.4915881164588</v>
      </c>
      <c r="L4161">
        <v>0</v>
      </c>
      <c r="M4161">
        <v>0</v>
      </c>
      <c r="N4161">
        <v>0</v>
      </c>
      <c r="O4161">
        <v>101.82007176974371</v>
      </c>
      <c r="P4161">
        <v>1643444</v>
      </c>
    </row>
    <row r="4162" spans="1:16" x14ac:dyDescent="0.25">
      <c r="A4162" s="10">
        <v>43791</v>
      </c>
      <c r="B4162">
        <v>11743</v>
      </c>
      <c r="C4162">
        <v>8549.1864000000005</v>
      </c>
      <c r="D4162">
        <v>0</v>
      </c>
      <c r="E4162">
        <v>0</v>
      </c>
      <c r="F4162">
        <v>0</v>
      </c>
      <c r="G4162">
        <v>-1415.110205910237</v>
      </c>
      <c r="H4162">
        <v>2891.8658626300171</v>
      </c>
      <c r="I4162">
        <v>-266.23939837852959</v>
      </c>
      <c r="J4162">
        <v>0</v>
      </c>
      <c r="K4162">
        <v>2137.2293292886429</v>
      </c>
      <c r="L4162">
        <v>0</v>
      </c>
      <c r="M4162">
        <v>0</v>
      </c>
      <c r="N4162">
        <v>0</v>
      </c>
      <c r="O4162">
        <v>-153.93198762989411</v>
      </c>
      <c r="P4162">
        <v>1655187</v>
      </c>
    </row>
    <row r="4163" spans="1:16" x14ac:dyDescent="0.25">
      <c r="A4163" s="10">
        <v>43794</v>
      </c>
      <c r="B4163">
        <v>62657</v>
      </c>
      <c r="C4163">
        <v>9406.2027500000004</v>
      </c>
      <c r="D4163">
        <v>0</v>
      </c>
      <c r="E4163">
        <v>0</v>
      </c>
      <c r="F4163">
        <v>0</v>
      </c>
      <c r="G4163">
        <v>-1241.4374541501229</v>
      </c>
      <c r="H4163">
        <v>18732.15982755</v>
      </c>
      <c r="I4163">
        <v>32467.92779397732</v>
      </c>
      <c r="J4163">
        <v>0</v>
      </c>
      <c r="K4163">
        <v>3487.1565341226692</v>
      </c>
      <c r="L4163">
        <v>0</v>
      </c>
      <c r="M4163">
        <v>0</v>
      </c>
      <c r="N4163">
        <v>0</v>
      </c>
      <c r="O4163">
        <v>-195.00945149986359</v>
      </c>
      <c r="P4163">
        <v>1717844</v>
      </c>
    </row>
    <row r="4164" spans="1:16" x14ac:dyDescent="0.25">
      <c r="A4164" s="10">
        <v>43795</v>
      </c>
      <c r="B4164">
        <v>-54264</v>
      </c>
      <c r="C4164">
        <v>6327.2777999999998</v>
      </c>
      <c r="D4164">
        <v>0</v>
      </c>
      <c r="E4164">
        <v>20000</v>
      </c>
      <c r="F4164">
        <v>0</v>
      </c>
      <c r="G4164">
        <v>-20387.125945889831</v>
      </c>
      <c r="H4164">
        <v>-34299.125130319997</v>
      </c>
      <c r="I4164">
        <v>-28164.783324848981</v>
      </c>
      <c r="J4164">
        <v>0</v>
      </c>
      <c r="K4164">
        <v>1919.793836618999</v>
      </c>
      <c r="L4164">
        <v>0</v>
      </c>
      <c r="M4164">
        <v>0</v>
      </c>
      <c r="N4164">
        <v>0</v>
      </c>
      <c r="O4164">
        <v>339.96276443980611</v>
      </c>
      <c r="P4164">
        <v>1663580</v>
      </c>
    </row>
    <row r="4165" spans="1:16" x14ac:dyDescent="0.25">
      <c r="A4165" s="10">
        <v>43796</v>
      </c>
      <c r="B4165">
        <v>3615</v>
      </c>
      <c r="C4165">
        <v>1165.54035</v>
      </c>
      <c r="D4165">
        <v>0</v>
      </c>
      <c r="E4165">
        <v>0</v>
      </c>
      <c r="F4165">
        <v>0</v>
      </c>
      <c r="G4165">
        <v>-520.45072930982133</v>
      </c>
      <c r="H4165">
        <v>-25287.969800520019</v>
      </c>
      <c r="I4165">
        <v>26175.528271458461</v>
      </c>
      <c r="J4165">
        <v>0</v>
      </c>
      <c r="K4165">
        <v>2340.8671208615192</v>
      </c>
      <c r="L4165">
        <v>0</v>
      </c>
      <c r="M4165">
        <v>0</v>
      </c>
      <c r="N4165">
        <v>0</v>
      </c>
      <c r="O4165">
        <v>-258.51521249013967</v>
      </c>
      <c r="P4165">
        <v>1667195</v>
      </c>
    </row>
    <row r="4166" spans="1:16" x14ac:dyDescent="0.25">
      <c r="A4166" s="10">
        <v>43797</v>
      </c>
      <c r="B4166">
        <v>41650</v>
      </c>
      <c r="C4166">
        <v>0</v>
      </c>
      <c r="D4166">
        <v>0</v>
      </c>
      <c r="E4166">
        <v>0</v>
      </c>
      <c r="F4166">
        <v>0</v>
      </c>
      <c r="G4166">
        <v>17134.496768570039</v>
      </c>
      <c r="H4166">
        <v>2100.3110082600028</v>
      </c>
      <c r="I4166">
        <v>20366.626287581748</v>
      </c>
      <c r="J4166">
        <v>0</v>
      </c>
      <c r="K4166">
        <v>2385.7091789882702</v>
      </c>
      <c r="L4166">
        <v>0</v>
      </c>
      <c r="M4166">
        <v>0</v>
      </c>
      <c r="N4166">
        <v>0</v>
      </c>
      <c r="O4166">
        <v>-337.14324340005987</v>
      </c>
      <c r="P4166">
        <v>1708845</v>
      </c>
    </row>
    <row r="4167" spans="1:16" x14ac:dyDescent="0.25">
      <c r="A4167" s="10">
        <v>43798</v>
      </c>
      <c r="B4167">
        <v>-37224</v>
      </c>
      <c r="C4167">
        <v>478.56</v>
      </c>
      <c r="D4167">
        <v>0</v>
      </c>
      <c r="E4167">
        <v>20000</v>
      </c>
      <c r="F4167">
        <v>0</v>
      </c>
      <c r="G4167">
        <v>-7580.8722649999991</v>
      </c>
      <c r="H4167">
        <v>-43488.290069949988</v>
      </c>
      <c r="I4167">
        <v>-8389.1862315607723</v>
      </c>
      <c r="J4167">
        <v>0</v>
      </c>
      <c r="K4167">
        <v>1957.9939509208691</v>
      </c>
      <c r="L4167">
        <v>0</v>
      </c>
      <c r="M4167">
        <v>0</v>
      </c>
      <c r="N4167">
        <v>0</v>
      </c>
      <c r="O4167">
        <v>-202.2053844101101</v>
      </c>
      <c r="P4167">
        <v>1671621</v>
      </c>
    </row>
    <row r="4168" spans="1:16" x14ac:dyDescent="0.25">
      <c r="A4168" s="10">
        <v>43801</v>
      </c>
      <c r="B4168">
        <v>-12303</v>
      </c>
      <c r="C4168">
        <v>-3299.41</v>
      </c>
      <c r="D4168">
        <v>0</v>
      </c>
      <c r="E4168">
        <v>110000</v>
      </c>
      <c r="F4168">
        <v>0</v>
      </c>
      <c r="G4168">
        <v>-67086.227417840229</v>
      </c>
      <c r="H4168">
        <v>5978.9167148899869</v>
      </c>
      <c r="I4168">
        <v>-60475.899057729403</v>
      </c>
      <c r="J4168">
        <v>0</v>
      </c>
      <c r="K4168">
        <v>2654.007673289459</v>
      </c>
      <c r="L4168">
        <v>0</v>
      </c>
      <c r="M4168">
        <v>0</v>
      </c>
      <c r="N4168">
        <v>0</v>
      </c>
      <c r="O4168">
        <v>-74.387912609810883</v>
      </c>
      <c r="P4168">
        <v>1659318</v>
      </c>
    </row>
    <row r="4169" spans="1:16" x14ac:dyDescent="0.25">
      <c r="A4169" s="10">
        <v>43802</v>
      </c>
      <c r="B4169">
        <v>-67026</v>
      </c>
      <c r="C4169">
        <v>2935.9427999999998</v>
      </c>
      <c r="D4169">
        <v>0</v>
      </c>
      <c r="E4169">
        <v>0</v>
      </c>
      <c r="F4169">
        <v>0</v>
      </c>
      <c r="G4169">
        <v>20468.526039199631</v>
      </c>
      <c r="H4169">
        <v>-69546.41589427006</v>
      </c>
      <c r="I4169">
        <v>-22633.080724950651</v>
      </c>
      <c r="J4169">
        <v>0</v>
      </c>
      <c r="K4169">
        <v>2381.956083560498</v>
      </c>
      <c r="L4169">
        <v>0</v>
      </c>
      <c r="M4169">
        <v>0</v>
      </c>
      <c r="N4169">
        <v>0</v>
      </c>
      <c r="O4169">
        <v>-632.92830353943282</v>
      </c>
      <c r="P4169">
        <v>1592292</v>
      </c>
    </row>
    <row r="4170" spans="1:16" x14ac:dyDescent="0.25">
      <c r="A4170" s="10">
        <v>43803</v>
      </c>
      <c r="B4170">
        <v>-72319</v>
      </c>
      <c r="C4170">
        <v>2215.8042</v>
      </c>
      <c r="D4170">
        <v>0</v>
      </c>
      <c r="E4170">
        <v>0</v>
      </c>
      <c r="F4170">
        <v>0</v>
      </c>
      <c r="G4170">
        <v>4507.6754801301677</v>
      </c>
      <c r="H4170">
        <v>-45946.476424559951</v>
      </c>
      <c r="I4170">
        <v>-34848.440951679018</v>
      </c>
      <c r="J4170">
        <v>0</v>
      </c>
      <c r="K4170">
        <v>2206.7429930988828</v>
      </c>
      <c r="L4170">
        <v>0</v>
      </c>
      <c r="M4170">
        <v>0</v>
      </c>
      <c r="N4170">
        <v>0</v>
      </c>
      <c r="O4170">
        <v>-454.30529699007462</v>
      </c>
      <c r="P4170">
        <v>1519973</v>
      </c>
    </row>
    <row r="4171" spans="1:16" x14ac:dyDescent="0.25">
      <c r="A4171" s="10">
        <v>43804</v>
      </c>
      <c r="B4171">
        <v>25026</v>
      </c>
      <c r="C4171">
        <v>-818.70230000000004</v>
      </c>
      <c r="D4171">
        <v>0</v>
      </c>
      <c r="E4171">
        <v>20000</v>
      </c>
      <c r="F4171">
        <v>0</v>
      </c>
      <c r="G4171">
        <v>-15730.25570921006</v>
      </c>
      <c r="H4171">
        <v>-8443.9099599900655</v>
      </c>
      <c r="I4171">
        <v>26799.549983573499</v>
      </c>
      <c r="J4171">
        <v>0</v>
      </c>
      <c r="K4171">
        <v>2357.1912557966061</v>
      </c>
      <c r="L4171">
        <v>0</v>
      </c>
      <c r="M4171">
        <v>0</v>
      </c>
      <c r="N4171">
        <v>0</v>
      </c>
      <c r="O4171">
        <v>862.12672983002267</v>
      </c>
      <c r="P4171">
        <v>1544999</v>
      </c>
    </row>
    <row r="4172" spans="1:16" x14ac:dyDescent="0.25">
      <c r="A4172" s="10">
        <v>43805</v>
      </c>
      <c r="B4172">
        <v>22292</v>
      </c>
      <c r="C4172">
        <v>239.76400000000001</v>
      </c>
      <c r="D4172">
        <v>-28696.799999999999</v>
      </c>
      <c r="E4172">
        <v>0</v>
      </c>
      <c r="F4172">
        <v>0</v>
      </c>
      <c r="G4172">
        <v>32713.72971800961</v>
      </c>
      <c r="H4172">
        <v>-44078.617473889957</v>
      </c>
      <c r="I4172">
        <v>59384.569587190053</v>
      </c>
      <c r="J4172">
        <v>0</v>
      </c>
      <c r="K4172">
        <v>2298.6965418899531</v>
      </c>
      <c r="L4172">
        <v>0</v>
      </c>
      <c r="M4172">
        <v>0</v>
      </c>
      <c r="N4172">
        <v>0</v>
      </c>
      <c r="O4172">
        <v>430.65762680034459</v>
      </c>
      <c r="P4172">
        <v>1567291</v>
      </c>
    </row>
    <row r="4173" spans="1:16" x14ac:dyDescent="0.25">
      <c r="A4173" s="10">
        <v>43808</v>
      </c>
      <c r="B4173">
        <v>75301</v>
      </c>
      <c r="C4173">
        <v>-239.8</v>
      </c>
      <c r="D4173">
        <v>0</v>
      </c>
      <c r="E4173">
        <v>0</v>
      </c>
      <c r="F4173">
        <v>0</v>
      </c>
      <c r="G4173">
        <v>1463.3510377803341</v>
      </c>
      <c r="H4173">
        <v>10456.575803649959</v>
      </c>
      <c r="I4173">
        <v>59521.159685741877</v>
      </c>
      <c r="J4173">
        <v>-1.9020000000000441</v>
      </c>
      <c r="K4173">
        <v>4097.921224568152</v>
      </c>
      <c r="L4173">
        <v>0</v>
      </c>
      <c r="M4173">
        <v>0</v>
      </c>
      <c r="N4173">
        <v>0</v>
      </c>
      <c r="O4173">
        <v>3.6942482596787158</v>
      </c>
      <c r="P4173">
        <v>1642592</v>
      </c>
    </row>
    <row r="4174" spans="1:16" x14ac:dyDescent="0.25">
      <c r="A4174" s="10">
        <v>43809</v>
      </c>
      <c r="B4174">
        <v>79913</v>
      </c>
      <c r="C4174">
        <v>0</v>
      </c>
      <c r="D4174">
        <v>0</v>
      </c>
      <c r="E4174">
        <v>0</v>
      </c>
      <c r="F4174">
        <v>0</v>
      </c>
      <c r="G4174">
        <v>-112.7782371497309</v>
      </c>
      <c r="H4174">
        <v>55190.05156421999</v>
      </c>
      <c r="I4174">
        <v>21998.587910934581</v>
      </c>
      <c r="J4174">
        <v>0</v>
      </c>
      <c r="K4174">
        <v>2894.8958017454261</v>
      </c>
      <c r="L4174">
        <v>0</v>
      </c>
      <c r="M4174">
        <v>0</v>
      </c>
      <c r="N4174">
        <v>0</v>
      </c>
      <c r="O4174">
        <v>-57.75703975027136</v>
      </c>
      <c r="P4174">
        <v>1722505</v>
      </c>
    </row>
    <row r="4175" spans="1:16" x14ac:dyDescent="0.25">
      <c r="A4175" s="10">
        <v>43810</v>
      </c>
      <c r="B4175">
        <v>2246</v>
      </c>
      <c r="C4175">
        <v>6609.5574999999881</v>
      </c>
      <c r="D4175">
        <v>0</v>
      </c>
      <c r="E4175">
        <v>0</v>
      </c>
      <c r="F4175">
        <v>0</v>
      </c>
      <c r="G4175">
        <v>78.570327319959901</v>
      </c>
      <c r="H4175">
        <v>-4867.4580953699769</v>
      </c>
      <c r="I4175">
        <v>-2140.1881980188191</v>
      </c>
      <c r="J4175">
        <v>0</v>
      </c>
      <c r="K4175">
        <v>2681.7381796487689</v>
      </c>
      <c r="L4175">
        <v>0</v>
      </c>
      <c r="M4175">
        <v>0</v>
      </c>
      <c r="N4175">
        <v>0</v>
      </c>
      <c r="O4175">
        <v>-116.21971357992059</v>
      </c>
      <c r="P4175">
        <v>1724751</v>
      </c>
    </row>
    <row r="4176" spans="1:16" x14ac:dyDescent="0.25">
      <c r="A4176" s="10">
        <v>43811</v>
      </c>
      <c r="B4176">
        <v>-37940</v>
      </c>
      <c r="C4176">
        <v>12351.79750000001</v>
      </c>
      <c r="D4176">
        <v>0</v>
      </c>
      <c r="E4176">
        <v>0</v>
      </c>
      <c r="F4176">
        <v>0</v>
      </c>
      <c r="G4176">
        <v>14027.02602591032</v>
      </c>
      <c r="H4176">
        <v>-65082.977281510022</v>
      </c>
      <c r="I4176">
        <v>-1331.9691990324061</v>
      </c>
      <c r="J4176">
        <v>0</v>
      </c>
      <c r="K4176">
        <v>2030.767489952475</v>
      </c>
      <c r="L4176">
        <v>0</v>
      </c>
      <c r="M4176">
        <v>0</v>
      </c>
      <c r="N4176">
        <v>0</v>
      </c>
      <c r="O4176">
        <v>65.355464679625584</v>
      </c>
      <c r="P4176">
        <v>1686811</v>
      </c>
    </row>
    <row r="4177" spans="1:16" x14ac:dyDescent="0.25">
      <c r="A4177" s="10">
        <v>43812</v>
      </c>
      <c r="B4177">
        <v>-15203</v>
      </c>
      <c r="C4177">
        <v>10515.47699999999</v>
      </c>
      <c r="D4177">
        <v>0</v>
      </c>
      <c r="E4177">
        <v>0</v>
      </c>
      <c r="F4177">
        <v>0</v>
      </c>
      <c r="G4177">
        <v>5019.8746475197831</v>
      </c>
      <c r="H4177">
        <v>-31255.836148159931</v>
      </c>
      <c r="I4177">
        <v>-1009.139558291179</v>
      </c>
      <c r="J4177">
        <v>0</v>
      </c>
      <c r="K4177">
        <v>1654.965363881154</v>
      </c>
      <c r="L4177">
        <v>0</v>
      </c>
      <c r="M4177">
        <v>0</v>
      </c>
      <c r="N4177">
        <v>0</v>
      </c>
      <c r="O4177">
        <v>-128.3413049498231</v>
      </c>
      <c r="P4177">
        <v>1671608</v>
      </c>
    </row>
    <row r="4178" spans="1:16" x14ac:dyDescent="0.25">
      <c r="A4178" s="10">
        <v>43815</v>
      </c>
      <c r="B4178">
        <v>62725</v>
      </c>
      <c r="C4178">
        <v>4187.0480000000016</v>
      </c>
      <c r="D4178">
        <v>0</v>
      </c>
      <c r="E4178">
        <v>0</v>
      </c>
      <c r="F4178">
        <v>0</v>
      </c>
      <c r="G4178">
        <v>831.2797488303238</v>
      </c>
      <c r="H4178">
        <v>55106.696800320002</v>
      </c>
      <c r="I4178">
        <v>-1472.870335795451</v>
      </c>
      <c r="J4178">
        <v>0</v>
      </c>
      <c r="K4178">
        <v>3548.9975753952858</v>
      </c>
      <c r="L4178">
        <v>0</v>
      </c>
      <c r="M4178">
        <v>0</v>
      </c>
      <c r="N4178">
        <v>0</v>
      </c>
      <c r="O4178">
        <v>523.84821124983137</v>
      </c>
      <c r="P4178">
        <v>1734333</v>
      </c>
    </row>
    <row r="4179" spans="1:16" x14ac:dyDescent="0.25">
      <c r="A4179" s="10">
        <v>43816</v>
      </c>
      <c r="B4179">
        <v>1848</v>
      </c>
      <c r="C4179">
        <v>9474.6979999999876</v>
      </c>
      <c r="D4179">
        <v>0</v>
      </c>
      <c r="E4179">
        <v>0</v>
      </c>
      <c r="F4179">
        <v>0</v>
      </c>
      <c r="G4179">
        <v>17477.149996179771</v>
      </c>
      <c r="H4179">
        <v>-26597.01679654</v>
      </c>
      <c r="I4179">
        <v>-2008.012946751667</v>
      </c>
      <c r="J4179">
        <v>0</v>
      </c>
      <c r="K4179">
        <v>2617.622325111673</v>
      </c>
      <c r="L4179">
        <v>0</v>
      </c>
      <c r="M4179">
        <v>0</v>
      </c>
      <c r="N4179">
        <v>0</v>
      </c>
      <c r="O4179">
        <v>883.55942200023492</v>
      </c>
      <c r="P4179">
        <v>1736181</v>
      </c>
    </row>
    <row r="4180" spans="1:16" x14ac:dyDescent="0.25">
      <c r="A4180" s="10">
        <v>43817</v>
      </c>
      <c r="B4180">
        <v>31339</v>
      </c>
      <c r="C4180">
        <v>6531.7979999999898</v>
      </c>
      <c r="D4180">
        <v>0</v>
      </c>
      <c r="E4180">
        <v>0</v>
      </c>
      <c r="F4180">
        <v>0</v>
      </c>
      <c r="G4180">
        <v>158.79254655000949</v>
      </c>
      <c r="H4180">
        <v>23767.834425529989</v>
      </c>
      <c r="I4180">
        <v>-2166.0463731078198</v>
      </c>
      <c r="J4180">
        <v>0</v>
      </c>
      <c r="K4180">
        <v>2814.5440527077999</v>
      </c>
      <c r="L4180">
        <v>0</v>
      </c>
      <c r="M4180">
        <v>0</v>
      </c>
      <c r="N4180">
        <v>0</v>
      </c>
      <c r="O4180">
        <v>232.0773483200355</v>
      </c>
      <c r="P4180">
        <v>1767520</v>
      </c>
    </row>
    <row r="4181" spans="1:16" x14ac:dyDescent="0.25">
      <c r="A4181" s="10">
        <v>43818</v>
      </c>
      <c r="B4181">
        <v>9169</v>
      </c>
      <c r="C4181">
        <v>9959.1974999999875</v>
      </c>
      <c r="D4181">
        <v>0</v>
      </c>
      <c r="E4181">
        <v>0</v>
      </c>
      <c r="F4181">
        <v>0</v>
      </c>
      <c r="G4181">
        <v>580.70654293994346</v>
      </c>
      <c r="H4181">
        <v>-1840.91403121996</v>
      </c>
      <c r="I4181">
        <v>-1495.8794906325641</v>
      </c>
      <c r="J4181">
        <v>0</v>
      </c>
      <c r="K4181">
        <v>2109.2315888925868</v>
      </c>
      <c r="L4181">
        <v>0</v>
      </c>
      <c r="M4181">
        <v>0</v>
      </c>
      <c r="N4181">
        <v>0</v>
      </c>
      <c r="O4181">
        <v>-143.34210997999429</v>
      </c>
      <c r="P4181">
        <v>1776689</v>
      </c>
    </row>
    <row r="4182" spans="1:16" x14ac:dyDescent="0.25">
      <c r="A4182" s="10">
        <v>43819</v>
      </c>
      <c r="B4182">
        <v>54853</v>
      </c>
      <c r="C4182">
        <v>6998.3549999999859</v>
      </c>
      <c r="D4182">
        <v>0</v>
      </c>
      <c r="E4182">
        <v>100000</v>
      </c>
      <c r="F4182">
        <v>0</v>
      </c>
      <c r="G4182">
        <v>-49882.735282909787</v>
      </c>
      <c r="H4182">
        <v>51508.701563899987</v>
      </c>
      <c r="I4182">
        <v>-55183.530001804582</v>
      </c>
      <c r="J4182">
        <v>0</v>
      </c>
      <c r="K4182">
        <v>1638.8767868646769</v>
      </c>
      <c r="L4182">
        <v>0</v>
      </c>
      <c r="M4182">
        <v>0</v>
      </c>
      <c r="N4182">
        <v>0</v>
      </c>
      <c r="O4182">
        <v>-226.66806605026801</v>
      </c>
      <c r="P4182">
        <v>1831542</v>
      </c>
    </row>
    <row r="4183" spans="1:16" x14ac:dyDescent="0.25">
      <c r="A4183" s="10">
        <v>43822</v>
      </c>
      <c r="B4183">
        <v>65107</v>
      </c>
      <c r="C4183">
        <v>-3569.579999999999</v>
      </c>
      <c r="D4183">
        <v>0</v>
      </c>
      <c r="E4183">
        <v>0</v>
      </c>
      <c r="F4183">
        <v>0</v>
      </c>
      <c r="G4183">
        <v>10845.569394930029</v>
      </c>
      <c r="H4183">
        <v>56429.531010179962</v>
      </c>
      <c r="I4183">
        <v>-1490.665844916133</v>
      </c>
      <c r="J4183">
        <v>0</v>
      </c>
      <c r="K4183">
        <v>2995.126650046288</v>
      </c>
      <c r="L4183">
        <v>0</v>
      </c>
      <c r="M4183">
        <v>0</v>
      </c>
      <c r="N4183">
        <v>0</v>
      </c>
      <c r="O4183">
        <v>-102.9812102401411</v>
      </c>
      <c r="P4183">
        <v>1896649</v>
      </c>
    </row>
    <row r="4184" spans="1:16" x14ac:dyDescent="0.25">
      <c r="A4184" s="10">
        <v>43825</v>
      </c>
      <c r="B4184">
        <v>-99324</v>
      </c>
      <c r="C4184">
        <v>0</v>
      </c>
      <c r="D4184">
        <v>0</v>
      </c>
      <c r="E4184">
        <v>0</v>
      </c>
      <c r="F4184">
        <v>0</v>
      </c>
      <c r="G4184">
        <v>-331.37378882999309</v>
      </c>
      <c r="H4184">
        <v>-100372.10898085999</v>
      </c>
      <c r="I4184">
        <v>-2612.9236931154742</v>
      </c>
      <c r="J4184">
        <v>0</v>
      </c>
      <c r="K4184">
        <v>3892.2039566554922</v>
      </c>
      <c r="L4184">
        <v>0</v>
      </c>
      <c r="M4184">
        <v>0</v>
      </c>
      <c r="N4184">
        <v>0</v>
      </c>
      <c r="O4184">
        <v>100.20250614995889</v>
      </c>
      <c r="P4184">
        <v>1797325</v>
      </c>
    </row>
    <row r="4185" spans="1:16" x14ac:dyDescent="0.25">
      <c r="A4185" s="10">
        <v>43826</v>
      </c>
      <c r="B4185">
        <v>31784</v>
      </c>
      <c r="C4185">
        <v>2942.898000000001</v>
      </c>
      <c r="D4185">
        <v>-3581.4</v>
      </c>
      <c r="E4185">
        <v>0</v>
      </c>
      <c r="F4185">
        <v>0</v>
      </c>
      <c r="G4185">
        <v>2218.7696233899092</v>
      </c>
      <c r="H4185">
        <v>29863.451939660012</v>
      </c>
      <c r="I4185">
        <v>-2818.5644413937121</v>
      </c>
      <c r="J4185">
        <v>0</v>
      </c>
      <c r="K4185">
        <v>3383.2240019937149</v>
      </c>
      <c r="L4185">
        <v>0</v>
      </c>
      <c r="M4185">
        <v>0</v>
      </c>
      <c r="N4185">
        <v>0</v>
      </c>
      <c r="O4185">
        <v>-224.3791236499201</v>
      </c>
      <c r="P4185">
        <v>1829109</v>
      </c>
    </row>
    <row r="4186" spans="1:16" x14ac:dyDescent="0.25">
      <c r="A4186" s="10">
        <v>43829</v>
      </c>
      <c r="B4186">
        <v>66272</v>
      </c>
      <c r="C4186">
        <v>0</v>
      </c>
      <c r="D4186">
        <v>0</v>
      </c>
      <c r="E4186">
        <v>60000</v>
      </c>
      <c r="F4186">
        <v>0</v>
      </c>
      <c r="G4186">
        <v>9312.7654870897059</v>
      </c>
      <c r="H4186">
        <v>-4592.5472058500163</v>
      </c>
      <c r="I4186">
        <v>-2379.068226931151</v>
      </c>
      <c r="J4186">
        <v>0</v>
      </c>
      <c r="K4186">
        <v>3871.7764343610111</v>
      </c>
      <c r="L4186">
        <v>0</v>
      </c>
      <c r="M4186">
        <v>0</v>
      </c>
      <c r="N4186">
        <v>0</v>
      </c>
      <c r="O4186">
        <v>59.073511330439942</v>
      </c>
      <c r="P4186">
        <v>1895381</v>
      </c>
    </row>
    <row r="4187" spans="1:16" x14ac:dyDescent="0.25">
      <c r="A4187" s="10">
        <v>43832</v>
      </c>
      <c r="B4187">
        <v>-18094</v>
      </c>
      <c r="C4187">
        <v>4456.2175000000007</v>
      </c>
      <c r="D4187">
        <v>-1790.7</v>
      </c>
      <c r="E4187">
        <v>0</v>
      </c>
      <c r="F4187">
        <v>0</v>
      </c>
      <c r="G4187">
        <v>17323.658705170401</v>
      </c>
      <c r="H4187">
        <v>-38765.143795379961</v>
      </c>
      <c r="I4187">
        <v>-2886.1785952958739</v>
      </c>
      <c r="J4187">
        <v>0</v>
      </c>
      <c r="K4187">
        <v>4412.5966791759274</v>
      </c>
      <c r="L4187">
        <v>0</v>
      </c>
      <c r="M4187">
        <v>0</v>
      </c>
      <c r="N4187">
        <v>0</v>
      </c>
      <c r="O4187">
        <v>-844.45049367049432</v>
      </c>
      <c r="P4187">
        <v>1877287</v>
      </c>
    </row>
    <row r="4188" spans="1:16" x14ac:dyDescent="0.25">
      <c r="A4188" s="10">
        <v>43833</v>
      </c>
      <c r="B4188">
        <v>-42670</v>
      </c>
      <c r="C4188">
        <v>8374.0999999999767</v>
      </c>
      <c r="D4188">
        <v>0</v>
      </c>
      <c r="E4188">
        <v>0</v>
      </c>
      <c r="F4188">
        <v>0</v>
      </c>
      <c r="G4188">
        <v>2994.4741164499292</v>
      </c>
      <c r="H4188">
        <v>-54912.639165020017</v>
      </c>
      <c r="I4188">
        <v>-2182.6193763599731</v>
      </c>
      <c r="J4188">
        <v>0</v>
      </c>
      <c r="K4188">
        <v>2734.670391820091</v>
      </c>
      <c r="L4188">
        <v>0</v>
      </c>
      <c r="M4188">
        <v>0</v>
      </c>
      <c r="N4188">
        <v>0</v>
      </c>
      <c r="O4188">
        <v>322.0140331099974</v>
      </c>
      <c r="P4188">
        <v>1834617</v>
      </c>
    </row>
    <row r="4189" spans="1:16" x14ac:dyDescent="0.25">
      <c r="A4189" s="10">
        <v>43836</v>
      </c>
      <c r="B4189">
        <v>-113426</v>
      </c>
      <c r="C4189">
        <v>1734.6350000000009</v>
      </c>
      <c r="D4189">
        <v>0</v>
      </c>
      <c r="E4189">
        <v>0</v>
      </c>
      <c r="F4189">
        <v>0</v>
      </c>
      <c r="G4189">
        <v>-8891.5983128702374</v>
      </c>
      <c r="H4189">
        <v>-108118.881683</v>
      </c>
      <c r="I4189">
        <v>-2985.7867740246002</v>
      </c>
      <c r="J4189">
        <v>0</v>
      </c>
      <c r="K4189">
        <v>4852.9461517447844</v>
      </c>
      <c r="L4189">
        <v>0</v>
      </c>
      <c r="M4189">
        <v>0</v>
      </c>
      <c r="N4189">
        <v>0</v>
      </c>
      <c r="O4189">
        <v>-17.314381849922938</v>
      </c>
      <c r="P4189">
        <v>1721191</v>
      </c>
    </row>
    <row r="4190" spans="1:16" x14ac:dyDescent="0.25">
      <c r="A4190" s="10">
        <v>43837</v>
      </c>
      <c r="B4190">
        <v>-40355</v>
      </c>
      <c r="C4190">
        <v>3720.4930000000022</v>
      </c>
      <c r="D4190">
        <v>0</v>
      </c>
      <c r="E4190">
        <v>0</v>
      </c>
      <c r="F4190">
        <v>0</v>
      </c>
      <c r="G4190">
        <v>2497.1676336999599</v>
      </c>
      <c r="H4190">
        <v>-47067.032482890063</v>
      </c>
      <c r="I4190">
        <v>-3054.1824891950241</v>
      </c>
      <c r="J4190">
        <v>0</v>
      </c>
      <c r="K4190">
        <v>3816.740556225197</v>
      </c>
      <c r="L4190">
        <v>0</v>
      </c>
      <c r="M4190">
        <v>0</v>
      </c>
      <c r="N4190">
        <v>0</v>
      </c>
      <c r="O4190">
        <v>-268.18621784006967</v>
      </c>
      <c r="P4190">
        <v>1680836</v>
      </c>
    </row>
    <row r="4191" spans="1:16" x14ac:dyDescent="0.25">
      <c r="A4191" s="10">
        <v>43838</v>
      </c>
      <c r="B4191">
        <v>-38224</v>
      </c>
      <c r="C4191">
        <v>8386.062999999991</v>
      </c>
      <c r="D4191">
        <v>0</v>
      </c>
      <c r="E4191">
        <v>0</v>
      </c>
      <c r="F4191">
        <v>0</v>
      </c>
      <c r="G4191">
        <v>-244.84520243012381</v>
      </c>
      <c r="H4191">
        <v>-47052.13615904015</v>
      </c>
      <c r="I4191">
        <v>-1731.5988309251841</v>
      </c>
      <c r="J4191">
        <v>0</v>
      </c>
      <c r="K4191">
        <v>2554.4554036950822</v>
      </c>
      <c r="L4191">
        <v>0</v>
      </c>
      <c r="M4191">
        <v>0</v>
      </c>
      <c r="N4191">
        <v>0</v>
      </c>
      <c r="O4191">
        <v>-135.93821129961731</v>
      </c>
      <c r="P4191">
        <v>1642612</v>
      </c>
    </row>
    <row r="4192" spans="1:16" x14ac:dyDescent="0.25">
      <c r="A4192" s="10">
        <v>43839</v>
      </c>
      <c r="B4192">
        <v>-14178</v>
      </c>
      <c r="C4192">
        <v>12073.657750000009</v>
      </c>
      <c r="D4192">
        <v>0</v>
      </c>
      <c r="E4192">
        <v>0</v>
      </c>
      <c r="F4192">
        <v>0</v>
      </c>
      <c r="G4192">
        <v>-6053.3587502200189</v>
      </c>
      <c r="H4192">
        <v>-21492.989539280181</v>
      </c>
      <c r="I4192">
        <v>-1504.155325031141</v>
      </c>
      <c r="J4192">
        <v>-1.899999999999636</v>
      </c>
      <c r="K4192">
        <v>2389.2266827511298</v>
      </c>
      <c r="L4192">
        <v>0</v>
      </c>
      <c r="M4192">
        <v>0</v>
      </c>
      <c r="N4192">
        <v>0</v>
      </c>
      <c r="O4192">
        <v>411.5191817802006</v>
      </c>
      <c r="P4192">
        <v>1628434</v>
      </c>
    </row>
    <row r="4193" spans="1:16" x14ac:dyDescent="0.25">
      <c r="A4193" s="10">
        <v>43840</v>
      </c>
      <c r="B4193">
        <v>-21944</v>
      </c>
      <c r="C4193">
        <v>6340.3899999999912</v>
      </c>
      <c r="D4193">
        <v>0</v>
      </c>
      <c r="E4193">
        <v>0</v>
      </c>
      <c r="F4193">
        <v>0</v>
      </c>
      <c r="G4193">
        <v>-18.343052509454029</v>
      </c>
      <c r="H4193">
        <v>-28837.974705500059</v>
      </c>
      <c r="I4193">
        <v>-1340.120358597022</v>
      </c>
      <c r="J4193">
        <v>0</v>
      </c>
      <c r="K4193">
        <v>2258.8139057271578</v>
      </c>
      <c r="L4193">
        <v>0</v>
      </c>
      <c r="M4193">
        <v>0</v>
      </c>
      <c r="N4193">
        <v>0</v>
      </c>
      <c r="O4193">
        <v>-346.76578912061092</v>
      </c>
      <c r="P4193">
        <v>1606490</v>
      </c>
    </row>
    <row r="4194" spans="1:16" x14ac:dyDescent="0.25">
      <c r="A4194" s="10">
        <v>43843</v>
      </c>
      <c r="B4194">
        <v>21779</v>
      </c>
      <c r="C4194">
        <v>-3455.4239999999991</v>
      </c>
      <c r="D4194">
        <v>0</v>
      </c>
      <c r="E4194">
        <v>0</v>
      </c>
      <c r="F4194">
        <v>0</v>
      </c>
      <c r="G4194">
        <v>-55.0058222697904</v>
      </c>
      <c r="H4194">
        <v>22620.78648467013</v>
      </c>
      <c r="I4194">
        <v>-1833.2622193878051</v>
      </c>
      <c r="J4194">
        <v>0</v>
      </c>
      <c r="K4194">
        <v>4614.6750441377126</v>
      </c>
      <c r="L4194">
        <v>0</v>
      </c>
      <c r="M4194">
        <v>0</v>
      </c>
      <c r="N4194">
        <v>0</v>
      </c>
      <c r="O4194">
        <v>-112.76948715024631</v>
      </c>
      <c r="P4194">
        <v>1628269</v>
      </c>
    </row>
    <row r="4195" spans="1:16" x14ac:dyDescent="0.25">
      <c r="A4195" s="10">
        <v>43844</v>
      </c>
      <c r="B4195">
        <v>-17032</v>
      </c>
      <c r="C4195">
        <v>-3454.025000000001</v>
      </c>
      <c r="D4195">
        <v>0</v>
      </c>
      <c r="E4195">
        <v>0</v>
      </c>
      <c r="F4195">
        <v>0</v>
      </c>
      <c r="G4195">
        <v>-280.39558284019108</v>
      </c>
      <c r="H4195">
        <v>-14245.319845059999</v>
      </c>
      <c r="I4195">
        <v>-1975.785338530666</v>
      </c>
      <c r="J4195">
        <v>0</v>
      </c>
      <c r="K4195">
        <v>2878.217671890673</v>
      </c>
      <c r="L4195">
        <v>0</v>
      </c>
      <c r="M4195">
        <v>0</v>
      </c>
      <c r="N4195">
        <v>0</v>
      </c>
      <c r="O4195">
        <v>45.308094540185273</v>
      </c>
      <c r="P4195">
        <v>1611237</v>
      </c>
    </row>
    <row r="4196" spans="1:16" x14ac:dyDescent="0.25">
      <c r="A4196" s="10">
        <v>43845</v>
      </c>
      <c r="B4196">
        <v>-15909</v>
      </c>
      <c r="C4196">
        <v>5551.3699999999963</v>
      </c>
      <c r="D4196">
        <v>0</v>
      </c>
      <c r="E4196">
        <v>0</v>
      </c>
      <c r="F4196">
        <v>0</v>
      </c>
      <c r="G4196">
        <v>609.69371739974929</v>
      </c>
      <c r="H4196">
        <v>-22659.87361764989</v>
      </c>
      <c r="I4196">
        <v>-1365.0638933806911</v>
      </c>
      <c r="J4196">
        <v>0</v>
      </c>
      <c r="K4196">
        <v>2292.8109732906751</v>
      </c>
      <c r="L4196">
        <v>0</v>
      </c>
      <c r="M4196">
        <v>0</v>
      </c>
      <c r="N4196">
        <v>0</v>
      </c>
      <c r="O4196">
        <v>-337.93717965983518</v>
      </c>
      <c r="P4196">
        <v>1595328</v>
      </c>
    </row>
    <row r="4197" spans="1:16" x14ac:dyDescent="0.25">
      <c r="A4197" s="10">
        <v>43846</v>
      </c>
      <c r="B4197">
        <v>-3864</v>
      </c>
      <c r="C4197">
        <v>1349.5</v>
      </c>
      <c r="D4197">
        <v>0</v>
      </c>
      <c r="E4197">
        <v>0</v>
      </c>
      <c r="F4197">
        <v>0</v>
      </c>
      <c r="G4197">
        <v>653.32816392973075</v>
      </c>
      <c r="H4197">
        <v>-6936.0614530697931</v>
      </c>
      <c r="I4197">
        <v>-1520.0210774396551</v>
      </c>
      <c r="J4197">
        <v>0</v>
      </c>
      <c r="K4197">
        <v>2477.2041475596861</v>
      </c>
      <c r="L4197">
        <v>0</v>
      </c>
      <c r="M4197">
        <v>0</v>
      </c>
      <c r="N4197">
        <v>0</v>
      </c>
      <c r="O4197">
        <v>112.05021902003089</v>
      </c>
      <c r="P4197">
        <v>1591464</v>
      </c>
    </row>
    <row r="4198" spans="1:16" x14ac:dyDescent="0.25">
      <c r="A4198" s="10">
        <v>43847</v>
      </c>
      <c r="B4198">
        <v>-7623</v>
      </c>
      <c r="C4198">
        <v>7213.2</v>
      </c>
      <c r="D4198">
        <v>0</v>
      </c>
      <c r="E4198">
        <v>0</v>
      </c>
      <c r="F4198">
        <v>0</v>
      </c>
      <c r="G4198">
        <v>271.09032647034189</v>
      </c>
      <c r="H4198">
        <v>-15746.58641206997</v>
      </c>
      <c r="I4198">
        <v>-1280.388103963458</v>
      </c>
      <c r="J4198">
        <v>0</v>
      </c>
      <c r="K4198">
        <v>2249.7092947033771</v>
      </c>
      <c r="L4198">
        <v>0</v>
      </c>
      <c r="M4198">
        <v>0</v>
      </c>
      <c r="N4198">
        <v>0</v>
      </c>
      <c r="O4198">
        <v>-330.02510514029109</v>
      </c>
      <c r="P4198">
        <v>1583841</v>
      </c>
    </row>
    <row r="4199" spans="1:16" x14ac:dyDescent="0.25">
      <c r="A4199" s="10">
        <v>43850</v>
      </c>
      <c r="B4199">
        <v>43497</v>
      </c>
      <c r="C4199">
        <v>0</v>
      </c>
      <c r="D4199">
        <v>0</v>
      </c>
      <c r="E4199">
        <v>0</v>
      </c>
      <c r="F4199">
        <v>0</v>
      </c>
      <c r="G4199">
        <v>1304.6015686400319</v>
      </c>
      <c r="H4199">
        <v>39496.307146509876</v>
      </c>
      <c r="I4199">
        <v>-1751.549495541374</v>
      </c>
      <c r="J4199">
        <v>0</v>
      </c>
      <c r="K4199">
        <v>4595.974004491507</v>
      </c>
      <c r="L4199">
        <v>0</v>
      </c>
      <c r="M4199">
        <v>0</v>
      </c>
      <c r="N4199">
        <v>0</v>
      </c>
      <c r="O4199">
        <v>-148.33322410004621</v>
      </c>
      <c r="P4199">
        <v>1627338</v>
      </c>
    </row>
    <row r="4200" spans="1:16" x14ac:dyDescent="0.25">
      <c r="A4200" s="10">
        <v>43851</v>
      </c>
      <c r="B4200">
        <v>87574</v>
      </c>
      <c r="C4200">
        <v>0</v>
      </c>
      <c r="D4200">
        <v>0</v>
      </c>
      <c r="E4200">
        <v>0</v>
      </c>
      <c r="F4200">
        <v>0</v>
      </c>
      <c r="G4200">
        <v>49.426749509710483</v>
      </c>
      <c r="H4200">
        <v>583975.31265008985</v>
      </c>
      <c r="I4200">
        <v>-498935.38761050551</v>
      </c>
      <c r="J4200">
        <v>0</v>
      </c>
      <c r="K4200">
        <v>2812.328429485186</v>
      </c>
      <c r="L4200">
        <v>0</v>
      </c>
      <c r="M4200">
        <v>0</v>
      </c>
      <c r="N4200">
        <v>0</v>
      </c>
      <c r="O4200">
        <v>-327.68021857934951</v>
      </c>
      <c r="P4200">
        <v>1714912</v>
      </c>
    </row>
    <row r="4201" spans="1:16" x14ac:dyDescent="0.25">
      <c r="A4201" s="10">
        <v>43852</v>
      </c>
      <c r="B4201">
        <v>-11325</v>
      </c>
      <c r="C4201">
        <v>1982.31</v>
      </c>
      <c r="D4201">
        <v>0</v>
      </c>
      <c r="E4201">
        <v>0</v>
      </c>
      <c r="F4201">
        <v>0</v>
      </c>
      <c r="G4201">
        <v>904.27649239010725</v>
      </c>
      <c r="H4201">
        <v>-146187.82053554</v>
      </c>
      <c r="I4201">
        <v>130780.1791049319</v>
      </c>
      <c r="J4201">
        <v>0</v>
      </c>
      <c r="K4201">
        <v>1532.6455109679171</v>
      </c>
      <c r="L4201">
        <v>0</v>
      </c>
      <c r="M4201">
        <v>0</v>
      </c>
      <c r="N4201">
        <v>0</v>
      </c>
      <c r="O4201">
        <v>-336.59057274988658</v>
      </c>
      <c r="P4201">
        <v>1703587</v>
      </c>
    </row>
    <row r="4202" spans="1:16" x14ac:dyDescent="0.25">
      <c r="A4202" s="10">
        <v>43853</v>
      </c>
      <c r="B4202">
        <v>-106304</v>
      </c>
      <c r="C4202">
        <v>0</v>
      </c>
      <c r="D4202">
        <v>0</v>
      </c>
      <c r="E4202">
        <v>0</v>
      </c>
      <c r="F4202">
        <v>0</v>
      </c>
      <c r="G4202">
        <v>4196.6282108202568</v>
      </c>
      <c r="H4202">
        <v>295468.12662672013</v>
      </c>
      <c r="I4202">
        <v>-407645.50672197231</v>
      </c>
      <c r="J4202">
        <v>0</v>
      </c>
      <c r="K4202">
        <v>1855.948340072272</v>
      </c>
      <c r="L4202">
        <v>0</v>
      </c>
      <c r="M4202">
        <v>0</v>
      </c>
      <c r="N4202">
        <v>0</v>
      </c>
      <c r="O4202">
        <v>-179.19645564033999</v>
      </c>
      <c r="P4202">
        <v>1597283</v>
      </c>
    </row>
    <row r="4203" spans="1:16" x14ac:dyDescent="0.25">
      <c r="A4203" s="10">
        <v>43854</v>
      </c>
      <c r="B4203">
        <v>81825</v>
      </c>
      <c r="C4203">
        <v>0</v>
      </c>
      <c r="D4203">
        <v>0</v>
      </c>
      <c r="E4203">
        <v>0</v>
      </c>
      <c r="F4203">
        <v>0</v>
      </c>
      <c r="G4203">
        <v>-331.68510326029372</v>
      </c>
      <c r="H4203">
        <v>-48432.166156430023</v>
      </c>
      <c r="I4203">
        <v>129670.8476612261</v>
      </c>
      <c r="J4203">
        <v>0</v>
      </c>
      <c r="K4203">
        <v>1292.939995164063</v>
      </c>
      <c r="L4203">
        <v>0</v>
      </c>
      <c r="M4203">
        <v>0</v>
      </c>
      <c r="N4203">
        <v>0</v>
      </c>
      <c r="O4203">
        <v>-374.93639669982082</v>
      </c>
      <c r="P4203">
        <v>1679108</v>
      </c>
    </row>
    <row r="4204" spans="1:16" x14ac:dyDescent="0.25">
      <c r="A4204" s="10">
        <v>43857</v>
      </c>
      <c r="B4204">
        <v>227655</v>
      </c>
      <c r="C4204">
        <v>-6919.5500000000029</v>
      </c>
      <c r="D4204">
        <v>0</v>
      </c>
      <c r="E4204">
        <v>0</v>
      </c>
      <c r="F4204">
        <v>0</v>
      </c>
      <c r="G4204">
        <v>314.19432516024091</v>
      </c>
      <c r="H4204">
        <v>55181.010050639998</v>
      </c>
      <c r="I4204">
        <v>177387.5491707809</v>
      </c>
      <c r="J4204">
        <v>0</v>
      </c>
      <c r="K4204">
        <v>2025.0308604389329</v>
      </c>
      <c r="L4204">
        <v>0</v>
      </c>
      <c r="M4204">
        <v>0</v>
      </c>
      <c r="N4204">
        <v>0</v>
      </c>
      <c r="O4204">
        <v>-333.23440702009248</v>
      </c>
      <c r="P4204">
        <v>1906763</v>
      </c>
    </row>
    <row r="4205" spans="1:16" x14ac:dyDescent="0.25">
      <c r="A4205" s="10">
        <v>43858</v>
      </c>
      <c r="B4205">
        <v>-115425</v>
      </c>
      <c r="C4205">
        <v>661.91</v>
      </c>
      <c r="D4205">
        <v>0</v>
      </c>
      <c r="E4205">
        <v>0</v>
      </c>
      <c r="F4205">
        <v>0</v>
      </c>
      <c r="G4205">
        <v>2903.5641605900928</v>
      </c>
      <c r="H4205">
        <v>25989.352640329998</v>
      </c>
      <c r="I4205">
        <v>-146388.08182585979</v>
      </c>
      <c r="J4205">
        <v>0</v>
      </c>
      <c r="K4205">
        <v>1448.6267552499701</v>
      </c>
      <c r="L4205">
        <v>0</v>
      </c>
      <c r="M4205">
        <v>0</v>
      </c>
      <c r="N4205">
        <v>0</v>
      </c>
      <c r="O4205">
        <v>-40.371730310216662</v>
      </c>
      <c r="P4205">
        <v>1791338</v>
      </c>
    </row>
    <row r="4206" spans="1:16" x14ac:dyDescent="0.25">
      <c r="A4206" s="10">
        <v>43859</v>
      </c>
      <c r="B4206">
        <v>-42009</v>
      </c>
      <c r="C4206">
        <v>481.84</v>
      </c>
      <c r="D4206">
        <v>0</v>
      </c>
      <c r="E4206">
        <v>0</v>
      </c>
      <c r="F4206">
        <v>0</v>
      </c>
      <c r="G4206">
        <v>-2218.7253324302692</v>
      </c>
      <c r="H4206">
        <v>-38896.468792609987</v>
      </c>
      <c r="I4206">
        <v>0</v>
      </c>
      <c r="J4206">
        <v>0</v>
      </c>
      <c r="K4206">
        <v>6.1346906900000846</v>
      </c>
      <c r="L4206">
        <v>0</v>
      </c>
      <c r="M4206">
        <v>0</v>
      </c>
      <c r="N4206">
        <v>0</v>
      </c>
      <c r="O4206">
        <v>-1381.7805656497369</v>
      </c>
      <c r="P4206">
        <v>1749329</v>
      </c>
    </row>
    <row r="4207" spans="1:16" x14ac:dyDescent="0.25">
      <c r="A4207" s="10">
        <v>43860</v>
      </c>
      <c r="B4207">
        <v>-51558</v>
      </c>
      <c r="C4207">
        <v>2741.3649999999998</v>
      </c>
      <c r="D4207">
        <v>0</v>
      </c>
      <c r="E4207">
        <v>0</v>
      </c>
      <c r="F4207">
        <v>0</v>
      </c>
      <c r="G4207">
        <v>-61.897851240028793</v>
      </c>
      <c r="H4207">
        <v>-2638.05502398</v>
      </c>
      <c r="I4207">
        <v>-54834.30858347821</v>
      </c>
      <c r="J4207">
        <v>0</v>
      </c>
      <c r="K4207">
        <v>2045.112009658284</v>
      </c>
      <c r="L4207">
        <v>0</v>
      </c>
      <c r="M4207">
        <v>0</v>
      </c>
      <c r="N4207">
        <v>0</v>
      </c>
      <c r="O4207">
        <v>1189.784449039958</v>
      </c>
      <c r="P4207">
        <v>1697771</v>
      </c>
    </row>
    <row r="4208" spans="1:16" x14ac:dyDescent="0.25">
      <c r="A4208" s="10">
        <v>43861</v>
      </c>
      <c r="B4208">
        <v>11100</v>
      </c>
      <c r="C4208">
        <v>-4423.6549999999997</v>
      </c>
      <c r="D4208">
        <v>0</v>
      </c>
      <c r="E4208">
        <v>0</v>
      </c>
      <c r="F4208">
        <v>0</v>
      </c>
      <c r="G4208">
        <v>597.37991006020115</v>
      </c>
      <c r="H4208">
        <v>14419.27605977</v>
      </c>
      <c r="I4208">
        <v>0</v>
      </c>
      <c r="J4208">
        <v>0</v>
      </c>
      <c r="K4208">
        <v>34.589401720000247</v>
      </c>
      <c r="L4208">
        <v>0</v>
      </c>
      <c r="M4208">
        <v>0</v>
      </c>
      <c r="N4208">
        <v>0</v>
      </c>
      <c r="O4208">
        <v>472.40962844979367</v>
      </c>
      <c r="P4208">
        <v>1708871</v>
      </c>
    </row>
    <row r="4209" spans="1:16" x14ac:dyDescent="0.25">
      <c r="A4209" s="10">
        <v>43864</v>
      </c>
      <c r="B4209">
        <v>34881</v>
      </c>
      <c r="C4209">
        <v>-151.17500000000001</v>
      </c>
      <c r="D4209">
        <v>0</v>
      </c>
      <c r="E4209">
        <v>0</v>
      </c>
      <c r="F4209">
        <v>0</v>
      </c>
      <c r="G4209">
        <v>5230.2812375199974</v>
      </c>
      <c r="H4209">
        <v>30491.444707360009</v>
      </c>
      <c r="I4209">
        <v>0</v>
      </c>
      <c r="J4209">
        <v>0</v>
      </c>
      <c r="K4209">
        <v>67.579965790000017</v>
      </c>
      <c r="L4209">
        <v>0</v>
      </c>
      <c r="M4209">
        <v>0</v>
      </c>
      <c r="N4209">
        <v>0</v>
      </c>
      <c r="O4209">
        <v>-757.13091066999914</v>
      </c>
      <c r="P4209">
        <v>1743752</v>
      </c>
    </row>
    <row r="4210" spans="1:16" x14ac:dyDescent="0.25">
      <c r="A4210" s="10">
        <v>43865</v>
      </c>
      <c r="B4210">
        <v>69867</v>
      </c>
      <c r="C4210">
        <v>-16718.501800000009</v>
      </c>
      <c r="D4210">
        <v>0</v>
      </c>
      <c r="E4210">
        <v>0</v>
      </c>
      <c r="F4210">
        <v>0</v>
      </c>
      <c r="G4210">
        <v>-80.706122969999953</v>
      </c>
      <c r="H4210">
        <v>1044.0562753700001</v>
      </c>
      <c r="I4210">
        <v>74914.816860330058</v>
      </c>
      <c r="J4210">
        <v>0</v>
      </c>
      <c r="K4210">
        <v>10350.82464257</v>
      </c>
      <c r="L4210">
        <v>0</v>
      </c>
      <c r="M4210">
        <v>0</v>
      </c>
      <c r="N4210">
        <v>0</v>
      </c>
      <c r="O4210">
        <v>356.51014469994698</v>
      </c>
      <c r="P4210">
        <v>1813619</v>
      </c>
    </row>
    <row r="4211" spans="1:16" x14ac:dyDescent="0.25">
      <c r="A4211" s="10">
        <v>43866</v>
      </c>
      <c r="B4211">
        <v>298</v>
      </c>
      <c r="C4211">
        <v>-1399.6289999999999</v>
      </c>
      <c r="D4211">
        <v>0</v>
      </c>
      <c r="E4211">
        <v>0</v>
      </c>
      <c r="F4211">
        <v>0</v>
      </c>
      <c r="G4211">
        <v>1535.7606001900001</v>
      </c>
      <c r="H4211">
        <v>111.70035112000009</v>
      </c>
      <c r="I4211">
        <v>0</v>
      </c>
      <c r="J4211">
        <v>0</v>
      </c>
      <c r="K4211">
        <v>-1.24707882</v>
      </c>
      <c r="L4211">
        <v>0</v>
      </c>
      <c r="M4211">
        <v>0</v>
      </c>
      <c r="N4211">
        <v>0</v>
      </c>
      <c r="O4211">
        <v>51.415127509999991</v>
      </c>
      <c r="P4211">
        <v>1813917</v>
      </c>
    </row>
    <row r="4212" spans="1:16" x14ac:dyDescent="0.25">
      <c r="A4212" s="10">
        <v>43867</v>
      </c>
      <c r="B4212">
        <v>73308</v>
      </c>
      <c r="C4212">
        <v>606.86500000000001</v>
      </c>
      <c r="D4212">
        <v>0</v>
      </c>
      <c r="E4212">
        <v>0</v>
      </c>
      <c r="F4212">
        <v>0</v>
      </c>
      <c r="G4212">
        <v>65.930961310001294</v>
      </c>
      <c r="H4212">
        <v>634.0797004799997</v>
      </c>
      <c r="I4212">
        <v>65430.934112800052</v>
      </c>
      <c r="J4212">
        <v>0</v>
      </c>
      <c r="K4212">
        <v>6592.7817983800014</v>
      </c>
      <c r="L4212">
        <v>0</v>
      </c>
      <c r="M4212">
        <v>0</v>
      </c>
      <c r="N4212">
        <v>0</v>
      </c>
      <c r="O4212">
        <v>-22.59157297006459</v>
      </c>
      <c r="P4212">
        <v>1887225</v>
      </c>
    </row>
    <row r="4213" spans="1:16" x14ac:dyDescent="0.25">
      <c r="A4213" s="10">
        <v>43868</v>
      </c>
      <c r="B4213">
        <v>14806</v>
      </c>
      <c r="C4213">
        <v>-121.56</v>
      </c>
      <c r="D4213">
        <v>0</v>
      </c>
      <c r="E4213">
        <v>20000</v>
      </c>
      <c r="F4213">
        <v>0</v>
      </c>
      <c r="G4213">
        <v>-5646.57416921</v>
      </c>
      <c r="H4213">
        <v>1061.5592997399999</v>
      </c>
      <c r="I4213">
        <v>0</v>
      </c>
      <c r="J4213">
        <v>0</v>
      </c>
      <c r="K4213">
        <v>6.8071599799999998</v>
      </c>
      <c r="L4213">
        <v>0</v>
      </c>
      <c r="M4213">
        <v>0</v>
      </c>
      <c r="N4213">
        <v>0</v>
      </c>
      <c r="O4213">
        <v>-494.23229050999907</v>
      </c>
      <c r="P4213">
        <v>1902031</v>
      </c>
    </row>
    <row r="4214" spans="1:16" x14ac:dyDescent="0.25">
      <c r="A4214" s="10">
        <v>43871</v>
      </c>
      <c r="B4214">
        <v>4626</v>
      </c>
      <c r="C4214">
        <v>-3.5000000000309228E-3</v>
      </c>
      <c r="D4214">
        <v>0</v>
      </c>
      <c r="E4214">
        <v>0</v>
      </c>
      <c r="F4214">
        <v>0</v>
      </c>
      <c r="G4214">
        <v>4771.6829279799986</v>
      </c>
      <c r="H4214">
        <v>-1281.36602468</v>
      </c>
      <c r="I4214">
        <v>0</v>
      </c>
      <c r="J4214">
        <v>-0.3000000000001819</v>
      </c>
      <c r="K4214">
        <v>3.7005230500000001</v>
      </c>
      <c r="L4214">
        <v>0</v>
      </c>
      <c r="M4214">
        <v>0</v>
      </c>
      <c r="N4214">
        <v>0</v>
      </c>
      <c r="O4214">
        <v>1132.2860736500011</v>
      </c>
      <c r="P4214">
        <v>1906657</v>
      </c>
    </row>
    <row r="4215" spans="1:16" x14ac:dyDescent="0.25">
      <c r="A4215" s="10">
        <v>43872</v>
      </c>
      <c r="B4215">
        <v>24089</v>
      </c>
      <c r="C4215">
        <v>-916.80499999999984</v>
      </c>
      <c r="D4215">
        <v>0</v>
      </c>
      <c r="E4215">
        <v>0</v>
      </c>
      <c r="F4215">
        <v>0</v>
      </c>
      <c r="G4215">
        <v>-156.28205188000001</v>
      </c>
      <c r="H4215">
        <v>144.6227694200002</v>
      </c>
      <c r="I4215">
        <v>22183.998335879991</v>
      </c>
      <c r="J4215">
        <v>0</v>
      </c>
      <c r="K4215">
        <v>2825.2461365600088</v>
      </c>
      <c r="L4215">
        <v>0</v>
      </c>
      <c r="M4215">
        <v>0</v>
      </c>
      <c r="N4215">
        <v>0</v>
      </c>
      <c r="O4215">
        <v>8.2198100199966575</v>
      </c>
      <c r="P4215">
        <v>1930746</v>
      </c>
    </row>
    <row r="4216" spans="1:16" x14ac:dyDescent="0.25">
      <c r="A4216" s="10">
        <v>43873</v>
      </c>
      <c r="B4216">
        <v>-2484</v>
      </c>
      <c r="C4216">
        <v>-2755.377</v>
      </c>
      <c r="D4216">
        <v>0</v>
      </c>
      <c r="E4216">
        <v>0</v>
      </c>
      <c r="F4216">
        <v>0</v>
      </c>
      <c r="G4216">
        <v>67.118114610000021</v>
      </c>
      <c r="H4216">
        <v>219.50639099</v>
      </c>
      <c r="I4216">
        <v>0</v>
      </c>
      <c r="J4216">
        <v>0</v>
      </c>
      <c r="K4216">
        <v>1.078322340000001</v>
      </c>
      <c r="L4216">
        <v>0</v>
      </c>
      <c r="M4216">
        <v>0</v>
      </c>
      <c r="N4216">
        <v>0</v>
      </c>
      <c r="O4216">
        <v>-16.325827939999272</v>
      </c>
      <c r="P4216">
        <v>1928262</v>
      </c>
    </row>
    <row r="4217" spans="1:16" x14ac:dyDescent="0.25">
      <c r="A4217" s="10">
        <v>43874</v>
      </c>
      <c r="B4217">
        <v>29126</v>
      </c>
      <c r="C4217">
        <v>736.64300000000003</v>
      </c>
      <c r="D4217">
        <v>0</v>
      </c>
      <c r="E4217">
        <v>27000</v>
      </c>
      <c r="F4217">
        <v>0</v>
      </c>
      <c r="G4217">
        <v>-9097.8952152300008</v>
      </c>
      <c r="H4217">
        <v>988.99009961000002</v>
      </c>
      <c r="I4217">
        <v>5748.1192575399764</v>
      </c>
      <c r="J4217">
        <v>0</v>
      </c>
      <c r="K4217">
        <v>3009.51029311001</v>
      </c>
      <c r="L4217">
        <v>0</v>
      </c>
      <c r="M4217">
        <v>0</v>
      </c>
      <c r="N4217">
        <v>0</v>
      </c>
      <c r="O4217">
        <v>740.63256497001566</v>
      </c>
      <c r="P4217">
        <v>1957388</v>
      </c>
    </row>
    <row r="4218" spans="1:16" x14ac:dyDescent="0.25">
      <c r="A4218" s="10">
        <v>43875</v>
      </c>
      <c r="B4218">
        <v>-2423</v>
      </c>
      <c r="C4218">
        <v>1536.3495</v>
      </c>
      <c r="D4218">
        <v>0</v>
      </c>
      <c r="E4218">
        <v>0</v>
      </c>
      <c r="F4218">
        <v>0</v>
      </c>
      <c r="G4218">
        <v>-965.1451072499998</v>
      </c>
      <c r="H4218">
        <v>-2986.980247349999</v>
      </c>
      <c r="I4218">
        <v>0</v>
      </c>
      <c r="J4218">
        <v>0</v>
      </c>
      <c r="K4218">
        <v>6.2892715199999998</v>
      </c>
      <c r="L4218">
        <v>0</v>
      </c>
      <c r="M4218">
        <v>0</v>
      </c>
      <c r="N4218">
        <v>0</v>
      </c>
      <c r="O4218">
        <v>-13.513416920000511</v>
      </c>
      <c r="P4218">
        <v>1954965</v>
      </c>
    </row>
    <row r="4219" spans="1:16" x14ac:dyDescent="0.25">
      <c r="A4219" s="10">
        <v>43878</v>
      </c>
      <c r="B4219">
        <v>11213</v>
      </c>
      <c r="C4219">
        <v>30.8</v>
      </c>
      <c r="D4219">
        <v>0</v>
      </c>
      <c r="E4219">
        <v>0</v>
      </c>
      <c r="F4219">
        <v>0</v>
      </c>
      <c r="G4219">
        <v>8284.5984731799999</v>
      </c>
      <c r="H4219">
        <v>3320.54311138</v>
      </c>
      <c r="I4219">
        <v>0</v>
      </c>
      <c r="J4219">
        <v>0</v>
      </c>
      <c r="K4219">
        <v>12.89960642</v>
      </c>
      <c r="L4219">
        <v>0</v>
      </c>
      <c r="M4219">
        <v>0</v>
      </c>
      <c r="N4219">
        <v>0</v>
      </c>
      <c r="O4219">
        <v>-435.84119097999968</v>
      </c>
      <c r="P4219">
        <v>1966178</v>
      </c>
    </row>
    <row r="4220" spans="1:16" x14ac:dyDescent="0.25">
      <c r="A4220" s="10">
        <v>43879</v>
      </c>
      <c r="B4220">
        <v>-24876</v>
      </c>
      <c r="C4220">
        <v>-1449.792000000002</v>
      </c>
      <c r="D4220">
        <v>0</v>
      </c>
      <c r="E4220">
        <v>0</v>
      </c>
      <c r="F4220">
        <v>0</v>
      </c>
      <c r="G4220">
        <v>472.39665810000008</v>
      </c>
      <c r="H4220">
        <v>-1722.35075523</v>
      </c>
      <c r="I4220">
        <v>-26336.790974109899</v>
      </c>
      <c r="J4220">
        <v>0</v>
      </c>
      <c r="K4220">
        <v>4252.2923632400052</v>
      </c>
      <c r="L4220">
        <v>0</v>
      </c>
      <c r="M4220">
        <v>0</v>
      </c>
      <c r="N4220">
        <v>0</v>
      </c>
      <c r="O4220">
        <v>-91.755292000103509</v>
      </c>
      <c r="P4220">
        <v>1941302</v>
      </c>
    </row>
    <row r="4221" spans="1:16" x14ac:dyDescent="0.25">
      <c r="A4221" s="10">
        <v>43880</v>
      </c>
      <c r="B4221">
        <v>602</v>
      </c>
      <c r="C4221">
        <v>-679.2</v>
      </c>
      <c r="D4221">
        <v>0</v>
      </c>
      <c r="E4221">
        <v>0</v>
      </c>
      <c r="F4221">
        <v>0</v>
      </c>
      <c r="G4221">
        <v>-54.379798040000203</v>
      </c>
      <c r="H4221">
        <v>1235.4889154699999</v>
      </c>
      <c r="I4221">
        <v>0</v>
      </c>
      <c r="J4221">
        <v>0</v>
      </c>
      <c r="K4221">
        <v>3.6392741399999999</v>
      </c>
      <c r="L4221">
        <v>0</v>
      </c>
      <c r="M4221">
        <v>0</v>
      </c>
      <c r="N4221">
        <v>0</v>
      </c>
      <c r="O4221">
        <v>96.451608430000306</v>
      </c>
      <c r="P4221">
        <v>1941904</v>
      </c>
    </row>
    <row r="4222" spans="1:16" x14ac:dyDescent="0.25">
      <c r="A4222" s="10">
        <v>43881</v>
      </c>
      <c r="B4222">
        <v>-53929</v>
      </c>
      <c r="C4222">
        <v>741.5</v>
      </c>
      <c r="D4222">
        <v>0</v>
      </c>
      <c r="E4222">
        <v>60000</v>
      </c>
      <c r="F4222">
        <v>0</v>
      </c>
      <c r="G4222">
        <v>-29895.54888454</v>
      </c>
      <c r="H4222">
        <v>-1491.75951465</v>
      </c>
      <c r="I4222">
        <v>-86343.249028640101</v>
      </c>
      <c r="J4222">
        <v>0</v>
      </c>
      <c r="K4222">
        <v>3098.6576377500041</v>
      </c>
      <c r="L4222">
        <v>0</v>
      </c>
      <c r="M4222">
        <v>0</v>
      </c>
      <c r="N4222">
        <v>0</v>
      </c>
      <c r="O4222">
        <v>-38.60020991989586</v>
      </c>
      <c r="P4222">
        <v>1887975</v>
      </c>
    </row>
    <row r="4223" spans="1:16" x14ac:dyDescent="0.25">
      <c r="A4223" s="10">
        <v>43882</v>
      </c>
      <c r="B4223">
        <v>-32498</v>
      </c>
      <c r="C4223">
        <v>3190.9</v>
      </c>
      <c r="D4223">
        <v>0</v>
      </c>
      <c r="E4223">
        <v>0</v>
      </c>
      <c r="F4223">
        <v>0</v>
      </c>
      <c r="G4223">
        <v>17.64262840999999</v>
      </c>
      <c r="H4223">
        <v>-36358.356200450013</v>
      </c>
      <c r="I4223">
        <v>0</v>
      </c>
      <c r="J4223">
        <v>0</v>
      </c>
      <c r="K4223">
        <v>2.3654635000000002</v>
      </c>
      <c r="L4223">
        <v>0</v>
      </c>
      <c r="M4223">
        <v>0</v>
      </c>
      <c r="N4223">
        <v>0</v>
      </c>
      <c r="O4223">
        <v>649.44810854000389</v>
      </c>
      <c r="P4223">
        <v>1855477</v>
      </c>
    </row>
    <row r="4224" spans="1:16" x14ac:dyDescent="0.25">
      <c r="A4224" s="10">
        <v>43887</v>
      </c>
      <c r="B4224">
        <v>-48435</v>
      </c>
      <c r="C4224">
        <v>-1086.576</v>
      </c>
      <c r="D4224">
        <v>0</v>
      </c>
      <c r="E4224">
        <v>0</v>
      </c>
      <c r="F4224">
        <v>0</v>
      </c>
      <c r="G4224">
        <v>19601.025637729999</v>
      </c>
      <c r="H4224">
        <v>-1931.688959389998</v>
      </c>
      <c r="I4224">
        <v>-69261.043373838766</v>
      </c>
      <c r="J4224">
        <v>0</v>
      </c>
      <c r="K4224">
        <v>4002.3510941287091</v>
      </c>
      <c r="L4224">
        <v>0</v>
      </c>
      <c r="M4224">
        <v>0</v>
      </c>
      <c r="N4224">
        <v>0</v>
      </c>
      <c r="O4224">
        <v>240.9316013700591</v>
      </c>
      <c r="P4224">
        <v>1807042</v>
      </c>
    </row>
    <row r="4225" spans="1:16" x14ac:dyDescent="0.25">
      <c r="A4225" s="10">
        <v>43888</v>
      </c>
      <c r="B4225">
        <v>-90683</v>
      </c>
      <c r="C4225">
        <v>3697.2</v>
      </c>
      <c r="D4225">
        <v>0</v>
      </c>
      <c r="E4225">
        <v>0</v>
      </c>
      <c r="F4225">
        <v>0</v>
      </c>
      <c r="G4225">
        <v>-788.05353779999996</v>
      </c>
      <c r="H4225">
        <v>-14923.60240161</v>
      </c>
      <c r="I4225">
        <v>-80491.451369043905</v>
      </c>
      <c r="J4225">
        <v>0</v>
      </c>
      <c r="K4225">
        <v>1739.21528717408</v>
      </c>
      <c r="L4225">
        <v>0</v>
      </c>
      <c r="M4225">
        <v>0</v>
      </c>
      <c r="N4225">
        <v>0</v>
      </c>
      <c r="O4225">
        <v>83.692021279828623</v>
      </c>
      <c r="P4225">
        <v>1716359</v>
      </c>
    </row>
    <row r="4226" spans="1:16" x14ac:dyDescent="0.25">
      <c r="A4226" s="10">
        <v>43889</v>
      </c>
      <c r="B4226">
        <v>-225</v>
      </c>
      <c r="C4226">
        <v>-908.31079999999929</v>
      </c>
      <c r="D4226">
        <v>0</v>
      </c>
      <c r="E4226">
        <v>0</v>
      </c>
      <c r="F4226">
        <v>0</v>
      </c>
      <c r="G4226">
        <v>10442.69928058</v>
      </c>
      <c r="H4226">
        <v>-9671.4071021199998</v>
      </c>
      <c r="I4226">
        <v>0</v>
      </c>
      <c r="J4226">
        <v>0</v>
      </c>
      <c r="K4226">
        <v>31.523626540000009</v>
      </c>
      <c r="L4226">
        <v>0</v>
      </c>
      <c r="M4226">
        <v>0</v>
      </c>
      <c r="N4226">
        <v>0</v>
      </c>
      <c r="O4226">
        <v>-119.5050049999992</v>
      </c>
      <c r="P4226">
        <v>1716134</v>
      </c>
    </row>
    <row r="4227" spans="1:16" x14ac:dyDescent="0.25">
      <c r="A4227" s="10">
        <v>43892</v>
      </c>
      <c r="B4227">
        <v>97980</v>
      </c>
      <c r="C4227">
        <v>6210.1</v>
      </c>
      <c r="D4227">
        <v>0</v>
      </c>
      <c r="E4227">
        <v>75000</v>
      </c>
      <c r="F4227">
        <v>0</v>
      </c>
      <c r="G4227">
        <v>-45429.441219829991</v>
      </c>
      <c r="H4227">
        <v>63555.266963360009</v>
      </c>
      <c r="I4227">
        <v>0</v>
      </c>
      <c r="J4227">
        <v>0</v>
      </c>
      <c r="K4227">
        <v>110.46908310000001</v>
      </c>
      <c r="L4227">
        <v>0</v>
      </c>
      <c r="M4227">
        <v>0</v>
      </c>
      <c r="N4227">
        <v>0</v>
      </c>
      <c r="O4227">
        <v>-1466.394826630029</v>
      </c>
      <c r="P4227">
        <v>1814114</v>
      </c>
    </row>
    <row r="4228" spans="1:16" x14ac:dyDescent="0.25">
      <c r="A4228" s="10">
        <v>43893</v>
      </c>
      <c r="B4228">
        <v>-75625</v>
      </c>
      <c r="C4228">
        <v>10754.2</v>
      </c>
      <c r="D4228">
        <v>0</v>
      </c>
      <c r="E4228">
        <v>0</v>
      </c>
      <c r="F4228">
        <v>0</v>
      </c>
      <c r="G4228">
        <v>8272.1054513399995</v>
      </c>
      <c r="H4228">
        <v>218.92639983000029</v>
      </c>
      <c r="I4228">
        <v>-106354.11498651491</v>
      </c>
      <c r="J4228">
        <v>0</v>
      </c>
      <c r="K4228">
        <v>12162.39206636474</v>
      </c>
      <c r="L4228">
        <v>0</v>
      </c>
      <c r="M4228">
        <v>0</v>
      </c>
      <c r="N4228">
        <v>0</v>
      </c>
      <c r="O4228">
        <v>-678.5089310198382</v>
      </c>
      <c r="P4228">
        <v>1738489</v>
      </c>
    </row>
    <row r="4229" spans="1:16" x14ac:dyDescent="0.25">
      <c r="A4229" s="10">
        <v>43894</v>
      </c>
      <c r="B4229">
        <v>-34936</v>
      </c>
      <c r="C4229">
        <v>-486.4</v>
      </c>
      <c r="D4229">
        <v>0</v>
      </c>
      <c r="E4229">
        <v>0</v>
      </c>
      <c r="F4229">
        <v>0</v>
      </c>
      <c r="G4229">
        <v>-38435.357390550002</v>
      </c>
      <c r="H4229">
        <v>1966.51931984</v>
      </c>
      <c r="I4229">
        <v>0</v>
      </c>
      <c r="J4229">
        <v>0</v>
      </c>
      <c r="K4229">
        <v>1.8782642000000001</v>
      </c>
      <c r="L4229">
        <v>0</v>
      </c>
      <c r="M4229">
        <v>0</v>
      </c>
      <c r="N4229">
        <v>0</v>
      </c>
      <c r="O4229">
        <v>2017.3598065100009</v>
      </c>
      <c r="P4229">
        <v>1703553</v>
      </c>
    </row>
    <row r="4230" spans="1:16" x14ac:dyDescent="0.25">
      <c r="A4230" s="10">
        <v>43895</v>
      </c>
      <c r="B4230">
        <v>-94</v>
      </c>
      <c r="C4230">
        <v>1248.4000000000001</v>
      </c>
      <c r="D4230">
        <v>0</v>
      </c>
      <c r="E4230">
        <v>0</v>
      </c>
      <c r="F4230">
        <v>0</v>
      </c>
      <c r="G4230">
        <v>104.71636691</v>
      </c>
      <c r="H4230">
        <v>-191.23279861999981</v>
      </c>
      <c r="I4230">
        <v>-9112.6035071478691</v>
      </c>
      <c r="J4230">
        <v>0</v>
      </c>
      <c r="K4230">
        <v>7948.8453021479536</v>
      </c>
      <c r="L4230">
        <v>0</v>
      </c>
      <c r="M4230">
        <v>0</v>
      </c>
      <c r="N4230">
        <v>0</v>
      </c>
      <c r="O4230">
        <v>-92.125363290083442</v>
      </c>
      <c r="P4230">
        <v>1703459</v>
      </c>
    </row>
    <row r="4231" spans="1:16" x14ac:dyDescent="0.25">
      <c r="A4231" s="10">
        <v>43896</v>
      </c>
      <c r="B4231">
        <v>16871</v>
      </c>
      <c r="C4231">
        <v>574.79999999999995</v>
      </c>
      <c r="D4231">
        <v>0</v>
      </c>
      <c r="E4231">
        <v>0</v>
      </c>
      <c r="F4231">
        <v>0</v>
      </c>
      <c r="G4231">
        <v>15899.334585480001</v>
      </c>
      <c r="H4231">
        <v>619.97356033000005</v>
      </c>
      <c r="I4231">
        <v>0</v>
      </c>
      <c r="J4231">
        <v>0</v>
      </c>
      <c r="K4231">
        <v>0.90550447000000012</v>
      </c>
      <c r="L4231">
        <v>0</v>
      </c>
      <c r="M4231">
        <v>0</v>
      </c>
      <c r="N4231">
        <v>0</v>
      </c>
      <c r="O4231">
        <v>-224.01365027999779</v>
      </c>
      <c r="P4231">
        <v>1720330</v>
      </c>
    </row>
    <row r="4232" spans="1:16" x14ac:dyDescent="0.25">
      <c r="A4232" s="10">
        <v>43899</v>
      </c>
      <c r="B4232">
        <v>6914</v>
      </c>
      <c r="C4232">
        <v>-4814.8</v>
      </c>
      <c r="D4232">
        <v>0</v>
      </c>
      <c r="E4232">
        <v>0</v>
      </c>
      <c r="F4232">
        <v>0</v>
      </c>
      <c r="G4232">
        <v>12122.184308940001</v>
      </c>
      <c r="H4232">
        <v>-433.81256005</v>
      </c>
      <c r="I4232">
        <v>0</v>
      </c>
      <c r="J4232">
        <v>-0.1999999999998181</v>
      </c>
      <c r="K4232">
        <v>1.3684235899999999</v>
      </c>
      <c r="L4232">
        <v>0</v>
      </c>
      <c r="M4232">
        <v>0</v>
      </c>
      <c r="N4232">
        <v>0</v>
      </c>
      <c r="O4232">
        <v>39.259827520000727</v>
      </c>
      <c r="P4232">
        <v>1727244</v>
      </c>
    </row>
    <row r="4233" spans="1:16" x14ac:dyDescent="0.25">
      <c r="A4233" s="10">
        <v>43900</v>
      </c>
      <c r="B4233">
        <v>59371</v>
      </c>
      <c r="C4233">
        <v>325.46800000000002</v>
      </c>
      <c r="D4233">
        <v>0</v>
      </c>
      <c r="E4233">
        <v>0</v>
      </c>
      <c r="F4233">
        <v>0</v>
      </c>
      <c r="G4233">
        <v>-59.344273680000008</v>
      </c>
      <c r="H4233">
        <v>738.54721954999991</v>
      </c>
      <c r="I4233">
        <v>53909.023239679867</v>
      </c>
      <c r="J4233">
        <v>0</v>
      </c>
      <c r="K4233">
        <v>4603.1407456499992</v>
      </c>
      <c r="L4233">
        <v>0</v>
      </c>
      <c r="M4233">
        <v>0</v>
      </c>
      <c r="N4233">
        <v>0</v>
      </c>
      <c r="O4233">
        <v>-145.83493119986821</v>
      </c>
      <c r="P4233">
        <v>1786615</v>
      </c>
    </row>
    <row r="4234" spans="1:16" x14ac:dyDescent="0.25">
      <c r="A4234" s="10">
        <v>43901</v>
      </c>
      <c r="B4234">
        <v>17652</v>
      </c>
      <c r="C4234">
        <v>595.4</v>
      </c>
      <c r="D4234">
        <v>0</v>
      </c>
      <c r="E4234">
        <v>0</v>
      </c>
      <c r="F4234">
        <v>0</v>
      </c>
      <c r="G4234">
        <v>17147.683516149998</v>
      </c>
      <c r="H4234">
        <v>-702.91692000000012</v>
      </c>
      <c r="I4234">
        <v>0</v>
      </c>
      <c r="J4234">
        <v>0</v>
      </c>
      <c r="K4234">
        <v>0.30309943</v>
      </c>
      <c r="L4234">
        <v>0</v>
      </c>
      <c r="M4234">
        <v>0</v>
      </c>
      <c r="N4234">
        <v>0</v>
      </c>
      <c r="O4234">
        <v>611.53030441999726</v>
      </c>
      <c r="P4234">
        <v>1804267</v>
      </c>
    </row>
    <row r="4235" spans="1:16" x14ac:dyDescent="0.25">
      <c r="A4235" s="10">
        <v>43902</v>
      </c>
      <c r="B4235">
        <v>55389</v>
      </c>
      <c r="C4235">
        <v>-4127.2759999999989</v>
      </c>
      <c r="D4235">
        <v>0</v>
      </c>
      <c r="E4235">
        <v>0</v>
      </c>
      <c r="F4235">
        <v>0</v>
      </c>
      <c r="G4235">
        <v>158.9808924700001</v>
      </c>
      <c r="H4235">
        <v>-150.58507989000009</v>
      </c>
      <c r="I4235">
        <v>53975.23214242002</v>
      </c>
      <c r="J4235">
        <v>0</v>
      </c>
      <c r="K4235">
        <v>5569.5847825399878</v>
      </c>
      <c r="L4235">
        <v>0</v>
      </c>
      <c r="M4235">
        <v>0</v>
      </c>
      <c r="N4235">
        <v>0</v>
      </c>
      <c r="O4235">
        <v>-36.936737540010647</v>
      </c>
      <c r="P4235">
        <v>1859656</v>
      </c>
    </row>
    <row r="4236" spans="1:16" x14ac:dyDescent="0.25">
      <c r="A4236" s="10">
        <v>43903</v>
      </c>
      <c r="B4236">
        <v>-3448</v>
      </c>
      <c r="C4236">
        <v>-6334</v>
      </c>
      <c r="D4236">
        <v>0</v>
      </c>
      <c r="E4236">
        <v>0</v>
      </c>
      <c r="F4236">
        <v>0</v>
      </c>
      <c r="G4236">
        <v>2736.9056706000019</v>
      </c>
      <c r="H4236">
        <v>77.137919470000043</v>
      </c>
      <c r="I4236">
        <v>0</v>
      </c>
      <c r="J4236">
        <v>0</v>
      </c>
      <c r="K4236">
        <v>0.65853039000000002</v>
      </c>
      <c r="L4236">
        <v>0</v>
      </c>
      <c r="M4236">
        <v>0</v>
      </c>
      <c r="N4236">
        <v>0</v>
      </c>
      <c r="O4236">
        <v>71.297879539997666</v>
      </c>
      <c r="P4236">
        <v>1856208</v>
      </c>
    </row>
    <row r="4237" spans="1:16" x14ac:dyDescent="0.25">
      <c r="A4237" s="10">
        <v>43906</v>
      </c>
      <c r="B4237">
        <v>714</v>
      </c>
      <c r="C4237">
        <v>50.4</v>
      </c>
      <c r="D4237">
        <v>0</v>
      </c>
      <c r="E4237">
        <v>0</v>
      </c>
      <c r="F4237">
        <v>0</v>
      </c>
      <c r="G4237">
        <v>464.78708684999998</v>
      </c>
      <c r="H4237">
        <v>263.68471965999993</v>
      </c>
      <c r="I4237">
        <v>0</v>
      </c>
      <c r="J4237">
        <v>0</v>
      </c>
      <c r="K4237">
        <v>1.87922162</v>
      </c>
      <c r="L4237">
        <v>0</v>
      </c>
      <c r="M4237">
        <v>0</v>
      </c>
      <c r="N4237">
        <v>0</v>
      </c>
      <c r="O4237">
        <v>-66.751028129999895</v>
      </c>
      <c r="P4237">
        <v>1856922</v>
      </c>
    </row>
    <row r="4238" spans="1:16" x14ac:dyDescent="0.25">
      <c r="A4238" s="10">
        <v>43907</v>
      </c>
      <c r="B4238">
        <v>61170</v>
      </c>
      <c r="C4238">
        <v>-2047.0482999999999</v>
      </c>
      <c r="D4238">
        <v>0</v>
      </c>
      <c r="E4238">
        <v>0</v>
      </c>
      <c r="F4238">
        <v>0</v>
      </c>
      <c r="G4238">
        <v>260.71621593999998</v>
      </c>
      <c r="H4238">
        <v>-369.11608025999999</v>
      </c>
      <c r="I4238">
        <v>57521.758799999952</v>
      </c>
      <c r="J4238">
        <v>0</v>
      </c>
      <c r="K4238">
        <v>5877.7577987899886</v>
      </c>
      <c r="L4238">
        <v>0</v>
      </c>
      <c r="M4238">
        <v>0</v>
      </c>
      <c r="N4238">
        <v>0</v>
      </c>
      <c r="O4238">
        <v>-74.068434469940257</v>
      </c>
      <c r="P4238">
        <v>1918092</v>
      </c>
    </row>
    <row r="4239" spans="1:16" x14ac:dyDescent="0.25">
      <c r="A4239" s="10">
        <v>43908</v>
      </c>
      <c r="B4239">
        <v>1897</v>
      </c>
      <c r="C4239">
        <v>-6871.3</v>
      </c>
      <c r="D4239">
        <v>0</v>
      </c>
      <c r="E4239">
        <v>0</v>
      </c>
      <c r="F4239">
        <v>0</v>
      </c>
      <c r="G4239">
        <v>8670.7638214899998</v>
      </c>
      <c r="H4239">
        <v>6.8286399300002358</v>
      </c>
      <c r="I4239">
        <v>0</v>
      </c>
      <c r="J4239">
        <v>0</v>
      </c>
      <c r="K4239">
        <v>0.67031286000000012</v>
      </c>
      <c r="L4239">
        <v>0</v>
      </c>
      <c r="M4239">
        <v>0</v>
      </c>
      <c r="N4239">
        <v>0</v>
      </c>
      <c r="O4239">
        <v>90.037225720000833</v>
      </c>
      <c r="P4239">
        <v>1919989</v>
      </c>
    </row>
    <row r="4240" spans="1:16" x14ac:dyDescent="0.25">
      <c r="A4240" s="10">
        <v>43909</v>
      </c>
      <c r="B4240">
        <v>105402</v>
      </c>
      <c r="C4240">
        <v>-643.44674999999984</v>
      </c>
      <c r="D4240">
        <v>0</v>
      </c>
      <c r="E4240">
        <v>50000</v>
      </c>
      <c r="F4240">
        <v>0</v>
      </c>
      <c r="G4240">
        <v>-28795.80051633</v>
      </c>
      <c r="H4240">
        <v>-1528.60755887</v>
      </c>
      <c r="I4240">
        <v>80123.265924019972</v>
      </c>
      <c r="J4240">
        <v>0</v>
      </c>
      <c r="K4240">
        <v>5954.9474691799887</v>
      </c>
      <c r="L4240">
        <v>0</v>
      </c>
      <c r="M4240">
        <v>0</v>
      </c>
      <c r="N4240">
        <v>0</v>
      </c>
      <c r="O4240">
        <v>291.64143200004759</v>
      </c>
      <c r="P4240">
        <v>2025391</v>
      </c>
    </row>
    <row r="4241" spans="1:16" x14ac:dyDescent="0.25">
      <c r="A4241" s="10">
        <v>43910</v>
      </c>
      <c r="B4241">
        <v>-992</v>
      </c>
      <c r="C4241">
        <v>-3284.163</v>
      </c>
      <c r="D4241">
        <v>0</v>
      </c>
      <c r="E4241">
        <v>0</v>
      </c>
      <c r="F4241">
        <v>0</v>
      </c>
      <c r="G4241">
        <v>-289.56046382999921</v>
      </c>
      <c r="H4241">
        <v>2404.98004068</v>
      </c>
      <c r="I4241">
        <v>0</v>
      </c>
      <c r="J4241">
        <v>0</v>
      </c>
      <c r="K4241">
        <v>1.30403998</v>
      </c>
      <c r="L4241">
        <v>0</v>
      </c>
      <c r="M4241">
        <v>0</v>
      </c>
      <c r="N4241">
        <v>0</v>
      </c>
      <c r="O4241">
        <v>175.43938316999919</v>
      </c>
      <c r="P4241">
        <v>2024399</v>
      </c>
    </row>
    <row r="4242" spans="1:16" x14ac:dyDescent="0.25">
      <c r="A4242" s="10">
        <v>43915</v>
      </c>
      <c r="B4242">
        <v>181489</v>
      </c>
      <c r="C4242">
        <v>6084.6565000000001</v>
      </c>
      <c r="D4242">
        <v>0</v>
      </c>
      <c r="E4242">
        <v>0</v>
      </c>
      <c r="F4242">
        <v>0</v>
      </c>
      <c r="G4242">
        <v>43837.971005739993</v>
      </c>
      <c r="H4242">
        <v>-3580.7813999999998</v>
      </c>
      <c r="I4242">
        <v>128901.8997974901</v>
      </c>
      <c r="J4242">
        <v>0</v>
      </c>
      <c r="K4242">
        <v>6253.1284276900096</v>
      </c>
      <c r="L4242">
        <v>0</v>
      </c>
      <c r="M4242">
        <v>0</v>
      </c>
      <c r="N4242">
        <v>0</v>
      </c>
      <c r="O4242">
        <v>-7.8743309201090597</v>
      </c>
      <c r="P4242">
        <v>2205888</v>
      </c>
    </row>
    <row r="4243" spans="1:16" x14ac:dyDescent="0.25">
      <c r="A4243" s="10">
        <v>43916</v>
      </c>
      <c r="B4243">
        <v>107208</v>
      </c>
      <c r="C4243">
        <v>4888.8999999999996</v>
      </c>
      <c r="D4243">
        <v>0</v>
      </c>
      <c r="E4243">
        <v>0</v>
      </c>
      <c r="F4243">
        <v>60000</v>
      </c>
      <c r="G4243">
        <v>148.16971572000111</v>
      </c>
      <c r="H4243">
        <v>-8072.65428092</v>
      </c>
      <c r="I4243">
        <v>45456.104199980393</v>
      </c>
      <c r="J4243">
        <v>0</v>
      </c>
      <c r="K4243">
        <v>4377.7410665596244</v>
      </c>
      <c r="L4243">
        <v>0</v>
      </c>
      <c r="M4243">
        <v>0</v>
      </c>
      <c r="N4243">
        <v>0</v>
      </c>
      <c r="O4243">
        <v>409.73929865998798</v>
      </c>
      <c r="P4243">
        <v>2313096</v>
      </c>
    </row>
    <row r="4244" spans="1:16" x14ac:dyDescent="0.25">
      <c r="A4244" s="10">
        <v>43917</v>
      </c>
      <c r="B4244">
        <v>-98500</v>
      </c>
      <c r="C4244">
        <v>2537.1999999999998</v>
      </c>
      <c r="D4244">
        <v>0</v>
      </c>
      <c r="E4244">
        <v>0</v>
      </c>
      <c r="F4244">
        <v>20000</v>
      </c>
      <c r="G4244">
        <v>-20109.08695035</v>
      </c>
      <c r="H4244">
        <v>-100563.18235992</v>
      </c>
      <c r="I4244">
        <v>0</v>
      </c>
      <c r="J4244">
        <v>0</v>
      </c>
      <c r="K4244">
        <v>3.86658875</v>
      </c>
      <c r="L4244">
        <v>0</v>
      </c>
      <c r="M4244">
        <v>0</v>
      </c>
      <c r="N4244">
        <v>0</v>
      </c>
      <c r="O4244">
        <v>-368.79727847999311</v>
      </c>
      <c r="P4244">
        <v>2214596</v>
      </c>
    </row>
    <row r="4245" spans="1:16" x14ac:dyDescent="0.25">
      <c r="A4245" s="10">
        <v>43920</v>
      </c>
      <c r="B4245">
        <v>77487</v>
      </c>
      <c r="C4245">
        <v>3945.2</v>
      </c>
      <c r="D4245">
        <v>0</v>
      </c>
      <c r="E4245">
        <v>0</v>
      </c>
      <c r="F4245">
        <v>0</v>
      </c>
      <c r="G4245">
        <v>6178.6294402600024</v>
      </c>
      <c r="H4245">
        <v>68427.965863799982</v>
      </c>
      <c r="I4245">
        <v>0</v>
      </c>
      <c r="J4245">
        <v>0</v>
      </c>
      <c r="K4245">
        <v>105.82609051</v>
      </c>
      <c r="L4245">
        <v>0</v>
      </c>
      <c r="M4245">
        <v>0</v>
      </c>
      <c r="N4245">
        <v>0</v>
      </c>
      <c r="O4245">
        <v>-1170.621394569986</v>
      </c>
      <c r="P4245">
        <v>2292083</v>
      </c>
    </row>
    <row r="4246" spans="1:16" x14ac:dyDescent="0.25">
      <c r="A4246" s="10">
        <v>43922</v>
      </c>
      <c r="B4246">
        <v>100827</v>
      </c>
      <c r="C4246">
        <v>3482.0279999999998</v>
      </c>
      <c r="D4246">
        <v>0</v>
      </c>
      <c r="E4246">
        <v>0</v>
      </c>
      <c r="F4246">
        <v>0</v>
      </c>
      <c r="G4246">
        <v>-8034.9750296999982</v>
      </c>
      <c r="H4246">
        <v>-5424.5840655799984</v>
      </c>
      <c r="I4246">
        <v>96172.237499989802</v>
      </c>
      <c r="J4246">
        <v>0</v>
      </c>
      <c r="K4246">
        <v>13424.936682529969</v>
      </c>
      <c r="L4246">
        <v>0</v>
      </c>
      <c r="M4246">
        <v>0</v>
      </c>
      <c r="N4246">
        <v>0</v>
      </c>
      <c r="O4246">
        <v>1207.3569127602241</v>
      </c>
      <c r="P4246">
        <v>2392910</v>
      </c>
    </row>
    <row r="4247" spans="1:16" x14ac:dyDescent="0.25">
      <c r="A4247" s="10">
        <v>43923</v>
      </c>
      <c r="B4247">
        <v>40477</v>
      </c>
      <c r="C4247">
        <v>2394.6220000000012</v>
      </c>
      <c r="D4247">
        <v>0</v>
      </c>
      <c r="E4247">
        <v>50000</v>
      </c>
      <c r="F4247">
        <v>0</v>
      </c>
      <c r="G4247">
        <v>-137.66763867000219</v>
      </c>
      <c r="H4247">
        <v>-11913.38143933</v>
      </c>
      <c r="I4247">
        <v>0</v>
      </c>
      <c r="J4247">
        <v>0</v>
      </c>
      <c r="K4247">
        <v>15.59759494</v>
      </c>
      <c r="L4247">
        <v>0</v>
      </c>
      <c r="M4247">
        <v>0</v>
      </c>
      <c r="N4247">
        <v>0</v>
      </c>
      <c r="O4247">
        <v>117.8294830599916</v>
      </c>
      <c r="P4247">
        <v>2433387</v>
      </c>
    </row>
    <row r="4248" spans="1:16" x14ac:dyDescent="0.25">
      <c r="A4248" s="10">
        <v>43924</v>
      </c>
      <c r="B4248">
        <v>108</v>
      </c>
      <c r="C4248">
        <v>1427.96</v>
      </c>
      <c r="D4248">
        <v>0</v>
      </c>
      <c r="E4248">
        <v>0</v>
      </c>
      <c r="F4248">
        <v>0</v>
      </c>
      <c r="G4248">
        <v>-704.29541111000026</v>
      </c>
      <c r="H4248">
        <v>-37512.275599989996</v>
      </c>
      <c r="I4248">
        <v>30431.70306335995</v>
      </c>
      <c r="J4248">
        <v>0</v>
      </c>
      <c r="K4248">
        <v>7168.8451513100053</v>
      </c>
      <c r="L4248">
        <v>0</v>
      </c>
      <c r="M4248">
        <v>0</v>
      </c>
      <c r="N4248">
        <v>0</v>
      </c>
      <c r="O4248">
        <v>-703.93720356996164</v>
      </c>
      <c r="P4248">
        <v>2433495</v>
      </c>
    </row>
    <row r="4249" spans="1:16" x14ac:dyDescent="0.25">
      <c r="A4249" s="10">
        <v>43927</v>
      </c>
      <c r="B4249">
        <v>-21288</v>
      </c>
      <c r="C4249">
        <v>3710.8664999999992</v>
      </c>
      <c r="D4249">
        <v>0</v>
      </c>
      <c r="E4249">
        <v>0</v>
      </c>
      <c r="F4249">
        <v>0</v>
      </c>
      <c r="G4249">
        <v>1572.8535883</v>
      </c>
      <c r="H4249">
        <v>-26544.94451954</v>
      </c>
      <c r="I4249">
        <v>0</v>
      </c>
      <c r="J4249">
        <v>0</v>
      </c>
      <c r="K4249">
        <v>93.103948419999981</v>
      </c>
      <c r="L4249">
        <v>0</v>
      </c>
      <c r="M4249">
        <v>0</v>
      </c>
      <c r="N4249">
        <v>0</v>
      </c>
      <c r="O4249">
        <v>-119.87951717999751</v>
      </c>
      <c r="P4249">
        <v>2412207</v>
      </c>
    </row>
    <row r="4250" spans="1:16" x14ac:dyDescent="0.25">
      <c r="A4250" s="10">
        <v>43928</v>
      </c>
      <c r="B4250">
        <v>37251</v>
      </c>
      <c r="C4250">
        <v>517.28549999999996</v>
      </c>
      <c r="D4250">
        <v>0</v>
      </c>
      <c r="E4250">
        <v>29729</v>
      </c>
      <c r="F4250">
        <v>30000</v>
      </c>
      <c r="G4250">
        <v>-987.90921820999938</v>
      </c>
      <c r="H4250">
        <v>-31447.447480539999</v>
      </c>
      <c r="I4250">
        <v>7925.5219244200271</v>
      </c>
      <c r="J4250">
        <v>0</v>
      </c>
      <c r="K4250">
        <v>2111.484858820007</v>
      </c>
      <c r="L4250">
        <v>0</v>
      </c>
      <c r="M4250">
        <v>0</v>
      </c>
      <c r="N4250">
        <v>0</v>
      </c>
      <c r="O4250">
        <v>-596.93558449003467</v>
      </c>
      <c r="P4250">
        <v>2449458</v>
      </c>
    </row>
    <row r="4251" spans="1:16" x14ac:dyDescent="0.25">
      <c r="A4251" s="10">
        <v>43929</v>
      </c>
      <c r="B4251">
        <v>-7519</v>
      </c>
      <c r="C4251">
        <v>2032.9644999999989</v>
      </c>
      <c r="D4251">
        <v>0</v>
      </c>
      <c r="E4251">
        <v>271</v>
      </c>
      <c r="F4251">
        <v>0</v>
      </c>
      <c r="G4251">
        <v>-852.48931022000193</v>
      </c>
      <c r="H4251">
        <v>-13373.036080390009</v>
      </c>
      <c r="I4251">
        <v>9903.5214000500273</v>
      </c>
      <c r="J4251">
        <v>0</v>
      </c>
      <c r="K4251">
        <v>2783.2523417400012</v>
      </c>
      <c r="L4251">
        <v>0</v>
      </c>
      <c r="M4251">
        <v>0</v>
      </c>
      <c r="N4251">
        <v>0</v>
      </c>
      <c r="O4251">
        <v>-8284.2128511800147</v>
      </c>
      <c r="P4251">
        <v>2441939</v>
      </c>
    </row>
    <row r="4252" spans="1:16" x14ac:dyDescent="0.25">
      <c r="A4252" s="10">
        <v>43934</v>
      </c>
      <c r="B4252">
        <v>-3329</v>
      </c>
      <c r="C4252">
        <v>2222.9140000000002</v>
      </c>
      <c r="D4252">
        <v>0</v>
      </c>
      <c r="E4252">
        <v>0</v>
      </c>
      <c r="F4252">
        <v>0</v>
      </c>
      <c r="G4252">
        <v>-3494.272260759999</v>
      </c>
      <c r="H4252">
        <v>-1925.542439890007</v>
      </c>
      <c r="I4252">
        <v>0</v>
      </c>
      <c r="J4252">
        <v>0</v>
      </c>
      <c r="K4252">
        <v>266.62062815000002</v>
      </c>
      <c r="L4252">
        <v>0</v>
      </c>
      <c r="M4252">
        <v>0</v>
      </c>
      <c r="N4252">
        <v>0</v>
      </c>
      <c r="O4252">
        <v>-398.7199274999939</v>
      </c>
      <c r="P4252">
        <v>2438610</v>
      </c>
    </row>
    <row r="4253" spans="1:16" x14ac:dyDescent="0.25">
      <c r="A4253" s="10">
        <v>43935</v>
      </c>
      <c r="B4253">
        <v>2077</v>
      </c>
      <c r="C4253">
        <v>734.8984999999999</v>
      </c>
      <c r="D4253">
        <v>0</v>
      </c>
      <c r="E4253">
        <v>0</v>
      </c>
      <c r="F4253">
        <v>100000</v>
      </c>
      <c r="G4253">
        <v>-68455.380916110007</v>
      </c>
      <c r="H4253">
        <v>152098.04184075</v>
      </c>
      <c r="I4253">
        <v>-174901.50000003001</v>
      </c>
      <c r="J4253">
        <v>0</v>
      </c>
      <c r="K4253">
        <v>3452.9255279600038</v>
      </c>
      <c r="L4253">
        <v>0</v>
      </c>
      <c r="M4253">
        <v>0</v>
      </c>
      <c r="N4253">
        <v>0</v>
      </c>
      <c r="O4253">
        <v>-10851.984952569979</v>
      </c>
      <c r="P4253">
        <v>2440687</v>
      </c>
    </row>
    <row r="4254" spans="1:16" x14ac:dyDescent="0.25">
      <c r="A4254" s="10">
        <v>43936</v>
      </c>
      <c r="B4254">
        <v>-1857</v>
      </c>
      <c r="C4254">
        <v>-4363.0772999999999</v>
      </c>
      <c r="D4254">
        <v>0</v>
      </c>
      <c r="E4254">
        <v>0</v>
      </c>
      <c r="F4254">
        <v>0</v>
      </c>
      <c r="G4254">
        <v>12065.52212408</v>
      </c>
      <c r="H4254">
        <v>-1465.8195600100009</v>
      </c>
      <c r="I4254">
        <v>0</v>
      </c>
      <c r="J4254">
        <v>0</v>
      </c>
      <c r="K4254">
        <v>6.4209340499999978</v>
      </c>
      <c r="L4254">
        <v>0</v>
      </c>
      <c r="M4254">
        <v>0</v>
      </c>
      <c r="N4254">
        <v>0</v>
      </c>
      <c r="O4254">
        <v>-8100.0461981200006</v>
      </c>
      <c r="P4254">
        <v>2438830</v>
      </c>
    </row>
    <row r="4255" spans="1:16" x14ac:dyDescent="0.25">
      <c r="A4255" s="10">
        <v>43937</v>
      </c>
      <c r="B4255">
        <v>-12797</v>
      </c>
      <c r="C4255">
        <v>-2236.4748</v>
      </c>
      <c r="D4255">
        <v>0</v>
      </c>
      <c r="E4255">
        <v>0</v>
      </c>
      <c r="F4255">
        <v>0</v>
      </c>
      <c r="G4255">
        <v>-12538.90017472</v>
      </c>
      <c r="H4255">
        <v>12577.26600143</v>
      </c>
      <c r="I4255">
        <v>-16789.843593349909</v>
      </c>
      <c r="J4255">
        <v>0</v>
      </c>
      <c r="K4255">
        <v>3327.7972806999928</v>
      </c>
      <c r="L4255">
        <v>0</v>
      </c>
      <c r="M4255">
        <v>0</v>
      </c>
      <c r="N4255">
        <v>0</v>
      </c>
      <c r="O4255">
        <v>2863.155285939923</v>
      </c>
      <c r="P4255">
        <v>2426033</v>
      </c>
    </row>
    <row r="4256" spans="1:16" x14ac:dyDescent="0.25">
      <c r="A4256" s="10">
        <v>43938</v>
      </c>
      <c r="B4256">
        <v>-494153</v>
      </c>
      <c r="C4256">
        <v>-5650.7879999999996</v>
      </c>
      <c r="D4256">
        <v>0</v>
      </c>
      <c r="E4256">
        <v>0</v>
      </c>
      <c r="F4256">
        <v>0</v>
      </c>
      <c r="G4256">
        <v>4795.4409657800052</v>
      </c>
      <c r="H4256">
        <v>-514500.85612213</v>
      </c>
      <c r="I4256">
        <v>0</v>
      </c>
      <c r="J4256">
        <v>0</v>
      </c>
      <c r="K4256">
        <v>2.950509680000001</v>
      </c>
      <c r="L4256">
        <v>0</v>
      </c>
      <c r="M4256">
        <v>0</v>
      </c>
      <c r="N4256">
        <v>0</v>
      </c>
      <c r="O4256">
        <v>21200.252646669978</v>
      </c>
      <c r="P4256">
        <v>1931880</v>
      </c>
    </row>
    <row r="4257" spans="1:16" x14ac:dyDescent="0.25">
      <c r="A4257" s="10">
        <v>43941</v>
      </c>
      <c r="B4257">
        <v>-5871</v>
      </c>
      <c r="C4257">
        <v>-831.36400000000026</v>
      </c>
      <c r="D4257">
        <v>0</v>
      </c>
      <c r="E4257">
        <v>0</v>
      </c>
      <c r="F4257">
        <v>0</v>
      </c>
      <c r="G4257">
        <v>274.65500753000202</v>
      </c>
      <c r="H4257">
        <v>-9760.7688806899823</v>
      </c>
      <c r="I4257">
        <v>0</v>
      </c>
      <c r="J4257">
        <v>0</v>
      </c>
      <c r="K4257">
        <v>490.93178325999997</v>
      </c>
      <c r="L4257">
        <v>0</v>
      </c>
      <c r="M4257">
        <v>0</v>
      </c>
      <c r="N4257">
        <v>0</v>
      </c>
      <c r="O4257">
        <v>3955.5460898999809</v>
      </c>
      <c r="P4257">
        <v>1926009</v>
      </c>
    </row>
    <row r="4258" spans="1:16" x14ac:dyDescent="0.25">
      <c r="A4258" s="10">
        <v>43942</v>
      </c>
      <c r="B4258">
        <v>-25726</v>
      </c>
      <c r="C4258">
        <v>-1873.6615000000011</v>
      </c>
      <c r="D4258">
        <v>0</v>
      </c>
      <c r="E4258">
        <v>0</v>
      </c>
      <c r="F4258">
        <v>0</v>
      </c>
      <c r="G4258">
        <v>10603.54571839</v>
      </c>
      <c r="H4258">
        <v>-34739.139320570037</v>
      </c>
      <c r="I4258">
        <v>-1871.910417499952</v>
      </c>
      <c r="J4258">
        <v>0</v>
      </c>
      <c r="K4258">
        <v>2270.5862941300002</v>
      </c>
      <c r="L4258">
        <v>0</v>
      </c>
      <c r="M4258">
        <v>0</v>
      </c>
      <c r="N4258">
        <v>0</v>
      </c>
      <c r="O4258">
        <v>-115.4207744500018</v>
      </c>
      <c r="P4258">
        <v>1900283</v>
      </c>
    </row>
    <row r="4259" spans="1:16" x14ac:dyDescent="0.25">
      <c r="A4259" s="10">
        <v>43943</v>
      </c>
      <c r="B4259">
        <v>-26484</v>
      </c>
      <c r="C4259">
        <v>-6212.3739999999971</v>
      </c>
      <c r="D4259">
        <v>0</v>
      </c>
      <c r="E4259">
        <v>0</v>
      </c>
      <c r="F4259">
        <v>0</v>
      </c>
      <c r="G4259">
        <v>31333.090777459991</v>
      </c>
      <c r="H4259">
        <v>-51967.996719449991</v>
      </c>
      <c r="I4259">
        <v>0</v>
      </c>
      <c r="J4259">
        <v>0</v>
      </c>
      <c r="K4259">
        <v>177.54252923000001</v>
      </c>
      <c r="L4259">
        <v>0</v>
      </c>
      <c r="M4259">
        <v>0</v>
      </c>
      <c r="N4259">
        <v>0</v>
      </c>
      <c r="O4259">
        <v>185.7374127599978</v>
      </c>
      <c r="P4259">
        <v>1873799</v>
      </c>
    </row>
    <row r="4260" spans="1:16" x14ac:dyDescent="0.25">
      <c r="A4260" s="10">
        <v>43944</v>
      </c>
      <c r="B4260">
        <v>-15677</v>
      </c>
      <c r="C4260">
        <v>-2626.271999999999</v>
      </c>
      <c r="D4260">
        <v>0</v>
      </c>
      <c r="E4260">
        <v>0</v>
      </c>
      <c r="F4260">
        <v>0</v>
      </c>
      <c r="G4260">
        <v>-1052.069252559997</v>
      </c>
      <c r="H4260">
        <v>-16069.497920899999</v>
      </c>
      <c r="I4260">
        <v>1079.051650220063</v>
      </c>
      <c r="J4260">
        <v>0</v>
      </c>
      <c r="K4260">
        <v>3026.273629530001</v>
      </c>
      <c r="L4260">
        <v>0</v>
      </c>
      <c r="M4260">
        <v>0</v>
      </c>
      <c r="N4260">
        <v>0</v>
      </c>
      <c r="O4260">
        <v>-34.486106290067262</v>
      </c>
      <c r="P4260">
        <v>1858122</v>
      </c>
    </row>
    <row r="4261" spans="1:16" x14ac:dyDescent="0.25">
      <c r="A4261" s="10">
        <v>43945</v>
      </c>
      <c r="B4261">
        <v>-57993</v>
      </c>
      <c r="C4261">
        <v>-3650.458500000002</v>
      </c>
      <c r="D4261">
        <v>0</v>
      </c>
      <c r="E4261">
        <v>0</v>
      </c>
      <c r="F4261">
        <v>0</v>
      </c>
      <c r="G4261">
        <v>1827.5212241299939</v>
      </c>
      <c r="H4261">
        <v>-56031.422960240037</v>
      </c>
      <c r="I4261">
        <v>0</v>
      </c>
      <c r="J4261">
        <v>0</v>
      </c>
      <c r="K4261">
        <v>198.79259603</v>
      </c>
      <c r="L4261">
        <v>0</v>
      </c>
      <c r="M4261">
        <v>0</v>
      </c>
      <c r="N4261">
        <v>0</v>
      </c>
      <c r="O4261">
        <v>-337.43235991994879</v>
      </c>
      <c r="P4261">
        <v>1800129</v>
      </c>
    </row>
    <row r="4262" spans="1:16" x14ac:dyDescent="0.25">
      <c r="A4262" s="10">
        <v>43948</v>
      </c>
      <c r="B4262">
        <v>66370</v>
      </c>
      <c r="C4262">
        <v>-6952.3850000000039</v>
      </c>
      <c r="D4262">
        <v>0</v>
      </c>
      <c r="E4262">
        <v>0</v>
      </c>
      <c r="F4262">
        <v>0</v>
      </c>
      <c r="G4262">
        <v>32667.33373178</v>
      </c>
      <c r="H4262">
        <v>51130.040799409973</v>
      </c>
      <c r="I4262">
        <v>0</v>
      </c>
      <c r="J4262">
        <v>0</v>
      </c>
      <c r="K4262">
        <v>865.17128518000004</v>
      </c>
      <c r="L4262">
        <v>0</v>
      </c>
      <c r="M4262">
        <v>0</v>
      </c>
      <c r="N4262">
        <v>0</v>
      </c>
      <c r="O4262">
        <v>-11340.16081636996</v>
      </c>
      <c r="P4262">
        <v>1866499</v>
      </c>
    </row>
    <row r="4263" spans="1:16" x14ac:dyDescent="0.25">
      <c r="A4263" s="10">
        <v>43949</v>
      </c>
      <c r="B4263">
        <v>-35548</v>
      </c>
      <c r="C4263">
        <v>-6730.6400000000012</v>
      </c>
      <c r="D4263">
        <v>0</v>
      </c>
      <c r="E4263">
        <v>0</v>
      </c>
      <c r="F4263">
        <v>100000</v>
      </c>
      <c r="G4263">
        <v>-82204.698631199994</v>
      </c>
      <c r="H4263">
        <v>-98989.252998730051</v>
      </c>
      <c r="I4263">
        <v>30493.378371383758</v>
      </c>
      <c r="J4263">
        <v>0</v>
      </c>
      <c r="K4263">
        <v>9836.465418186177</v>
      </c>
      <c r="L4263">
        <v>0</v>
      </c>
      <c r="M4263">
        <v>0</v>
      </c>
      <c r="N4263">
        <v>0</v>
      </c>
      <c r="O4263">
        <v>12046.74784036012</v>
      </c>
      <c r="P4263">
        <v>1830951</v>
      </c>
    </row>
    <row r="4264" spans="1:16" x14ac:dyDescent="0.25">
      <c r="A4264" s="10">
        <v>43950</v>
      </c>
      <c r="B4264">
        <v>-50893</v>
      </c>
      <c r="C4264">
        <v>-6964.0275000000001</v>
      </c>
      <c r="D4264">
        <v>0</v>
      </c>
      <c r="E4264">
        <v>0</v>
      </c>
      <c r="F4264">
        <v>0</v>
      </c>
      <c r="G4264">
        <v>-943.71834949000163</v>
      </c>
      <c r="H4264">
        <v>-43245.610600619933</v>
      </c>
      <c r="I4264">
        <v>0</v>
      </c>
      <c r="J4264">
        <v>0</v>
      </c>
      <c r="K4264">
        <v>308.32084003000011</v>
      </c>
      <c r="L4264">
        <v>0</v>
      </c>
      <c r="M4264">
        <v>0</v>
      </c>
      <c r="N4264">
        <v>0</v>
      </c>
      <c r="O4264">
        <v>-47.964389920067333</v>
      </c>
      <c r="P4264">
        <v>1780058</v>
      </c>
    </row>
    <row r="4265" spans="1:16" x14ac:dyDescent="0.25">
      <c r="A4265" s="10">
        <v>43951</v>
      </c>
      <c r="B4265">
        <v>87070</v>
      </c>
      <c r="C4265">
        <v>-5063.4099999999989</v>
      </c>
      <c r="D4265">
        <v>0</v>
      </c>
      <c r="E4265">
        <v>0</v>
      </c>
      <c r="F4265">
        <v>0</v>
      </c>
      <c r="G4265">
        <v>46119.331997920002</v>
      </c>
      <c r="H4265">
        <v>-55404.242385010002</v>
      </c>
      <c r="I4265">
        <v>96042.172726280056</v>
      </c>
      <c r="J4265">
        <v>0</v>
      </c>
      <c r="K4265">
        <v>5794.5399710299898</v>
      </c>
      <c r="L4265">
        <v>0</v>
      </c>
      <c r="M4265">
        <v>0</v>
      </c>
      <c r="N4265">
        <v>0</v>
      </c>
      <c r="O4265">
        <v>-418.39231022004969</v>
      </c>
      <c r="P4265">
        <v>1867128</v>
      </c>
    </row>
    <row r="4266" spans="1:16" x14ac:dyDescent="0.25">
      <c r="A4266" s="10">
        <v>43955</v>
      </c>
      <c r="B4266">
        <v>544170</v>
      </c>
      <c r="C4266">
        <v>2108.2600000000002</v>
      </c>
      <c r="D4266">
        <v>0</v>
      </c>
      <c r="E4266">
        <v>0</v>
      </c>
      <c r="F4266">
        <v>0</v>
      </c>
      <c r="G4266">
        <v>30837.291356289999</v>
      </c>
      <c r="H4266">
        <v>509249.98654613999</v>
      </c>
      <c r="I4266">
        <v>0</v>
      </c>
      <c r="J4266">
        <v>0</v>
      </c>
      <c r="K4266">
        <v>1397.6096906099999</v>
      </c>
      <c r="L4266">
        <v>0</v>
      </c>
      <c r="M4266">
        <v>0</v>
      </c>
      <c r="N4266">
        <v>0</v>
      </c>
      <c r="O4266">
        <v>576.85240695998073</v>
      </c>
      <c r="P4266">
        <v>2411298</v>
      </c>
    </row>
    <row r="4267" spans="1:16" x14ac:dyDescent="0.25">
      <c r="A4267" s="10">
        <v>43956</v>
      </c>
      <c r="B4267">
        <v>49052</v>
      </c>
      <c r="C4267">
        <v>5380.1530000000039</v>
      </c>
      <c r="D4267">
        <v>0</v>
      </c>
      <c r="E4267">
        <v>0</v>
      </c>
      <c r="F4267">
        <v>110000</v>
      </c>
      <c r="G4267">
        <v>-52314.585079369986</v>
      </c>
      <c r="H4267">
        <v>15531.740999730009</v>
      </c>
      <c r="I4267">
        <v>-31929.18730176007</v>
      </c>
      <c r="J4267">
        <v>0</v>
      </c>
      <c r="K4267">
        <v>1978.4561953699981</v>
      </c>
      <c r="L4267">
        <v>0</v>
      </c>
      <c r="M4267">
        <v>0</v>
      </c>
      <c r="N4267">
        <v>0</v>
      </c>
      <c r="O4267">
        <v>405.42218603005313</v>
      </c>
      <c r="P4267">
        <v>2460350</v>
      </c>
    </row>
    <row r="4268" spans="1:16" x14ac:dyDescent="0.25">
      <c r="A4268" s="10">
        <v>43957</v>
      </c>
      <c r="B4268">
        <v>-103684</v>
      </c>
      <c r="C4268">
        <v>-1909.004999999999</v>
      </c>
      <c r="D4268">
        <v>0</v>
      </c>
      <c r="E4268">
        <v>0</v>
      </c>
      <c r="F4268">
        <v>0</v>
      </c>
      <c r="G4268">
        <v>-4954.4652311599993</v>
      </c>
      <c r="H4268">
        <v>-96510.265479789989</v>
      </c>
      <c r="I4268">
        <v>0</v>
      </c>
      <c r="J4268">
        <v>0</v>
      </c>
      <c r="K4268">
        <v>130.86318269</v>
      </c>
      <c r="L4268">
        <v>0</v>
      </c>
      <c r="M4268">
        <v>0</v>
      </c>
      <c r="N4268">
        <v>0</v>
      </c>
      <c r="O4268">
        <v>-441.12747174000827</v>
      </c>
      <c r="P4268">
        <v>2356666</v>
      </c>
    </row>
    <row r="4269" spans="1:16" x14ac:dyDescent="0.25">
      <c r="A4269" s="10">
        <v>43958</v>
      </c>
      <c r="B4269">
        <v>-55605</v>
      </c>
      <c r="C4269">
        <v>587.91250000000036</v>
      </c>
      <c r="D4269">
        <v>0</v>
      </c>
      <c r="E4269">
        <v>0</v>
      </c>
      <c r="F4269">
        <v>0</v>
      </c>
      <c r="G4269">
        <v>-396.29172323000068</v>
      </c>
      <c r="H4269">
        <v>-59489.519600200001</v>
      </c>
      <c r="I4269">
        <v>1385.8312138300389</v>
      </c>
      <c r="J4269">
        <v>0</v>
      </c>
      <c r="K4269">
        <v>2808.680159000005</v>
      </c>
      <c r="L4269">
        <v>0</v>
      </c>
      <c r="M4269">
        <v>0</v>
      </c>
      <c r="N4269">
        <v>0</v>
      </c>
      <c r="O4269">
        <v>-501.6125494000371</v>
      </c>
      <c r="P4269">
        <v>2301061</v>
      </c>
    </row>
    <row r="4270" spans="1:16" x14ac:dyDescent="0.25">
      <c r="A4270" s="10">
        <v>43959</v>
      </c>
      <c r="B4270">
        <v>-15280</v>
      </c>
      <c r="C4270">
        <v>-3458.291999999999</v>
      </c>
      <c r="D4270">
        <v>0</v>
      </c>
      <c r="E4270">
        <v>0</v>
      </c>
      <c r="F4270">
        <v>0</v>
      </c>
      <c r="G4270">
        <v>-9421.1516511900027</v>
      </c>
      <c r="H4270">
        <v>-2010.1500801100051</v>
      </c>
      <c r="I4270">
        <v>0</v>
      </c>
      <c r="J4270">
        <v>0</v>
      </c>
      <c r="K4270">
        <v>195.82747674999999</v>
      </c>
      <c r="L4270">
        <v>0</v>
      </c>
      <c r="M4270">
        <v>0</v>
      </c>
      <c r="N4270">
        <v>0</v>
      </c>
      <c r="O4270">
        <v>-586.23374544999388</v>
      </c>
      <c r="P4270">
        <v>2285781</v>
      </c>
    </row>
    <row r="4271" spans="1:16" x14ac:dyDescent="0.25">
      <c r="A4271" s="10">
        <v>43962</v>
      </c>
      <c r="B4271">
        <v>77433</v>
      </c>
      <c r="C4271">
        <v>-795.22599999999989</v>
      </c>
      <c r="D4271">
        <v>0</v>
      </c>
      <c r="E4271">
        <v>0</v>
      </c>
      <c r="F4271">
        <v>0</v>
      </c>
      <c r="G4271">
        <v>60827.118754149997</v>
      </c>
      <c r="H4271">
        <v>16983.15028105996</v>
      </c>
      <c r="I4271">
        <v>0</v>
      </c>
      <c r="J4271">
        <v>0</v>
      </c>
      <c r="K4271">
        <v>589.99374103000014</v>
      </c>
      <c r="L4271">
        <v>0</v>
      </c>
      <c r="M4271">
        <v>0</v>
      </c>
      <c r="N4271">
        <v>0</v>
      </c>
      <c r="O4271">
        <v>-172.03677623996921</v>
      </c>
      <c r="P4271">
        <v>2363214</v>
      </c>
    </row>
    <row r="4272" spans="1:16" x14ac:dyDescent="0.25">
      <c r="A4272" s="10">
        <v>43963</v>
      </c>
      <c r="B4272">
        <v>27379</v>
      </c>
      <c r="C4272">
        <v>-411.50600000000082</v>
      </c>
      <c r="D4272">
        <v>0</v>
      </c>
      <c r="E4272">
        <v>0</v>
      </c>
      <c r="F4272">
        <v>180000</v>
      </c>
      <c r="G4272">
        <v>-179593.17746551</v>
      </c>
      <c r="H4272">
        <v>41.477358319971238</v>
      </c>
      <c r="I4272">
        <v>18796.78419812</v>
      </c>
      <c r="J4272">
        <v>0</v>
      </c>
      <c r="K4272">
        <v>8687.0921451400627</v>
      </c>
      <c r="L4272">
        <v>0</v>
      </c>
      <c r="M4272">
        <v>0</v>
      </c>
      <c r="N4272">
        <v>0</v>
      </c>
      <c r="O4272">
        <v>-141.67023607004381</v>
      </c>
      <c r="P4272">
        <v>2390593</v>
      </c>
    </row>
    <row r="4273" spans="1:16" x14ac:dyDescent="0.25">
      <c r="A4273" s="10">
        <v>43964</v>
      </c>
      <c r="B4273">
        <v>-63879</v>
      </c>
      <c r="C4273">
        <v>-6535.4925000000021</v>
      </c>
      <c r="D4273">
        <v>0</v>
      </c>
      <c r="E4273">
        <v>0</v>
      </c>
      <c r="F4273">
        <v>0</v>
      </c>
      <c r="G4273">
        <v>54758.417257809997</v>
      </c>
      <c r="H4273">
        <v>-112946.8185985</v>
      </c>
      <c r="I4273">
        <v>0</v>
      </c>
      <c r="J4273">
        <v>0</v>
      </c>
      <c r="K4273">
        <v>189.57487238999991</v>
      </c>
      <c r="L4273">
        <v>0</v>
      </c>
      <c r="M4273">
        <v>0</v>
      </c>
      <c r="N4273">
        <v>0</v>
      </c>
      <c r="O4273">
        <v>655.31896830004553</v>
      </c>
      <c r="P4273">
        <v>2326714</v>
      </c>
    </row>
    <row r="4274" spans="1:16" x14ac:dyDescent="0.25">
      <c r="A4274" s="10">
        <v>43965</v>
      </c>
      <c r="B4274">
        <v>17088</v>
      </c>
      <c r="C4274">
        <v>-5545.1272000000017</v>
      </c>
      <c r="D4274">
        <v>0</v>
      </c>
      <c r="E4274">
        <v>0</v>
      </c>
      <c r="F4274">
        <v>0</v>
      </c>
      <c r="G4274">
        <v>1873.557124560004</v>
      </c>
      <c r="H4274">
        <v>19938.67183786002</v>
      </c>
      <c r="I4274">
        <v>-2778.1604495469951</v>
      </c>
      <c r="J4274">
        <v>0</v>
      </c>
      <c r="K4274">
        <v>4046.9643715768379</v>
      </c>
      <c r="L4274">
        <v>0</v>
      </c>
      <c r="M4274">
        <v>0</v>
      </c>
      <c r="N4274">
        <v>0</v>
      </c>
      <c r="O4274">
        <v>-447.90568444986638</v>
      </c>
      <c r="P4274">
        <v>2343802</v>
      </c>
    </row>
    <row r="4275" spans="1:16" x14ac:dyDescent="0.25">
      <c r="A4275" s="10">
        <v>43966</v>
      </c>
      <c r="B4275">
        <v>161004</v>
      </c>
      <c r="C4275">
        <v>-3108.911999999998</v>
      </c>
      <c r="D4275">
        <v>0</v>
      </c>
      <c r="E4275">
        <v>0</v>
      </c>
      <c r="F4275">
        <v>0</v>
      </c>
      <c r="G4275">
        <v>-3549.7626352000052</v>
      </c>
      <c r="H4275">
        <v>166619.69879967999</v>
      </c>
      <c r="I4275">
        <v>0</v>
      </c>
      <c r="J4275">
        <v>0</v>
      </c>
      <c r="K4275">
        <v>228.30703213000001</v>
      </c>
      <c r="L4275">
        <v>0</v>
      </c>
      <c r="M4275">
        <v>0</v>
      </c>
      <c r="N4275">
        <v>0</v>
      </c>
      <c r="O4275">
        <v>814.66880339002819</v>
      </c>
      <c r="P4275">
        <v>2504806</v>
      </c>
    </row>
    <row r="4276" spans="1:16" x14ac:dyDescent="0.25">
      <c r="A4276" s="10">
        <v>43969</v>
      </c>
      <c r="B4276">
        <v>-248810</v>
      </c>
      <c r="C4276">
        <v>-8514.8009999999995</v>
      </c>
      <c r="D4276">
        <v>0</v>
      </c>
      <c r="E4276">
        <v>0</v>
      </c>
      <c r="F4276">
        <v>0</v>
      </c>
      <c r="G4276">
        <v>5357.3399505199986</v>
      </c>
      <c r="H4276">
        <v>-246465.4551999699</v>
      </c>
      <c r="I4276">
        <v>0</v>
      </c>
      <c r="J4276">
        <v>0</v>
      </c>
      <c r="K4276">
        <v>476.76059601999992</v>
      </c>
      <c r="L4276">
        <v>0</v>
      </c>
      <c r="M4276">
        <v>0</v>
      </c>
      <c r="N4276">
        <v>0</v>
      </c>
      <c r="O4276">
        <v>336.15565342994518</v>
      </c>
      <c r="P4276">
        <v>2255996</v>
      </c>
    </row>
    <row r="4277" spans="1:16" x14ac:dyDescent="0.25">
      <c r="A4277" s="10">
        <v>43970</v>
      </c>
      <c r="B4277">
        <v>-216785</v>
      </c>
      <c r="C4277">
        <v>-6351.0031999999992</v>
      </c>
      <c r="D4277">
        <v>0</v>
      </c>
      <c r="E4277">
        <v>0</v>
      </c>
      <c r="F4277">
        <v>0</v>
      </c>
      <c r="G4277">
        <v>8257.4679681599973</v>
      </c>
      <c r="H4277">
        <v>-88909.412237999961</v>
      </c>
      <c r="I4277">
        <v>-131389.04300550019</v>
      </c>
      <c r="J4277">
        <v>0</v>
      </c>
      <c r="K4277">
        <v>2563.3307145900148</v>
      </c>
      <c r="L4277">
        <v>0</v>
      </c>
      <c r="M4277">
        <v>0</v>
      </c>
      <c r="N4277">
        <v>0</v>
      </c>
      <c r="O4277">
        <v>-956.34023924981011</v>
      </c>
      <c r="P4277">
        <v>2039211</v>
      </c>
    </row>
    <row r="4278" spans="1:16" x14ac:dyDescent="0.25">
      <c r="A4278" s="10">
        <v>43971</v>
      </c>
      <c r="B4278">
        <v>-45582</v>
      </c>
      <c r="C4278">
        <v>-6318.63</v>
      </c>
      <c r="D4278">
        <v>0</v>
      </c>
      <c r="E4278">
        <v>0</v>
      </c>
      <c r="F4278">
        <v>0</v>
      </c>
      <c r="G4278">
        <v>56257.684709759997</v>
      </c>
      <c r="H4278">
        <v>-95336.324800790055</v>
      </c>
      <c r="I4278">
        <v>0</v>
      </c>
      <c r="J4278">
        <v>0</v>
      </c>
      <c r="K4278">
        <v>373.22894644000007</v>
      </c>
      <c r="L4278">
        <v>0</v>
      </c>
      <c r="M4278">
        <v>0</v>
      </c>
      <c r="N4278">
        <v>0</v>
      </c>
      <c r="O4278">
        <v>-557.95885540994641</v>
      </c>
      <c r="P4278">
        <v>1993629</v>
      </c>
    </row>
    <row r="4279" spans="1:16" x14ac:dyDescent="0.25">
      <c r="A4279" s="10">
        <v>43972</v>
      </c>
      <c r="B4279">
        <v>6863</v>
      </c>
      <c r="C4279">
        <v>-6383.7975000000024</v>
      </c>
      <c r="D4279">
        <v>0</v>
      </c>
      <c r="E4279">
        <v>0</v>
      </c>
      <c r="F4279">
        <v>0</v>
      </c>
      <c r="G4279">
        <v>-54602.350136840003</v>
      </c>
      <c r="H4279">
        <v>64935.037519669982</v>
      </c>
      <c r="I4279">
        <v>-107.37665016273969</v>
      </c>
      <c r="J4279">
        <v>0</v>
      </c>
      <c r="K4279">
        <v>3223.9009706129632</v>
      </c>
      <c r="L4279">
        <v>0</v>
      </c>
      <c r="M4279">
        <v>0</v>
      </c>
      <c r="N4279">
        <v>0</v>
      </c>
      <c r="O4279">
        <v>-202.4142032802001</v>
      </c>
      <c r="P4279">
        <v>2000492</v>
      </c>
    </row>
    <row r="4280" spans="1:16" x14ac:dyDescent="0.25">
      <c r="A4280" s="10">
        <v>43973</v>
      </c>
      <c r="B4280">
        <v>-13097</v>
      </c>
      <c r="C4280">
        <v>-5086.5230000000001</v>
      </c>
      <c r="D4280">
        <v>0</v>
      </c>
      <c r="E4280">
        <v>-2700</v>
      </c>
      <c r="F4280">
        <v>0</v>
      </c>
      <c r="G4280">
        <v>-1739.895830749985</v>
      </c>
      <c r="H4280">
        <v>-4844.6840002200333</v>
      </c>
      <c r="I4280">
        <v>0</v>
      </c>
      <c r="J4280">
        <v>0</v>
      </c>
      <c r="K4280">
        <v>389.05427408999998</v>
      </c>
      <c r="L4280">
        <v>0</v>
      </c>
      <c r="M4280">
        <v>0</v>
      </c>
      <c r="N4280">
        <v>0</v>
      </c>
      <c r="O4280">
        <v>885.04855688001953</v>
      </c>
      <c r="P4280">
        <v>1987395</v>
      </c>
    </row>
    <row r="4281" spans="1:16" x14ac:dyDescent="0.25">
      <c r="A4281" s="10">
        <v>43977</v>
      </c>
      <c r="B4281">
        <v>39009</v>
      </c>
      <c r="C4281">
        <v>-6002.9811</v>
      </c>
      <c r="D4281">
        <v>0</v>
      </c>
      <c r="E4281">
        <v>0</v>
      </c>
      <c r="F4281">
        <v>0</v>
      </c>
      <c r="G4281">
        <v>-1143.1627478999951</v>
      </c>
      <c r="H4281">
        <v>34678.941679949989</v>
      </c>
      <c r="I4281">
        <v>-27.070871329633519</v>
      </c>
      <c r="J4281">
        <v>0</v>
      </c>
      <c r="K4281">
        <v>10601.19052285008</v>
      </c>
      <c r="L4281">
        <v>0</v>
      </c>
      <c r="M4281">
        <v>0</v>
      </c>
      <c r="N4281">
        <v>0</v>
      </c>
      <c r="O4281">
        <v>902.08251642956748</v>
      </c>
      <c r="P4281">
        <v>2026404</v>
      </c>
    </row>
    <row r="4282" spans="1:16" x14ac:dyDescent="0.25">
      <c r="A4282" s="10">
        <v>43978</v>
      </c>
      <c r="B4282">
        <v>-42684</v>
      </c>
      <c r="C4282">
        <v>-5781.8888000000024</v>
      </c>
      <c r="D4282">
        <v>0</v>
      </c>
      <c r="E4282">
        <v>0</v>
      </c>
      <c r="F4282">
        <v>0</v>
      </c>
      <c r="G4282">
        <v>6127.491728499992</v>
      </c>
      <c r="H4282">
        <v>-43199.122798479977</v>
      </c>
      <c r="I4282">
        <v>0</v>
      </c>
      <c r="J4282">
        <v>0</v>
      </c>
      <c r="K4282">
        <v>373.52411254999993</v>
      </c>
      <c r="L4282">
        <v>0</v>
      </c>
      <c r="M4282">
        <v>0</v>
      </c>
      <c r="N4282">
        <v>0</v>
      </c>
      <c r="O4282">
        <v>-204.0042425700158</v>
      </c>
      <c r="P4282">
        <v>1983720</v>
      </c>
    </row>
    <row r="4283" spans="1:16" x14ac:dyDescent="0.25">
      <c r="A4283" s="10">
        <v>43979</v>
      </c>
      <c r="B4283">
        <v>65708</v>
      </c>
      <c r="C4283">
        <v>-7071.7694999999994</v>
      </c>
      <c r="D4283">
        <v>0</v>
      </c>
      <c r="E4283">
        <v>2700</v>
      </c>
      <c r="F4283">
        <v>0</v>
      </c>
      <c r="G4283">
        <v>68397.37218151</v>
      </c>
      <c r="H4283">
        <v>-980.59624116995838</v>
      </c>
      <c r="I4283">
        <v>-621.23272631224245</v>
      </c>
      <c r="J4283">
        <v>0</v>
      </c>
      <c r="K4283">
        <v>3267.0519624224462</v>
      </c>
      <c r="L4283">
        <v>0</v>
      </c>
      <c r="M4283">
        <v>0</v>
      </c>
      <c r="N4283">
        <v>0</v>
      </c>
      <c r="O4283">
        <v>17.174323549756082</v>
      </c>
      <c r="P4283">
        <v>2049428</v>
      </c>
    </row>
    <row r="4284" spans="1:16" x14ac:dyDescent="0.25">
      <c r="A4284" s="10">
        <v>43980</v>
      </c>
      <c r="B4284">
        <v>81864</v>
      </c>
      <c r="C4284">
        <v>19122.58500000001</v>
      </c>
      <c r="D4284">
        <v>0</v>
      </c>
      <c r="E4284">
        <v>0</v>
      </c>
      <c r="F4284">
        <v>140000</v>
      </c>
      <c r="G4284">
        <v>-135809.28629451999</v>
      </c>
      <c r="H4284">
        <v>58071.277299670037</v>
      </c>
      <c r="I4284">
        <v>0</v>
      </c>
      <c r="J4284">
        <v>0</v>
      </c>
      <c r="K4284">
        <v>396.52177450999989</v>
      </c>
      <c r="L4284">
        <v>0</v>
      </c>
      <c r="M4284">
        <v>0</v>
      </c>
      <c r="N4284">
        <v>0</v>
      </c>
      <c r="O4284">
        <v>82.902220339936321</v>
      </c>
      <c r="P4284">
        <v>2131292</v>
      </c>
    </row>
    <row r="4285" spans="1:16" x14ac:dyDescent="0.25">
      <c r="A4285" s="10">
        <v>43983</v>
      </c>
      <c r="B4285">
        <v>280207</v>
      </c>
      <c r="C4285">
        <v>3980.4989999999998</v>
      </c>
      <c r="D4285">
        <v>0</v>
      </c>
      <c r="E4285">
        <v>0</v>
      </c>
      <c r="F4285">
        <v>0</v>
      </c>
      <c r="G4285">
        <v>-3798.9517244499962</v>
      </c>
      <c r="H4285">
        <v>278832.05646121001</v>
      </c>
      <c r="I4285">
        <v>0</v>
      </c>
      <c r="J4285">
        <v>0</v>
      </c>
      <c r="K4285">
        <v>1098.8786713100001</v>
      </c>
      <c r="L4285">
        <v>0</v>
      </c>
      <c r="M4285">
        <v>0</v>
      </c>
      <c r="N4285">
        <v>0</v>
      </c>
      <c r="O4285">
        <v>94.517591929936316</v>
      </c>
      <c r="P4285">
        <v>2411499</v>
      </c>
    </row>
    <row r="4286" spans="1:16" x14ac:dyDescent="0.25">
      <c r="A4286" s="10">
        <v>43984</v>
      </c>
      <c r="B4286">
        <v>-193346</v>
      </c>
      <c r="C4286">
        <v>5617.72</v>
      </c>
      <c r="D4286">
        <v>-1100</v>
      </c>
      <c r="E4286">
        <v>0</v>
      </c>
      <c r="F4286">
        <v>0</v>
      </c>
      <c r="G4286">
        <v>2683.374825240001</v>
      </c>
      <c r="H4286">
        <v>90620.522958160029</v>
      </c>
      <c r="I4286">
        <v>-294166.84646608448</v>
      </c>
      <c r="J4286">
        <v>0</v>
      </c>
      <c r="K4286">
        <v>2993.0303856245891</v>
      </c>
      <c r="L4286">
        <v>0</v>
      </c>
      <c r="M4286">
        <v>0</v>
      </c>
      <c r="N4286">
        <v>0</v>
      </c>
      <c r="O4286">
        <v>6.1982970598619431</v>
      </c>
      <c r="P4286">
        <v>2218153</v>
      </c>
    </row>
    <row r="4287" spans="1:16" x14ac:dyDescent="0.25">
      <c r="A4287" s="10">
        <v>43985</v>
      </c>
      <c r="B4287">
        <v>-13336</v>
      </c>
      <c r="C4287">
        <v>1334.569</v>
      </c>
      <c r="D4287">
        <v>0</v>
      </c>
      <c r="E4287">
        <v>0</v>
      </c>
      <c r="F4287">
        <v>0</v>
      </c>
      <c r="G4287">
        <v>50420.076410039997</v>
      </c>
      <c r="H4287">
        <v>-65304.326958919992</v>
      </c>
      <c r="I4287">
        <v>0</v>
      </c>
      <c r="J4287">
        <v>0</v>
      </c>
      <c r="K4287">
        <v>173.97510937000001</v>
      </c>
      <c r="L4287">
        <v>0</v>
      </c>
      <c r="M4287">
        <v>0</v>
      </c>
      <c r="N4287">
        <v>0</v>
      </c>
      <c r="O4287">
        <v>39.706439509995107</v>
      </c>
      <c r="P4287">
        <v>2204817</v>
      </c>
    </row>
    <row r="4288" spans="1:16" x14ac:dyDescent="0.25">
      <c r="A4288" s="10">
        <v>43986</v>
      </c>
      <c r="B4288">
        <v>-29284</v>
      </c>
      <c r="C4288">
        <v>5094.3949999999977</v>
      </c>
      <c r="D4288">
        <v>0</v>
      </c>
      <c r="E4288">
        <v>0</v>
      </c>
      <c r="F4288">
        <v>0</v>
      </c>
      <c r="G4288">
        <v>-2088.475271990003</v>
      </c>
      <c r="H4288">
        <v>-23190.563360090018</v>
      </c>
      <c r="I4288">
        <v>-11795.581451734761</v>
      </c>
      <c r="J4288">
        <v>0</v>
      </c>
      <c r="K4288">
        <v>2714.244968434919</v>
      </c>
      <c r="L4288">
        <v>0</v>
      </c>
      <c r="M4288">
        <v>0</v>
      </c>
      <c r="N4288">
        <v>0</v>
      </c>
      <c r="O4288">
        <v>-18.019884620138331</v>
      </c>
      <c r="P4288">
        <v>2175533</v>
      </c>
    </row>
    <row r="4289" spans="1:16" x14ac:dyDescent="0.25">
      <c r="A4289" s="10">
        <v>43987</v>
      </c>
      <c r="B4289">
        <v>-36546</v>
      </c>
      <c r="C4289">
        <v>5561.6837999999989</v>
      </c>
      <c r="D4289">
        <v>0</v>
      </c>
      <c r="E4289">
        <v>0</v>
      </c>
      <c r="F4289">
        <v>0</v>
      </c>
      <c r="G4289">
        <v>-3122.458477590008</v>
      </c>
      <c r="H4289">
        <v>-38667.326800659997</v>
      </c>
      <c r="I4289">
        <v>0</v>
      </c>
      <c r="J4289">
        <v>0</v>
      </c>
      <c r="K4289">
        <v>220.0409426999999</v>
      </c>
      <c r="L4289">
        <v>0</v>
      </c>
      <c r="M4289">
        <v>0</v>
      </c>
      <c r="N4289">
        <v>0</v>
      </c>
      <c r="O4289">
        <v>-537.93946444999165</v>
      </c>
      <c r="P4289">
        <v>2138987</v>
      </c>
    </row>
    <row r="4290" spans="1:16" x14ac:dyDescent="0.25">
      <c r="A4290" s="10">
        <v>43990</v>
      </c>
      <c r="B4290">
        <v>-25949</v>
      </c>
      <c r="C4290">
        <v>2804.637999999999</v>
      </c>
      <c r="D4290">
        <v>-11000</v>
      </c>
      <c r="E4290">
        <v>0</v>
      </c>
      <c r="F4290">
        <v>0</v>
      </c>
      <c r="G4290">
        <v>68005.612081700005</v>
      </c>
      <c r="H4290">
        <v>-86576.558558700024</v>
      </c>
      <c r="I4290">
        <v>0</v>
      </c>
      <c r="J4290">
        <v>0</v>
      </c>
      <c r="K4290">
        <v>720.50742061000039</v>
      </c>
      <c r="L4290">
        <v>0</v>
      </c>
      <c r="M4290">
        <v>0</v>
      </c>
      <c r="N4290">
        <v>0</v>
      </c>
      <c r="O4290">
        <v>96.801056390020676</v>
      </c>
      <c r="P4290">
        <v>2113038</v>
      </c>
    </row>
    <row r="4291" spans="1:16" x14ac:dyDescent="0.25">
      <c r="A4291" s="10">
        <v>43991</v>
      </c>
      <c r="B4291">
        <v>2305</v>
      </c>
      <c r="C4291">
        <v>4943.3699000000033</v>
      </c>
      <c r="D4291">
        <v>0</v>
      </c>
      <c r="E4291">
        <v>0</v>
      </c>
      <c r="F4291">
        <v>0</v>
      </c>
      <c r="G4291">
        <v>546.95108563000269</v>
      </c>
      <c r="H4291">
        <v>5808.4312534800256</v>
      </c>
      <c r="I4291">
        <v>-17141.716327167349</v>
      </c>
      <c r="J4291">
        <v>0</v>
      </c>
      <c r="K4291">
        <v>8234.7970969574617</v>
      </c>
      <c r="L4291">
        <v>0</v>
      </c>
      <c r="M4291">
        <v>0</v>
      </c>
      <c r="N4291">
        <v>0</v>
      </c>
      <c r="O4291">
        <v>-86.833008900146524</v>
      </c>
      <c r="P4291">
        <v>2115343</v>
      </c>
    </row>
    <row r="4292" spans="1:16" x14ac:dyDescent="0.25">
      <c r="A4292" s="10">
        <v>43992</v>
      </c>
      <c r="B4292">
        <v>12298</v>
      </c>
      <c r="C4292">
        <v>6950.2410000000018</v>
      </c>
      <c r="D4292">
        <v>0</v>
      </c>
      <c r="E4292">
        <v>0</v>
      </c>
      <c r="F4292">
        <v>0</v>
      </c>
      <c r="G4292">
        <v>36405.961539080003</v>
      </c>
      <c r="H4292">
        <v>-31316.458083400041</v>
      </c>
      <c r="I4292">
        <v>0</v>
      </c>
      <c r="J4292">
        <v>0</v>
      </c>
      <c r="K4292">
        <v>282.2128232</v>
      </c>
      <c r="L4292">
        <v>0</v>
      </c>
      <c r="M4292">
        <v>0</v>
      </c>
      <c r="N4292">
        <v>0</v>
      </c>
      <c r="O4292">
        <v>-23.957278879959631</v>
      </c>
      <c r="P4292">
        <v>2127641</v>
      </c>
    </row>
    <row r="4293" spans="1:16" x14ac:dyDescent="0.25">
      <c r="A4293" s="10">
        <v>43993</v>
      </c>
      <c r="B4293">
        <v>-26632</v>
      </c>
      <c r="C4293">
        <v>7634.3930000000182</v>
      </c>
      <c r="D4293">
        <v>0</v>
      </c>
      <c r="E4293">
        <v>0</v>
      </c>
      <c r="F4293">
        <v>0</v>
      </c>
      <c r="G4293">
        <v>1758.3326192299969</v>
      </c>
      <c r="H4293">
        <v>-38024.25681029004</v>
      </c>
      <c r="I4293">
        <v>-2480.646611720324</v>
      </c>
      <c r="J4293">
        <v>0</v>
      </c>
      <c r="K4293">
        <v>4189.8539561905736</v>
      </c>
      <c r="L4293">
        <v>0</v>
      </c>
      <c r="M4293">
        <v>0</v>
      </c>
      <c r="N4293">
        <v>0</v>
      </c>
      <c r="O4293">
        <v>290.32384658977031</v>
      </c>
      <c r="P4293">
        <v>2101009</v>
      </c>
    </row>
    <row r="4294" spans="1:16" x14ac:dyDescent="0.25">
      <c r="A4294" s="10">
        <v>43994</v>
      </c>
      <c r="B4294">
        <v>-3418</v>
      </c>
      <c r="C4294">
        <v>2646.3369999999991</v>
      </c>
      <c r="D4294">
        <v>0</v>
      </c>
      <c r="E4294">
        <v>0</v>
      </c>
      <c r="F4294">
        <v>80000</v>
      </c>
      <c r="G4294">
        <v>-79028.988352329994</v>
      </c>
      <c r="H4294">
        <v>-8060.5736421800684</v>
      </c>
      <c r="I4294">
        <v>0</v>
      </c>
      <c r="J4294">
        <v>0</v>
      </c>
      <c r="K4294">
        <v>318.30798979999997</v>
      </c>
      <c r="L4294">
        <v>0</v>
      </c>
      <c r="M4294">
        <v>0</v>
      </c>
      <c r="N4294">
        <v>0</v>
      </c>
      <c r="O4294">
        <v>706.91700471006334</v>
      </c>
      <c r="P4294">
        <v>2097591</v>
      </c>
    </row>
    <row r="4295" spans="1:16" x14ac:dyDescent="0.25">
      <c r="A4295" s="10">
        <v>43998</v>
      </c>
      <c r="B4295">
        <v>23866</v>
      </c>
      <c r="C4295">
        <v>6786.89</v>
      </c>
      <c r="D4295">
        <v>0</v>
      </c>
      <c r="E4295">
        <v>0</v>
      </c>
      <c r="F4295">
        <v>0</v>
      </c>
      <c r="G4295">
        <v>-15794.823369600001</v>
      </c>
      <c r="H4295">
        <v>18697.50099198008</v>
      </c>
      <c r="I4295">
        <v>5990.0364753142931</v>
      </c>
      <c r="J4295">
        <v>0</v>
      </c>
      <c r="K4295">
        <v>7356.4807057657272</v>
      </c>
      <c r="L4295">
        <v>0</v>
      </c>
      <c r="M4295">
        <v>0</v>
      </c>
      <c r="N4295">
        <v>0</v>
      </c>
      <c r="O4295">
        <v>829.91519653989963</v>
      </c>
      <c r="P4295">
        <v>2121457</v>
      </c>
    </row>
    <row r="4296" spans="1:16" x14ac:dyDescent="0.25">
      <c r="A4296" s="10">
        <v>43999</v>
      </c>
      <c r="B4296">
        <v>-6555</v>
      </c>
      <c r="C4296">
        <v>-9.9999999999909051E-3</v>
      </c>
      <c r="D4296">
        <v>0</v>
      </c>
      <c r="E4296">
        <v>0</v>
      </c>
      <c r="F4296">
        <v>0</v>
      </c>
      <c r="G4296">
        <v>5295.2436646999986</v>
      </c>
      <c r="H4296">
        <v>-12107.146500090021</v>
      </c>
      <c r="I4296">
        <v>0</v>
      </c>
      <c r="J4296">
        <v>0</v>
      </c>
      <c r="K4296">
        <v>312.77095917999992</v>
      </c>
      <c r="L4296">
        <v>0</v>
      </c>
      <c r="M4296">
        <v>0</v>
      </c>
      <c r="N4296">
        <v>0</v>
      </c>
      <c r="O4296">
        <v>-55.85812378997889</v>
      </c>
      <c r="P4296">
        <v>2114902</v>
      </c>
    </row>
    <row r="4297" spans="1:16" x14ac:dyDescent="0.25">
      <c r="A4297" s="10">
        <v>44000</v>
      </c>
      <c r="B4297">
        <v>3607</v>
      </c>
      <c r="C4297">
        <v>-5917.4390000000003</v>
      </c>
      <c r="D4297">
        <v>0</v>
      </c>
      <c r="E4297">
        <v>0</v>
      </c>
      <c r="F4297">
        <v>0</v>
      </c>
      <c r="G4297">
        <v>14100.35979531</v>
      </c>
      <c r="H4297">
        <v>6999.7207098599756</v>
      </c>
      <c r="I4297">
        <v>-14554.831567629941</v>
      </c>
      <c r="J4297">
        <v>0</v>
      </c>
      <c r="K4297">
        <v>3123.248309350015</v>
      </c>
      <c r="L4297">
        <v>0</v>
      </c>
      <c r="M4297">
        <v>0</v>
      </c>
      <c r="N4297">
        <v>0</v>
      </c>
      <c r="O4297">
        <v>-144.05824689005519</v>
      </c>
      <c r="P4297">
        <v>2118509</v>
      </c>
    </row>
    <row r="4298" spans="1:16" x14ac:dyDescent="0.25">
      <c r="A4298" s="10">
        <v>44001</v>
      </c>
      <c r="B4298">
        <v>-8208</v>
      </c>
      <c r="C4298">
        <v>-1485.394</v>
      </c>
      <c r="D4298">
        <v>0</v>
      </c>
      <c r="E4298">
        <v>0</v>
      </c>
      <c r="F4298">
        <v>120000</v>
      </c>
      <c r="G4298">
        <v>-69555.216482759992</v>
      </c>
      <c r="H4298">
        <v>-57542.682551020058</v>
      </c>
      <c r="I4298">
        <v>0</v>
      </c>
      <c r="J4298">
        <v>0</v>
      </c>
      <c r="K4298">
        <v>315.42961909000002</v>
      </c>
      <c r="L4298">
        <v>0</v>
      </c>
      <c r="M4298">
        <v>0</v>
      </c>
      <c r="N4298">
        <v>0</v>
      </c>
      <c r="O4298">
        <v>59.863414690049467</v>
      </c>
      <c r="P4298">
        <v>2110301</v>
      </c>
    </row>
    <row r="4299" spans="1:16" x14ac:dyDescent="0.25">
      <c r="A4299" s="10">
        <v>44004</v>
      </c>
      <c r="B4299">
        <v>103195</v>
      </c>
      <c r="C4299">
        <v>1308.4190000000001</v>
      </c>
      <c r="D4299">
        <v>0</v>
      </c>
      <c r="E4299">
        <v>0</v>
      </c>
      <c r="F4299">
        <v>0</v>
      </c>
      <c r="G4299">
        <v>49020.344024019993</v>
      </c>
      <c r="H4299">
        <v>50744.636520620094</v>
      </c>
      <c r="I4299">
        <v>0</v>
      </c>
      <c r="J4299">
        <v>0</v>
      </c>
      <c r="K4299">
        <v>1036.15003232</v>
      </c>
      <c r="L4299">
        <v>0</v>
      </c>
      <c r="M4299">
        <v>0</v>
      </c>
      <c r="N4299">
        <v>0</v>
      </c>
      <c r="O4299">
        <v>1085.450423039933</v>
      </c>
      <c r="P4299">
        <v>2213496</v>
      </c>
    </row>
    <row r="4300" spans="1:16" x14ac:dyDescent="0.25">
      <c r="A4300" s="10">
        <v>44005</v>
      </c>
      <c r="B4300">
        <v>-77930</v>
      </c>
      <c r="C4300">
        <v>-3361.9449999999988</v>
      </c>
      <c r="D4300">
        <v>0</v>
      </c>
      <c r="E4300">
        <v>0</v>
      </c>
      <c r="F4300">
        <v>0</v>
      </c>
      <c r="G4300">
        <v>2289.6591182000029</v>
      </c>
      <c r="H4300">
        <v>-85483.029830350075</v>
      </c>
      <c r="I4300">
        <v>-971.67500001005828</v>
      </c>
      <c r="J4300">
        <v>0</v>
      </c>
      <c r="K4300">
        <v>9354.6433281700611</v>
      </c>
      <c r="L4300">
        <v>0</v>
      </c>
      <c r="M4300">
        <v>0</v>
      </c>
      <c r="N4300">
        <v>0</v>
      </c>
      <c r="O4300">
        <v>242.34738399006889</v>
      </c>
      <c r="P4300">
        <v>2135566</v>
      </c>
    </row>
    <row r="4301" spans="1:16" x14ac:dyDescent="0.25">
      <c r="A4301" s="10">
        <v>44006</v>
      </c>
      <c r="B4301">
        <v>7234</v>
      </c>
      <c r="C4301">
        <v>34.925000000000303</v>
      </c>
      <c r="D4301">
        <v>0</v>
      </c>
      <c r="E4301">
        <v>0</v>
      </c>
      <c r="F4301">
        <v>0</v>
      </c>
      <c r="G4301">
        <v>-266.73453503999428</v>
      </c>
      <c r="H4301">
        <v>7383.2479306199821</v>
      </c>
      <c r="I4301">
        <v>0</v>
      </c>
      <c r="J4301">
        <v>0</v>
      </c>
      <c r="K4301">
        <v>363.46634374000001</v>
      </c>
      <c r="L4301">
        <v>0</v>
      </c>
      <c r="M4301">
        <v>0</v>
      </c>
      <c r="N4301">
        <v>0</v>
      </c>
      <c r="O4301">
        <v>-280.90473931998798</v>
      </c>
      <c r="P4301">
        <v>2142800</v>
      </c>
    </row>
    <row r="4302" spans="1:16" x14ac:dyDescent="0.25">
      <c r="A4302" s="10">
        <v>44007</v>
      </c>
      <c r="B4302">
        <v>-2115</v>
      </c>
      <c r="C4302">
        <v>-3532.6175000000012</v>
      </c>
      <c r="D4302">
        <v>0</v>
      </c>
      <c r="E4302">
        <v>0</v>
      </c>
      <c r="F4302">
        <v>0</v>
      </c>
      <c r="G4302">
        <v>112.2392328099978</v>
      </c>
      <c r="H4302">
        <v>-2432.2578114500502</v>
      </c>
      <c r="I4302">
        <v>1.0011717677116391E-8</v>
      </c>
      <c r="J4302">
        <v>0</v>
      </c>
      <c r="K4302">
        <v>3248.7730092100151</v>
      </c>
      <c r="L4302">
        <v>0</v>
      </c>
      <c r="M4302">
        <v>0</v>
      </c>
      <c r="N4302">
        <v>0</v>
      </c>
      <c r="O4302">
        <v>488.86306942002687</v>
      </c>
      <c r="P4302">
        <v>2140685</v>
      </c>
    </row>
    <row r="4303" spans="1:16" x14ac:dyDescent="0.25">
      <c r="A4303" s="10">
        <v>44008</v>
      </c>
      <c r="B4303">
        <v>30687</v>
      </c>
      <c r="C4303">
        <v>1909.631000000001</v>
      </c>
      <c r="D4303">
        <v>0</v>
      </c>
      <c r="E4303">
        <v>0</v>
      </c>
      <c r="F4303">
        <v>0</v>
      </c>
      <c r="G4303">
        <v>561.6201017999856</v>
      </c>
      <c r="H4303">
        <v>27196.571001249951</v>
      </c>
      <c r="I4303">
        <v>0</v>
      </c>
      <c r="J4303">
        <v>0</v>
      </c>
      <c r="K4303">
        <v>360.88911597999987</v>
      </c>
      <c r="L4303">
        <v>0</v>
      </c>
      <c r="M4303">
        <v>0</v>
      </c>
      <c r="N4303">
        <v>0</v>
      </c>
      <c r="O4303">
        <v>658.288780970066</v>
      </c>
      <c r="P4303">
        <v>2171372</v>
      </c>
    </row>
    <row r="4304" spans="1:16" x14ac:dyDescent="0.25">
      <c r="A4304" s="10">
        <v>44011</v>
      </c>
      <c r="B4304">
        <v>31012</v>
      </c>
      <c r="C4304">
        <v>586.88099999999986</v>
      </c>
      <c r="D4304">
        <v>0</v>
      </c>
      <c r="E4304">
        <v>0</v>
      </c>
      <c r="F4304">
        <v>0</v>
      </c>
      <c r="G4304">
        <v>63702.251601440003</v>
      </c>
      <c r="H4304">
        <v>-34364.632401869982</v>
      </c>
      <c r="I4304">
        <v>0</v>
      </c>
      <c r="J4304">
        <v>0</v>
      </c>
      <c r="K4304">
        <v>1040.19598922</v>
      </c>
      <c r="L4304">
        <v>0</v>
      </c>
      <c r="M4304">
        <v>0</v>
      </c>
      <c r="N4304">
        <v>0</v>
      </c>
      <c r="O4304">
        <v>47.303811209985717</v>
      </c>
      <c r="P4304">
        <v>2202384</v>
      </c>
    </row>
    <row r="4305" spans="1:16" x14ac:dyDescent="0.25">
      <c r="A4305" s="10">
        <v>44012</v>
      </c>
      <c r="B4305">
        <v>-37883</v>
      </c>
      <c r="C4305">
        <v>3505.0734999999991</v>
      </c>
      <c r="D4305">
        <v>0</v>
      </c>
      <c r="E4305">
        <v>0</v>
      </c>
      <c r="F4305">
        <v>0</v>
      </c>
      <c r="G4305">
        <v>-16549.48089454</v>
      </c>
      <c r="H4305">
        <v>-36935.886119920062</v>
      </c>
      <c r="I4305">
        <v>-386.76623212290002</v>
      </c>
      <c r="J4305">
        <v>0</v>
      </c>
      <c r="K4305">
        <v>11711.670931362831</v>
      </c>
      <c r="L4305">
        <v>0</v>
      </c>
      <c r="M4305">
        <v>0</v>
      </c>
      <c r="N4305">
        <v>0</v>
      </c>
      <c r="O4305">
        <v>772.38881522013253</v>
      </c>
      <c r="P4305">
        <v>2164501</v>
      </c>
    </row>
    <row r="4306" spans="1:16" x14ac:dyDescent="0.25">
      <c r="A4306" s="10">
        <v>44013</v>
      </c>
      <c r="B4306">
        <v>194596</v>
      </c>
      <c r="C4306">
        <v>-7112.1195000000016</v>
      </c>
      <c r="D4306">
        <v>0</v>
      </c>
      <c r="E4306">
        <v>0</v>
      </c>
      <c r="F4306">
        <v>0</v>
      </c>
      <c r="G4306">
        <v>-11360.215667500001</v>
      </c>
      <c r="H4306">
        <v>212549.07510263001</v>
      </c>
      <c r="I4306">
        <v>0</v>
      </c>
      <c r="J4306">
        <v>0</v>
      </c>
      <c r="K4306">
        <v>383.84733478999982</v>
      </c>
      <c r="L4306">
        <v>0</v>
      </c>
      <c r="M4306">
        <v>0</v>
      </c>
      <c r="N4306">
        <v>0</v>
      </c>
      <c r="O4306">
        <v>135.41273008004649</v>
      </c>
      <c r="P4306">
        <v>2359097</v>
      </c>
    </row>
    <row r="4307" spans="1:16" x14ac:dyDescent="0.25">
      <c r="A4307" s="10">
        <v>44014</v>
      </c>
      <c r="B4307">
        <v>18377</v>
      </c>
      <c r="C4307">
        <v>-5448.8410000000003</v>
      </c>
      <c r="D4307">
        <v>0</v>
      </c>
      <c r="E4307">
        <v>0</v>
      </c>
      <c r="F4307">
        <v>0</v>
      </c>
      <c r="G4307">
        <v>59951.871195450003</v>
      </c>
      <c r="H4307">
        <v>-14855.57621113001</v>
      </c>
      <c r="I4307">
        <v>-23687.251162154829</v>
      </c>
      <c r="J4307">
        <v>0</v>
      </c>
      <c r="K4307">
        <v>3123.3305546646702</v>
      </c>
      <c r="L4307">
        <v>0</v>
      </c>
      <c r="M4307">
        <v>0</v>
      </c>
      <c r="N4307">
        <v>0</v>
      </c>
      <c r="O4307">
        <v>-706.53337682982601</v>
      </c>
      <c r="P4307">
        <v>2377474</v>
      </c>
    </row>
    <row r="4308" spans="1:16" x14ac:dyDescent="0.25">
      <c r="A4308" s="10">
        <v>44015</v>
      </c>
      <c r="B4308">
        <v>-8867</v>
      </c>
      <c r="C4308">
        <v>-3357.5542000000009</v>
      </c>
      <c r="D4308">
        <v>0</v>
      </c>
      <c r="E4308">
        <v>0</v>
      </c>
      <c r="F4308">
        <v>100000</v>
      </c>
      <c r="G4308">
        <v>-96500.570663799997</v>
      </c>
      <c r="H4308">
        <v>-8863.5936896000057</v>
      </c>
      <c r="I4308">
        <v>0</v>
      </c>
      <c r="J4308">
        <v>0</v>
      </c>
      <c r="K4308">
        <v>280.93839020999991</v>
      </c>
      <c r="L4308">
        <v>0</v>
      </c>
      <c r="M4308">
        <v>0</v>
      </c>
      <c r="N4308">
        <v>0</v>
      </c>
      <c r="O4308">
        <v>-426.21983680999801</v>
      </c>
      <c r="P4308">
        <v>2368607</v>
      </c>
    </row>
    <row r="4309" spans="1:16" x14ac:dyDescent="0.25">
      <c r="A4309" s="10">
        <v>44018</v>
      </c>
      <c r="B4309">
        <v>5160</v>
      </c>
      <c r="C4309">
        <v>828.32599999999934</v>
      </c>
      <c r="D4309">
        <v>0</v>
      </c>
      <c r="E4309">
        <v>0</v>
      </c>
      <c r="F4309">
        <v>0</v>
      </c>
      <c r="G4309">
        <v>1411.798138670001</v>
      </c>
      <c r="H4309">
        <v>2014.5790004599839</v>
      </c>
      <c r="I4309">
        <v>0</v>
      </c>
      <c r="J4309">
        <v>0</v>
      </c>
      <c r="K4309">
        <v>856.6569470300002</v>
      </c>
      <c r="L4309">
        <v>0</v>
      </c>
      <c r="M4309">
        <v>0</v>
      </c>
      <c r="N4309">
        <v>0</v>
      </c>
      <c r="O4309">
        <v>48.639913840015652</v>
      </c>
      <c r="P4309">
        <v>2373767</v>
      </c>
    </row>
    <row r="4310" spans="1:16" x14ac:dyDescent="0.25">
      <c r="A4310" s="10">
        <v>44019</v>
      </c>
      <c r="B4310">
        <v>14500</v>
      </c>
      <c r="C4310">
        <v>-3149.2483999999999</v>
      </c>
      <c r="D4310">
        <v>0</v>
      </c>
      <c r="E4310">
        <v>0</v>
      </c>
      <c r="F4310">
        <v>0</v>
      </c>
      <c r="G4310">
        <v>58525.311345950002</v>
      </c>
      <c r="H4310">
        <v>-28867.220951040039</v>
      </c>
      <c r="I4310">
        <v>-20078.05592971365</v>
      </c>
      <c r="J4310">
        <v>0</v>
      </c>
      <c r="K4310">
        <v>8733.7572547437339</v>
      </c>
      <c r="L4310">
        <v>0</v>
      </c>
      <c r="M4310">
        <v>0</v>
      </c>
      <c r="N4310">
        <v>0</v>
      </c>
      <c r="O4310">
        <v>-664.54331994004315</v>
      </c>
      <c r="P4310">
        <v>2388267</v>
      </c>
    </row>
    <row r="4311" spans="1:16" x14ac:dyDescent="0.25">
      <c r="A4311" s="10">
        <v>44020</v>
      </c>
      <c r="B4311">
        <v>-117346</v>
      </c>
      <c r="C4311">
        <v>-1794.1425999999999</v>
      </c>
      <c r="D4311">
        <v>0</v>
      </c>
      <c r="E4311">
        <v>-5000</v>
      </c>
      <c r="F4311">
        <v>0</v>
      </c>
      <c r="G4311">
        <v>5781.1842553500001</v>
      </c>
      <c r="H4311">
        <v>-139410.79068020999</v>
      </c>
      <c r="I4311">
        <v>19008.180931303181</v>
      </c>
      <c r="J4311">
        <v>0</v>
      </c>
      <c r="K4311">
        <v>4121.6232067169658</v>
      </c>
      <c r="L4311">
        <v>0</v>
      </c>
      <c r="M4311">
        <v>0</v>
      </c>
      <c r="N4311">
        <v>0</v>
      </c>
      <c r="O4311">
        <v>-52.055113160167821</v>
      </c>
      <c r="P4311">
        <v>2270921</v>
      </c>
    </row>
    <row r="4312" spans="1:16" x14ac:dyDescent="0.25">
      <c r="A4312" s="10">
        <v>44025</v>
      </c>
      <c r="B4312">
        <v>84090</v>
      </c>
      <c r="C4312">
        <v>1852.0550000000001</v>
      </c>
      <c r="D4312">
        <v>0</v>
      </c>
      <c r="E4312">
        <v>0</v>
      </c>
      <c r="F4312">
        <v>0</v>
      </c>
      <c r="G4312">
        <v>9016.4256054299967</v>
      </c>
      <c r="H4312">
        <v>70767.927220890066</v>
      </c>
      <c r="I4312">
        <v>0</v>
      </c>
      <c r="J4312">
        <v>0</v>
      </c>
      <c r="K4312">
        <v>1860.5020194700001</v>
      </c>
      <c r="L4312">
        <v>0</v>
      </c>
      <c r="M4312">
        <v>0</v>
      </c>
      <c r="N4312">
        <v>0</v>
      </c>
      <c r="O4312">
        <v>593.09015420994547</v>
      </c>
      <c r="P4312">
        <v>2355011</v>
      </c>
    </row>
    <row r="4313" spans="1:16" x14ac:dyDescent="0.25">
      <c r="A4313" s="10">
        <v>44026</v>
      </c>
      <c r="B4313">
        <v>-16059</v>
      </c>
      <c r="C4313">
        <v>1340.2570000000001</v>
      </c>
      <c r="D4313">
        <v>0</v>
      </c>
      <c r="E4313">
        <v>0</v>
      </c>
      <c r="F4313">
        <v>0</v>
      </c>
      <c r="G4313">
        <v>26.271611500000329</v>
      </c>
      <c r="H4313">
        <v>-16370.94947562995</v>
      </c>
      <c r="I4313">
        <v>-7396.2398498973344</v>
      </c>
      <c r="J4313">
        <v>0</v>
      </c>
      <c r="K4313">
        <v>6227.1136756573424</v>
      </c>
      <c r="L4313">
        <v>0</v>
      </c>
      <c r="M4313">
        <v>0</v>
      </c>
      <c r="N4313">
        <v>0</v>
      </c>
      <c r="O4313">
        <v>114.547038369943</v>
      </c>
      <c r="P4313">
        <v>2338952</v>
      </c>
    </row>
    <row r="4314" spans="1:16" x14ac:dyDescent="0.25">
      <c r="A4314" s="10">
        <v>44027</v>
      </c>
      <c r="B4314">
        <v>-50610</v>
      </c>
      <c r="C4314">
        <v>-6.9999999999936335E-2</v>
      </c>
      <c r="D4314">
        <v>0</v>
      </c>
      <c r="E4314">
        <v>0</v>
      </c>
      <c r="F4314">
        <v>0</v>
      </c>
      <c r="G4314">
        <v>493.04138799000009</v>
      </c>
      <c r="H4314">
        <v>-51325.345074280049</v>
      </c>
      <c r="I4314">
        <v>0</v>
      </c>
      <c r="J4314">
        <v>0</v>
      </c>
      <c r="K4314">
        <v>343.78416893000008</v>
      </c>
      <c r="L4314">
        <v>0</v>
      </c>
      <c r="M4314">
        <v>0</v>
      </c>
      <c r="N4314">
        <v>0</v>
      </c>
      <c r="O4314">
        <v>-121.4104826399489</v>
      </c>
      <c r="P4314">
        <v>2288342</v>
      </c>
    </row>
    <row r="4315" spans="1:16" x14ac:dyDescent="0.25">
      <c r="A4315" s="10">
        <v>44028</v>
      </c>
      <c r="B4315">
        <v>-19615</v>
      </c>
      <c r="C4315">
        <v>-2880.5236</v>
      </c>
      <c r="D4315">
        <v>0</v>
      </c>
      <c r="E4315">
        <v>0</v>
      </c>
      <c r="F4315">
        <v>0</v>
      </c>
      <c r="G4315">
        <v>-792.75509014001818</v>
      </c>
      <c r="H4315">
        <v>-19157.225185189978</v>
      </c>
      <c r="I4315">
        <v>-20.293432404985651</v>
      </c>
      <c r="J4315">
        <v>0</v>
      </c>
      <c r="K4315">
        <v>3598.9599042150148</v>
      </c>
      <c r="L4315">
        <v>0</v>
      </c>
      <c r="M4315">
        <v>0</v>
      </c>
      <c r="N4315">
        <v>0</v>
      </c>
      <c r="O4315">
        <v>-363.16259648003319</v>
      </c>
      <c r="P4315">
        <v>2268727</v>
      </c>
    </row>
    <row r="4316" spans="1:16" x14ac:dyDescent="0.25">
      <c r="A4316" s="10">
        <v>44029</v>
      </c>
      <c r="B4316">
        <v>-46851</v>
      </c>
      <c r="C4316">
        <v>-3211.6523999999999</v>
      </c>
      <c r="D4316">
        <v>0</v>
      </c>
      <c r="E4316">
        <v>0</v>
      </c>
      <c r="F4316">
        <v>0</v>
      </c>
      <c r="G4316">
        <v>338.97108276000228</v>
      </c>
      <c r="H4316">
        <v>-43819.179296229973</v>
      </c>
      <c r="I4316">
        <v>0</v>
      </c>
      <c r="J4316">
        <v>0</v>
      </c>
      <c r="K4316">
        <v>380.47372601000012</v>
      </c>
      <c r="L4316">
        <v>0</v>
      </c>
      <c r="M4316">
        <v>0</v>
      </c>
      <c r="N4316">
        <v>0</v>
      </c>
      <c r="O4316">
        <v>-539.61311254003522</v>
      </c>
      <c r="P4316">
        <v>2221876</v>
      </c>
    </row>
    <row r="4317" spans="1:16" x14ac:dyDescent="0.25">
      <c r="A4317" s="10">
        <v>44032</v>
      </c>
      <c r="B4317">
        <v>36505</v>
      </c>
      <c r="C4317">
        <v>894.01680000000113</v>
      </c>
      <c r="D4317">
        <v>0</v>
      </c>
      <c r="E4317">
        <v>0</v>
      </c>
      <c r="F4317">
        <v>0</v>
      </c>
      <c r="G4317">
        <v>1604.426420349994</v>
      </c>
      <c r="H4317">
        <v>32959.851050329977</v>
      </c>
      <c r="I4317">
        <v>0</v>
      </c>
      <c r="J4317">
        <v>0</v>
      </c>
      <c r="K4317">
        <v>1209.851129260001</v>
      </c>
      <c r="L4317">
        <v>0</v>
      </c>
      <c r="M4317">
        <v>0</v>
      </c>
      <c r="N4317">
        <v>0</v>
      </c>
      <c r="O4317">
        <v>-163.14539993996729</v>
      </c>
      <c r="P4317">
        <v>2258381</v>
      </c>
    </row>
    <row r="4318" spans="1:16" x14ac:dyDescent="0.25">
      <c r="A4318" s="10">
        <v>44033</v>
      </c>
      <c r="B4318">
        <v>16453</v>
      </c>
      <c r="C4318">
        <v>-1426.7807999999991</v>
      </c>
      <c r="D4318">
        <v>0</v>
      </c>
      <c r="E4318">
        <v>0</v>
      </c>
      <c r="F4318">
        <v>0</v>
      </c>
      <c r="G4318">
        <v>8850.6779963699973</v>
      </c>
      <c r="H4318">
        <v>-13838.664648229949</v>
      </c>
      <c r="I4318">
        <v>13490.562741850041</v>
      </c>
      <c r="J4318">
        <v>0</v>
      </c>
      <c r="K4318">
        <v>9450.1265269800624</v>
      </c>
      <c r="L4318">
        <v>0</v>
      </c>
      <c r="M4318">
        <v>0</v>
      </c>
      <c r="N4318">
        <v>0</v>
      </c>
      <c r="O4318">
        <v>-72.921816970141663</v>
      </c>
      <c r="P4318">
        <v>2274834</v>
      </c>
    </row>
    <row r="4319" spans="1:16" x14ac:dyDescent="0.25">
      <c r="A4319" s="10">
        <v>44034</v>
      </c>
      <c r="B4319">
        <v>7745</v>
      </c>
      <c r="C4319">
        <v>-2202.9582</v>
      </c>
      <c r="D4319">
        <v>0</v>
      </c>
      <c r="E4319">
        <v>0</v>
      </c>
      <c r="F4319">
        <v>0</v>
      </c>
      <c r="G4319">
        <v>2828.3746144299989</v>
      </c>
      <c r="H4319">
        <v>6878.4068291400326</v>
      </c>
      <c r="I4319">
        <v>0</v>
      </c>
      <c r="J4319">
        <v>0</v>
      </c>
      <c r="K4319">
        <v>393.33021552000002</v>
      </c>
      <c r="L4319">
        <v>0</v>
      </c>
      <c r="M4319">
        <v>0</v>
      </c>
      <c r="N4319">
        <v>0</v>
      </c>
      <c r="O4319">
        <v>-152.15345909003011</v>
      </c>
      <c r="P4319">
        <v>2282579</v>
      </c>
    </row>
    <row r="4320" spans="1:16" x14ac:dyDescent="0.25">
      <c r="A4320" s="10">
        <v>44035</v>
      </c>
      <c r="B4320">
        <v>-917</v>
      </c>
      <c r="C4320">
        <v>-2051.069</v>
      </c>
      <c r="D4320">
        <v>0</v>
      </c>
      <c r="E4320">
        <v>0</v>
      </c>
      <c r="F4320">
        <v>0</v>
      </c>
      <c r="G4320">
        <v>-59.999556240004573</v>
      </c>
      <c r="H4320">
        <v>15306.57482063002</v>
      </c>
      <c r="I4320">
        <v>-17490.149999999911</v>
      </c>
      <c r="J4320">
        <v>0</v>
      </c>
      <c r="K4320">
        <v>3278.8996749800149</v>
      </c>
      <c r="L4320">
        <v>0</v>
      </c>
      <c r="M4320">
        <v>0</v>
      </c>
      <c r="N4320">
        <v>0</v>
      </c>
      <c r="O4320">
        <v>98.744060629878277</v>
      </c>
      <c r="P4320">
        <v>2281662</v>
      </c>
    </row>
    <row r="4321" spans="1:16" x14ac:dyDescent="0.25">
      <c r="A4321" s="10">
        <v>44036</v>
      </c>
      <c r="B4321">
        <v>-18707</v>
      </c>
      <c r="C4321">
        <v>-1533.6569999999999</v>
      </c>
      <c r="D4321">
        <v>0</v>
      </c>
      <c r="E4321">
        <v>70000</v>
      </c>
      <c r="F4321">
        <v>0</v>
      </c>
      <c r="G4321">
        <v>-69954.271204110002</v>
      </c>
      <c r="H4321">
        <v>-18091.822901490032</v>
      </c>
      <c r="I4321">
        <v>0</v>
      </c>
      <c r="J4321">
        <v>0</v>
      </c>
      <c r="K4321">
        <v>381.78186889999989</v>
      </c>
      <c r="L4321">
        <v>0</v>
      </c>
      <c r="M4321">
        <v>0</v>
      </c>
      <c r="N4321">
        <v>0</v>
      </c>
      <c r="O4321">
        <v>490.96923670003531</v>
      </c>
      <c r="P4321">
        <v>2262955</v>
      </c>
    </row>
    <row r="4322" spans="1:16" x14ac:dyDescent="0.25">
      <c r="A4322" s="10">
        <v>44039</v>
      </c>
      <c r="B4322">
        <v>-2133</v>
      </c>
      <c r="C4322">
        <v>-2222.9872</v>
      </c>
      <c r="D4322">
        <v>0</v>
      </c>
      <c r="E4322">
        <v>0</v>
      </c>
      <c r="F4322">
        <v>0</v>
      </c>
      <c r="G4322">
        <v>46.086329350002558</v>
      </c>
      <c r="H4322">
        <v>-884.73007366003003</v>
      </c>
      <c r="I4322">
        <v>0</v>
      </c>
      <c r="J4322">
        <v>0</v>
      </c>
      <c r="K4322">
        <v>1173.59859031</v>
      </c>
      <c r="L4322">
        <v>0</v>
      </c>
      <c r="M4322">
        <v>0</v>
      </c>
      <c r="N4322">
        <v>0</v>
      </c>
      <c r="O4322">
        <v>-244.96764599997249</v>
      </c>
      <c r="P4322">
        <v>2260822</v>
      </c>
    </row>
    <row r="4323" spans="1:16" x14ac:dyDescent="0.25">
      <c r="A4323" s="10">
        <v>44040</v>
      </c>
      <c r="B4323">
        <v>20380</v>
      </c>
      <c r="C4323">
        <v>843.85400000000004</v>
      </c>
      <c r="D4323">
        <v>0</v>
      </c>
      <c r="E4323">
        <v>0</v>
      </c>
      <c r="F4323">
        <v>0</v>
      </c>
      <c r="G4323">
        <v>3341.6462296000018</v>
      </c>
      <c r="H4323">
        <v>-29451.984465030018</v>
      </c>
      <c r="I4323">
        <v>33452.595971720293</v>
      </c>
      <c r="J4323">
        <v>0</v>
      </c>
      <c r="K4323">
        <v>11749.985074530059</v>
      </c>
      <c r="L4323">
        <v>0</v>
      </c>
      <c r="M4323">
        <v>0</v>
      </c>
      <c r="N4323">
        <v>0</v>
      </c>
      <c r="O4323">
        <v>443.90318917966579</v>
      </c>
      <c r="P4323">
        <v>2281202</v>
      </c>
    </row>
    <row r="4324" spans="1:16" x14ac:dyDescent="0.25">
      <c r="A4324" s="10">
        <v>44041</v>
      </c>
      <c r="B4324">
        <v>10164</v>
      </c>
      <c r="C4324">
        <v>-1797.8</v>
      </c>
      <c r="D4324">
        <v>0</v>
      </c>
      <c r="E4324">
        <v>0</v>
      </c>
      <c r="F4324">
        <v>0</v>
      </c>
      <c r="G4324">
        <v>55603.567628329998</v>
      </c>
      <c r="H4324">
        <v>-43794.122610719991</v>
      </c>
      <c r="I4324">
        <v>0</v>
      </c>
      <c r="J4324">
        <v>0</v>
      </c>
      <c r="K4324">
        <v>406.99124447999992</v>
      </c>
      <c r="L4324">
        <v>0</v>
      </c>
      <c r="M4324">
        <v>0</v>
      </c>
      <c r="N4324">
        <v>0</v>
      </c>
      <c r="O4324">
        <v>-254.63626209000719</v>
      </c>
      <c r="P4324">
        <v>2291366</v>
      </c>
    </row>
    <row r="4325" spans="1:16" x14ac:dyDescent="0.25">
      <c r="A4325" s="10">
        <v>44042</v>
      </c>
      <c r="B4325">
        <v>94680</v>
      </c>
      <c r="C4325">
        <v>-4141.2366000000002</v>
      </c>
      <c r="D4325">
        <v>0</v>
      </c>
      <c r="E4325">
        <v>0</v>
      </c>
      <c r="F4325">
        <v>0</v>
      </c>
      <c r="G4325">
        <v>460.58719743</v>
      </c>
      <c r="H4325">
        <v>80856.521489350009</v>
      </c>
      <c r="I4325">
        <v>13569.126354070149</v>
      </c>
      <c r="J4325">
        <v>0</v>
      </c>
      <c r="K4325">
        <v>3970.4131851000161</v>
      </c>
      <c r="L4325">
        <v>0</v>
      </c>
      <c r="M4325">
        <v>0</v>
      </c>
      <c r="N4325">
        <v>0</v>
      </c>
      <c r="O4325">
        <v>-35.411625950160669</v>
      </c>
      <c r="P4325">
        <v>2386046</v>
      </c>
    </row>
    <row r="4326" spans="1:16" x14ac:dyDescent="0.25">
      <c r="A4326" s="10">
        <v>44043</v>
      </c>
      <c r="B4326">
        <v>42854</v>
      </c>
      <c r="C4326">
        <v>-3963.1560000000009</v>
      </c>
      <c r="D4326">
        <v>0</v>
      </c>
      <c r="E4326">
        <v>55000</v>
      </c>
      <c r="F4326">
        <v>0</v>
      </c>
      <c r="G4326">
        <v>-78376.203026760006</v>
      </c>
      <c r="H4326">
        <v>70464.773832830018</v>
      </c>
      <c r="I4326">
        <v>0</v>
      </c>
      <c r="J4326">
        <v>0</v>
      </c>
      <c r="K4326">
        <v>387.69848905999987</v>
      </c>
      <c r="L4326">
        <v>0</v>
      </c>
      <c r="M4326">
        <v>0</v>
      </c>
      <c r="N4326">
        <v>0</v>
      </c>
      <c r="O4326">
        <v>-659.11329513000965</v>
      </c>
      <c r="P4326">
        <v>2428900</v>
      </c>
    </row>
    <row r="4327" spans="1:16" x14ac:dyDescent="0.25">
      <c r="A4327" s="10">
        <v>44046</v>
      </c>
      <c r="B4327">
        <v>78074</v>
      </c>
      <c r="C4327">
        <v>-7108.1350000000011</v>
      </c>
      <c r="D4327">
        <v>0</v>
      </c>
      <c r="E4327">
        <v>0</v>
      </c>
      <c r="F4327">
        <v>0</v>
      </c>
      <c r="G4327">
        <v>-1481.100755709997</v>
      </c>
      <c r="H4327">
        <v>84069.772387939971</v>
      </c>
      <c r="I4327">
        <v>0</v>
      </c>
      <c r="J4327">
        <v>0</v>
      </c>
      <c r="K4327">
        <v>1053.05458722</v>
      </c>
      <c r="L4327">
        <v>0</v>
      </c>
      <c r="M4327">
        <v>0</v>
      </c>
      <c r="N4327">
        <v>0</v>
      </c>
      <c r="O4327">
        <v>1540.4087805500169</v>
      </c>
      <c r="P4327">
        <v>2506974</v>
      </c>
    </row>
    <row r="4328" spans="1:16" x14ac:dyDescent="0.25">
      <c r="A4328" s="10">
        <v>44047</v>
      </c>
      <c r="B4328">
        <v>-9616</v>
      </c>
      <c r="C4328">
        <v>-9146.8020999999972</v>
      </c>
      <c r="D4328">
        <v>0</v>
      </c>
      <c r="E4328">
        <v>0</v>
      </c>
      <c r="F4328">
        <v>0</v>
      </c>
      <c r="G4328">
        <v>54440.789754450001</v>
      </c>
      <c r="H4328">
        <v>12083.767149999971</v>
      </c>
      <c r="I4328">
        <v>-75999.888391793706</v>
      </c>
      <c r="J4328">
        <v>0</v>
      </c>
      <c r="K4328">
        <v>9341.7987246938865</v>
      </c>
      <c r="L4328">
        <v>0</v>
      </c>
      <c r="M4328">
        <v>0</v>
      </c>
      <c r="N4328">
        <v>0</v>
      </c>
      <c r="O4328">
        <v>-335.66513735015542</v>
      </c>
      <c r="P4328">
        <v>2497358</v>
      </c>
    </row>
    <row r="4329" spans="1:16" x14ac:dyDescent="0.25">
      <c r="A4329" s="10">
        <v>44048</v>
      </c>
      <c r="B4329">
        <v>-42788</v>
      </c>
      <c r="C4329">
        <v>-8749.5475999999999</v>
      </c>
      <c r="D4329">
        <v>0</v>
      </c>
      <c r="E4329">
        <v>0</v>
      </c>
      <c r="F4329">
        <v>0</v>
      </c>
      <c r="G4329">
        <v>2333.649634469999</v>
      </c>
      <c r="H4329">
        <v>-35910.589364859967</v>
      </c>
      <c r="I4329">
        <v>0</v>
      </c>
      <c r="J4329">
        <v>0</v>
      </c>
      <c r="K4329">
        <v>300.96566826999998</v>
      </c>
      <c r="L4329">
        <v>0</v>
      </c>
      <c r="M4329">
        <v>0</v>
      </c>
      <c r="N4329">
        <v>0</v>
      </c>
      <c r="O4329">
        <v>-762.47833788002754</v>
      </c>
      <c r="P4329">
        <v>2454570</v>
      </c>
    </row>
    <row r="4330" spans="1:16" x14ac:dyDescent="0.25">
      <c r="A4330" s="10">
        <v>44049</v>
      </c>
      <c r="B4330">
        <v>-54050</v>
      </c>
      <c r="C4330">
        <v>-6128.6239999999998</v>
      </c>
      <c r="D4330">
        <v>-27000</v>
      </c>
      <c r="E4330">
        <v>0</v>
      </c>
      <c r="F4330">
        <v>0</v>
      </c>
      <c r="G4330">
        <v>26708.478610800001</v>
      </c>
      <c r="H4330">
        <v>9300.7641555400332</v>
      </c>
      <c r="I4330">
        <v>-60763.438455299467</v>
      </c>
      <c r="J4330">
        <v>0</v>
      </c>
      <c r="K4330">
        <v>3850.978834579314</v>
      </c>
      <c r="L4330">
        <v>0</v>
      </c>
      <c r="M4330">
        <v>0</v>
      </c>
      <c r="N4330">
        <v>0</v>
      </c>
      <c r="O4330">
        <v>-18.159145619873019</v>
      </c>
      <c r="P4330">
        <v>2400520</v>
      </c>
    </row>
    <row r="4331" spans="1:16" x14ac:dyDescent="0.25">
      <c r="A4331" s="10">
        <v>44050</v>
      </c>
      <c r="B4331">
        <v>-56289</v>
      </c>
      <c r="C4331">
        <v>-3518.439499999999</v>
      </c>
      <c r="D4331">
        <v>0</v>
      </c>
      <c r="E4331">
        <v>40000</v>
      </c>
      <c r="F4331">
        <v>0</v>
      </c>
      <c r="G4331">
        <v>-39663.146509639999</v>
      </c>
      <c r="H4331">
        <v>-52206.350160000031</v>
      </c>
      <c r="I4331">
        <v>0</v>
      </c>
      <c r="J4331">
        <v>0</v>
      </c>
      <c r="K4331">
        <v>314.8173581499999</v>
      </c>
      <c r="L4331">
        <v>0</v>
      </c>
      <c r="M4331">
        <v>0</v>
      </c>
      <c r="N4331">
        <v>0</v>
      </c>
      <c r="O4331">
        <v>-1215.881188509964</v>
      </c>
      <c r="P4331">
        <v>2344231</v>
      </c>
    </row>
    <row r="4332" spans="1:16" x14ac:dyDescent="0.25">
      <c r="A4332" s="10">
        <v>44053</v>
      </c>
      <c r="B4332">
        <v>45120</v>
      </c>
      <c r="C4332">
        <v>-0.17499999999949981</v>
      </c>
      <c r="D4332">
        <v>0</v>
      </c>
      <c r="E4332">
        <v>0</v>
      </c>
      <c r="F4332">
        <v>0</v>
      </c>
      <c r="G4332">
        <v>41237.602249389987</v>
      </c>
      <c r="H4332">
        <v>3119.8727882399689</v>
      </c>
      <c r="I4332">
        <v>0</v>
      </c>
      <c r="J4332">
        <v>0</v>
      </c>
      <c r="K4332">
        <v>1025.9797993</v>
      </c>
      <c r="L4332">
        <v>0</v>
      </c>
      <c r="M4332">
        <v>0</v>
      </c>
      <c r="N4332">
        <v>0</v>
      </c>
      <c r="O4332">
        <v>-263.27983692996349</v>
      </c>
      <c r="P4332">
        <v>2389351</v>
      </c>
    </row>
    <row r="4333" spans="1:16" x14ac:dyDescent="0.25">
      <c r="A4333" s="10">
        <v>44054</v>
      </c>
      <c r="B4333">
        <v>-40481</v>
      </c>
      <c r="C4333">
        <v>-2153.52</v>
      </c>
      <c r="D4333">
        <v>0</v>
      </c>
      <c r="E4333">
        <v>0</v>
      </c>
      <c r="F4333">
        <v>0</v>
      </c>
      <c r="G4333">
        <v>469.0403316000012</v>
      </c>
      <c r="H4333">
        <v>-11338.70935839997</v>
      </c>
      <c r="I4333">
        <v>-34054.361451712437</v>
      </c>
      <c r="J4333">
        <v>0</v>
      </c>
      <c r="K4333">
        <v>6447.8261139125671</v>
      </c>
      <c r="L4333">
        <v>0</v>
      </c>
      <c r="M4333">
        <v>0</v>
      </c>
      <c r="N4333">
        <v>0</v>
      </c>
      <c r="O4333">
        <v>148.72436459983149</v>
      </c>
      <c r="P4333">
        <v>2348870</v>
      </c>
    </row>
    <row r="4334" spans="1:16" x14ac:dyDescent="0.25">
      <c r="A4334" s="10">
        <v>44055</v>
      </c>
      <c r="B4334">
        <v>17090</v>
      </c>
      <c r="C4334">
        <v>-3484.4850000000001</v>
      </c>
      <c r="D4334">
        <v>0</v>
      </c>
      <c r="E4334">
        <v>0</v>
      </c>
      <c r="F4334">
        <v>0</v>
      </c>
      <c r="G4334">
        <v>-61.020166869998697</v>
      </c>
      <c r="H4334">
        <v>20531.367540869978</v>
      </c>
      <c r="I4334">
        <v>0</v>
      </c>
      <c r="J4334">
        <v>0</v>
      </c>
      <c r="K4334">
        <v>346.27156494000002</v>
      </c>
      <c r="L4334">
        <v>0</v>
      </c>
      <c r="M4334">
        <v>0</v>
      </c>
      <c r="N4334">
        <v>0</v>
      </c>
      <c r="O4334">
        <v>-242.13393893998</v>
      </c>
      <c r="P4334">
        <v>2365960</v>
      </c>
    </row>
    <row r="4335" spans="1:16" x14ac:dyDescent="0.25">
      <c r="A4335" s="10">
        <v>44056</v>
      </c>
      <c r="B4335">
        <v>-61816</v>
      </c>
      <c r="C4335">
        <v>-6090.0730000000012</v>
      </c>
      <c r="D4335">
        <v>0</v>
      </c>
      <c r="E4335">
        <v>0</v>
      </c>
      <c r="F4335">
        <v>0</v>
      </c>
      <c r="G4335">
        <v>-56542.863225430003</v>
      </c>
      <c r="H4335">
        <v>24087.896397360018</v>
      </c>
      <c r="I4335">
        <v>-27802.697169390041</v>
      </c>
      <c r="J4335">
        <v>0</v>
      </c>
      <c r="K4335">
        <v>3564.634003700015</v>
      </c>
      <c r="L4335">
        <v>0</v>
      </c>
      <c r="M4335">
        <v>0</v>
      </c>
      <c r="N4335">
        <v>0</v>
      </c>
      <c r="O4335">
        <v>967.10299376001785</v>
      </c>
      <c r="P4335">
        <v>2304144</v>
      </c>
    </row>
    <row r="4336" spans="1:16" x14ac:dyDescent="0.25">
      <c r="A4336" s="10">
        <v>44057</v>
      </c>
      <c r="B4336">
        <v>-32671</v>
      </c>
      <c r="C4336">
        <v>-7612.3149999999996</v>
      </c>
      <c r="D4336">
        <v>-9000</v>
      </c>
      <c r="E4336">
        <v>0</v>
      </c>
      <c r="F4336">
        <v>0</v>
      </c>
      <c r="G4336">
        <v>10182.10137232001</v>
      </c>
      <c r="H4336">
        <v>-26224.181999380002</v>
      </c>
      <c r="I4336">
        <v>0</v>
      </c>
      <c r="J4336">
        <v>0</v>
      </c>
      <c r="K4336">
        <v>323.04509871000022</v>
      </c>
      <c r="L4336">
        <v>0</v>
      </c>
      <c r="M4336">
        <v>0</v>
      </c>
      <c r="N4336">
        <v>0</v>
      </c>
      <c r="O4336">
        <v>-339.64947165000558</v>
      </c>
      <c r="P4336">
        <v>2271473</v>
      </c>
    </row>
    <row r="4337" spans="1:16" x14ac:dyDescent="0.25">
      <c r="A4337" s="10">
        <v>44061</v>
      </c>
      <c r="B4337">
        <v>13402</v>
      </c>
      <c r="C4337">
        <v>293.40000000000038</v>
      </c>
      <c r="D4337">
        <v>0</v>
      </c>
      <c r="E4337">
        <v>0</v>
      </c>
      <c r="F4337">
        <v>0</v>
      </c>
      <c r="G4337">
        <v>40109.571220160004</v>
      </c>
      <c r="H4337">
        <v>-56166.610288689961</v>
      </c>
      <c r="I4337">
        <v>19178.568313429831</v>
      </c>
      <c r="J4337">
        <v>0</v>
      </c>
      <c r="K4337">
        <v>10017.52491310004</v>
      </c>
      <c r="L4337">
        <v>0</v>
      </c>
      <c r="M4337">
        <v>0</v>
      </c>
      <c r="N4337">
        <v>0</v>
      </c>
      <c r="O4337">
        <v>-30.454157999909508</v>
      </c>
      <c r="P4337">
        <v>2284875</v>
      </c>
    </row>
    <row r="4338" spans="1:16" x14ac:dyDescent="0.25">
      <c r="A4338" s="10">
        <v>44062</v>
      </c>
      <c r="B4338">
        <v>-15367</v>
      </c>
      <c r="C4338">
        <v>-3086.17</v>
      </c>
      <c r="D4338">
        <v>0</v>
      </c>
      <c r="E4338">
        <v>0</v>
      </c>
      <c r="F4338">
        <v>0</v>
      </c>
      <c r="G4338">
        <v>669.08265306000158</v>
      </c>
      <c r="H4338">
        <v>-13004.388941420009</v>
      </c>
      <c r="I4338">
        <v>0</v>
      </c>
      <c r="J4338">
        <v>0</v>
      </c>
      <c r="K4338">
        <v>365.9334563700001</v>
      </c>
      <c r="L4338">
        <v>0</v>
      </c>
      <c r="M4338">
        <v>0</v>
      </c>
      <c r="N4338">
        <v>0</v>
      </c>
      <c r="O4338">
        <v>-311.45716800999247</v>
      </c>
      <c r="P4338">
        <v>2269508</v>
      </c>
    </row>
    <row r="4339" spans="1:16" x14ac:dyDescent="0.25">
      <c r="A4339" s="10">
        <v>44063</v>
      </c>
      <c r="B4339">
        <v>10746</v>
      </c>
      <c r="C4339">
        <v>-1538.2541000000001</v>
      </c>
      <c r="D4339">
        <v>0</v>
      </c>
      <c r="E4339">
        <v>0</v>
      </c>
      <c r="F4339">
        <v>0</v>
      </c>
      <c r="G4339">
        <v>329.42354360001838</v>
      </c>
      <c r="H4339">
        <v>25288.754421159971</v>
      </c>
      <c r="I4339">
        <v>-17092.358874140071</v>
      </c>
      <c r="J4339">
        <v>0</v>
      </c>
      <c r="K4339">
        <v>3771.7028643500148</v>
      </c>
      <c r="L4339">
        <v>0</v>
      </c>
      <c r="M4339">
        <v>0</v>
      </c>
      <c r="N4339">
        <v>0</v>
      </c>
      <c r="O4339">
        <v>-13.26785496993398</v>
      </c>
      <c r="P4339">
        <v>2280254</v>
      </c>
    </row>
    <row r="4340" spans="1:16" x14ac:dyDescent="0.25">
      <c r="A4340" s="10">
        <v>44064</v>
      </c>
      <c r="B4340">
        <v>-21180</v>
      </c>
      <c r="C4340">
        <v>-3388.3689999999988</v>
      </c>
      <c r="D4340">
        <v>0</v>
      </c>
      <c r="E4340">
        <v>0</v>
      </c>
      <c r="F4340">
        <v>0</v>
      </c>
      <c r="G4340">
        <v>8912.7609918000035</v>
      </c>
      <c r="H4340">
        <v>-27067.19974068995</v>
      </c>
      <c r="I4340">
        <v>0</v>
      </c>
      <c r="J4340">
        <v>0</v>
      </c>
      <c r="K4340">
        <v>359.53885518999988</v>
      </c>
      <c r="L4340">
        <v>0</v>
      </c>
      <c r="M4340">
        <v>0</v>
      </c>
      <c r="N4340">
        <v>0</v>
      </c>
      <c r="O4340">
        <v>3.2688936999438738</v>
      </c>
      <c r="P4340">
        <v>2259074</v>
      </c>
    </row>
    <row r="4341" spans="1:16" x14ac:dyDescent="0.25">
      <c r="A4341" s="10">
        <v>44067</v>
      </c>
      <c r="B4341">
        <v>5074</v>
      </c>
      <c r="C4341">
        <v>-147.80000000000001</v>
      </c>
      <c r="D4341">
        <v>0</v>
      </c>
      <c r="E4341">
        <v>0</v>
      </c>
      <c r="F4341">
        <v>0</v>
      </c>
      <c r="G4341">
        <v>-81.640075320001756</v>
      </c>
      <c r="H4341">
        <v>3990.408951389953</v>
      </c>
      <c r="I4341">
        <v>0</v>
      </c>
      <c r="J4341">
        <v>0</v>
      </c>
      <c r="K4341">
        <v>1120.8858911700011</v>
      </c>
      <c r="L4341">
        <v>0</v>
      </c>
      <c r="M4341">
        <v>0</v>
      </c>
      <c r="N4341">
        <v>0</v>
      </c>
      <c r="O4341">
        <v>192.1452327600482</v>
      </c>
      <c r="P4341">
        <v>2264148</v>
      </c>
    </row>
    <row r="4342" spans="1:16" x14ac:dyDescent="0.25">
      <c r="A4342" s="10">
        <v>44068</v>
      </c>
      <c r="B4342">
        <v>13964</v>
      </c>
      <c r="C4342">
        <v>-8370.0840000000007</v>
      </c>
      <c r="D4342">
        <v>0</v>
      </c>
      <c r="E4342">
        <v>0</v>
      </c>
      <c r="F4342">
        <v>0</v>
      </c>
      <c r="G4342">
        <v>-1040.850933569998</v>
      </c>
      <c r="H4342">
        <v>-22481.201119470061</v>
      </c>
      <c r="I4342">
        <v>35394.461594350643</v>
      </c>
      <c r="J4342">
        <v>0</v>
      </c>
      <c r="K4342">
        <v>10754.71006290954</v>
      </c>
      <c r="L4342">
        <v>0</v>
      </c>
      <c r="M4342">
        <v>0</v>
      </c>
      <c r="N4342">
        <v>0</v>
      </c>
      <c r="O4342">
        <v>-293.03560422012202</v>
      </c>
      <c r="P4342">
        <v>2278112</v>
      </c>
    </row>
    <row r="4343" spans="1:16" x14ac:dyDescent="0.25">
      <c r="A4343" s="10">
        <v>44069</v>
      </c>
      <c r="B4343">
        <v>-11969</v>
      </c>
      <c r="C4343">
        <v>-6695.6264999999994</v>
      </c>
      <c r="D4343">
        <v>0</v>
      </c>
      <c r="E4343">
        <v>0</v>
      </c>
      <c r="F4343">
        <v>0</v>
      </c>
      <c r="G4343">
        <v>930.08297538000181</v>
      </c>
      <c r="H4343">
        <v>-6557.5612750300206</v>
      </c>
      <c r="I4343">
        <v>0</v>
      </c>
      <c r="J4343">
        <v>0</v>
      </c>
      <c r="K4343">
        <v>383.25397428000002</v>
      </c>
      <c r="L4343">
        <v>0</v>
      </c>
      <c r="M4343">
        <v>0</v>
      </c>
      <c r="N4343">
        <v>0</v>
      </c>
      <c r="O4343">
        <v>-29.149174629981641</v>
      </c>
      <c r="P4343">
        <v>2266143</v>
      </c>
    </row>
    <row r="4344" spans="1:16" x14ac:dyDescent="0.25">
      <c r="A4344" s="10">
        <v>44070</v>
      </c>
      <c r="B4344">
        <v>14043</v>
      </c>
      <c r="C4344">
        <v>-5915.228000000001</v>
      </c>
      <c r="D4344">
        <v>0</v>
      </c>
      <c r="E4344">
        <v>0</v>
      </c>
      <c r="F4344">
        <v>0</v>
      </c>
      <c r="G4344">
        <v>9643.9954887500044</v>
      </c>
      <c r="H4344">
        <v>24915.51398458995</v>
      </c>
      <c r="I4344">
        <v>-17720.488599128319</v>
      </c>
      <c r="J4344">
        <v>0</v>
      </c>
      <c r="K4344">
        <v>3531.7430574383229</v>
      </c>
      <c r="L4344">
        <v>0</v>
      </c>
      <c r="M4344">
        <v>0</v>
      </c>
      <c r="N4344">
        <v>0</v>
      </c>
      <c r="O4344">
        <v>-412.53593164995982</v>
      </c>
      <c r="P4344">
        <v>2280186</v>
      </c>
    </row>
    <row r="4345" spans="1:16" x14ac:dyDescent="0.25">
      <c r="A4345" s="10">
        <v>44071</v>
      </c>
      <c r="B4345">
        <v>44571</v>
      </c>
      <c r="C4345">
        <v>-7940.2000000000007</v>
      </c>
      <c r="D4345">
        <v>-5000</v>
      </c>
      <c r="E4345">
        <v>0</v>
      </c>
      <c r="F4345">
        <v>0</v>
      </c>
      <c r="G4345">
        <v>-34723.445442810007</v>
      </c>
      <c r="H4345">
        <v>92233.614198570023</v>
      </c>
      <c r="I4345">
        <v>0</v>
      </c>
      <c r="J4345">
        <v>0</v>
      </c>
      <c r="K4345">
        <v>373.69777976</v>
      </c>
      <c r="L4345">
        <v>0</v>
      </c>
      <c r="M4345">
        <v>0</v>
      </c>
      <c r="N4345">
        <v>0</v>
      </c>
      <c r="O4345">
        <v>-372.66653552000929</v>
      </c>
      <c r="P4345">
        <v>2324757</v>
      </c>
    </row>
    <row r="4346" spans="1:16" x14ac:dyDescent="0.25">
      <c r="A4346" s="10">
        <v>44074</v>
      </c>
      <c r="B4346">
        <v>-37532</v>
      </c>
      <c r="C4346">
        <v>-2876.0509000000002</v>
      </c>
      <c r="D4346">
        <v>0</v>
      </c>
      <c r="E4346">
        <v>0</v>
      </c>
      <c r="F4346">
        <v>0</v>
      </c>
      <c r="G4346">
        <v>-1253.103743429996</v>
      </c>
      <c r="H4346">
        <v>-34319.542257740053</v>
      </c>
      <c r="I4346">
        <v>0</v>
      </c>
      <c r="J4346">
        <v>0</v>
      </c>
      <c r="K4346">
        <v>977.05728414999987</v>
      </c>
      <c r="L4346">
        <v>0</v>
      </c>
      <c r="M4346">
        <v>0</v>
      </c>
      <c r="N4346">
        <v>0</v>
      </c>
      <c r="O4346">
        <v>-60.360382979961287</v>
      </c>
      <c r="P4346">
        <v>2287225</v>
      </c>
    </row>
    <row r="4347" spans="1:16" x14ac:dyDescent="0.25">
      <c r="A4347" s="10">
        <v>44075</v>
      </c>
      <c r="B4347">
        <v>71981</v>
      </c>
      <c r="C4347">
        <v>-17857.915000000001</v>
      </c>
      <c r="D4347">
        <v>0</v>
      </c>
      <c r="E4347">
        <v>0</v>
      </c>
      <c r="F4347">
        <v>0</v>
      </c>
      <c r="G4347">
        <v>95.38531019000051</v>
      </c>
      <c r="H4347">
        <v>56251.102047919987</v>
      </c>
      <c r="I4347">
        <v>22095.322999871099</v>
      </c>
      <c r="J4347">
        <v>0</v>
      </c>
      <c r="K4347">
        <v>11593.5430490486</v>
      </c>
      <c r="L4347">
        <v>0</v>
      </c>
      <c r="M4347">
        <v>0</v>
      </c>
      <c r="N4347">
        <v>0</v>
      </c>
      <c r="O4347">
        <v>-196.4384070297092</v>
      </c>
      <c r="P4347">
        <v>2359206</v>
      </c>
    </row>
    <row r="4348" spans="1:16" x14ac:dyDescent="0.25">
      <c r="A4348" s="10">
        <v>44076</v>
      </c>
      <c r="B4348">
        <v>52230</v>
      </c>
      <c r="C4348">
        <v>-8477.6823999999997</v>
      </c>
      <c r="D4348">
        <v>0</v>
      </c>
      <c r="E4348">
        <v>0</v>
      </c>
      <c r="F4348">
        <v>0</v>
      </c>
      <c r="G4348">
        <v>69788.820837220002</v>
      </c>
      <c r="H4348">
        <v>-10212.058300080011</v>
      </c>
      <c r="I4348">
        <v>0</v>
      </c>
      <c r="J4348">
        <v>0</v>
      </c>
      <c r="K4348">
        <v>314.26933295999987</v>
      </c>
      <c r="L4348">
        <v>0</v>
      </c>
      <c r="M4348">
        <v>0</v>
      </c>
      <c r="N4348">
        <v>0</v>
      </c>
      <c r="O4348">
        <v>816.65052990000549</v>
      </c>
      <c r="P4348">
        <v>2411436</v>
      </c>
    </row>
    <row r="4349" spans="1:16" x14ac:dyDescent="0.25">
      <c r="A4349" s="10">
        <v>44077</v>
      </c>
      <c r="B4349">
        <v>-26728</v>
      </c>
      <c r="C4349">
        <v>-6045.616399999999</v>
      </c>
      <c r="D4349">
        <v>0</v>
      </c>
      <c r="E4349">
        <v>0</v>
      </c>
      <c r="F4349">
        <v>0</v>
      </c>
      <c r="G4349">
        <v>760.75763836000033</v>
      </c>
      <c r="H4349">
        <v>-5386.2542190200184</v>
      </c>
      <c r="I4349">
        <v>-21796.330349932188</v>
      </c>
      <c r="J4349">
        <v>0</v>
      </c>
      <c r="K4349">
        <v>5500.4318923921173</v>
      </c>
      <c r="L4349">
        <v>0</v>
      </c>
      <c r="M4349">
        <v>0</v>
      </c>
      <c r="N4349">
        <v>0</v>
      </c>
      <c r="O4349">
        <v>239.0114382000902</v>
      </c>
      <c r="P4349">
        <v>2384708</v>
      </c>
    </row>
    <row r="4350" spans="1:16" x14ac:dyDescent="0.25">
      <c r="A4350" s="10">
        <v>44078</v>
      </c>
      <c r="B4350">
        <v>-39</v>
      </c>
      <c r="C4350">
        <v>-2560.7460000000001</v>
      </c>
      <c r="D4350">
        <v>0</v>
      </c>
      <c r="E4350">
        <v>-3500</v>
      </c>
      <c r="F4350">
        <v>0</v>
      </c>
      <c r="G4350">
        <v>4543.8990902099986</v>
      </c>
      <c r="H4350">
        <v>1402.451859010034</v>
      </c>
      <c r="I4350">
        <v>0</v>
      </c>
      <c r="J4350">
        <v>0</v>
      </c>
      <c r="K4350">
        <v>322.38900249000011</v>
      </c>
      <c r="L4350">
        <v>0</v>
      </c>
      <c r="M4350">
        <v>0</v>
      </c>
      <c r="N4350">
        <v>0</v>
      </c>
      <c r="O4350">
        <v>-246.99395171003371</v>
      </c>
      <c r="P4350">
        <v>2384669</v>
      </c>
    </row>
    <row r="4351" spans="1:16" x14ac:dyDescent="0.25">
      <c r="A4351" s="10">
        <v>44081</v>
      </c>
      <c r="B4351">
        <v>-74262</v>
      </c>
      <c r="C4351">
        <v>-1687.12</v>
      </c>
      <c r="D4351">
        <v>0</v>
      </c>
      <c r="E4351">
        <v>0</v>
      </c>
      <c r="F4351">
        <v>0</v>
      </c>
      <c r="G4351">
        <v>-12.322360780003461</v>
      </c>
      <c r="H4351">
        <v>-72392.360405400046</v>
      </c>
      <c r="I4351">
        <v>0</v>
      </c>
      <c r="J4351">
        <v>0</v>
      </c>
      <c r="K4351">
        <v>964.97687712000072</v>
      </c>
      <c r="L4351">
        <v>0</v>
      </c>
      <c r="M4351">
        <v>0</v>
      </c>
      <c r="N4351">
        <v>0</v>
      </c>
      <c r="O4351">
        <v>-1135.1741109399591</v>
      </c>
      <c r="P4351">
        <v>2310407</v>
      </c>
    </row>
    <row r="4352" spans="1:16" x14ac:dyDescent="0.25">
      <c r="A4352" s="10">
        <v>44082</v>
      </c>
      <c r="B4352">
        <v>-8684</v>
      </c>
      <c r="C4352">
        <v>-8660.383200000002</v>
      </c>
      <c r="D4352">
        <v>0</v>
      </c>
      <c r="E4352">
        <v>0</v>
      </c>
      <c r="F4352">
        <v>0</v>
      </c>
      <c r="G4352">
        <v>33.86919521000295</v>
      </c>
      <c r="H4352">
        <v>-15145.19910448999</v>
      </c>
      <c r="I4352">
        <v>7970.0244276064914</v>
      </c>
      <c r="J4352">
        <v>0</v>
      </c>
      <c r="K4352">
        <v>7459.5077936934504</v>
      </c>
      <c r="L4352">
        <v>0</v>
      </c>
      <c r="M4352">
        <v>0</v>
      </c>
      <c r="N4352">
        <v>0</v>
      </c>
      <c r="O4352">
        <v>-341.81911201995172</v>
      </c>
      <c r="P4352">
        <v>2301723</v>
      </c>
    </row>
    <row r="4353" spans="1:16" x14ac:dyDescent="0.25">
      <c r="A4353" s="10">
        <v>44083</v>
      </c>
      <c r="B4353">
        <v>-14967</v>
      </c>
      <c r="C4353">
        <v>-11051.016</v>
      </c>
      <c r="D4353">
        <v>0</v>
      </c>
      <c r="E4353">
        <v>0</v>
      </c>
      <c r="F4353">
        <v>0</v>
      </c>
      <c r="G4353">
        <v>301.42969263999993</v>
      </c>
      <c r="H4353">
        <v>-3836.896359300008</v>
      </c>
      <c r="I4353">
        <v>0</v>
      </c>
      <c r="J4353">
        <v>0</v>
      </c>
      <c r="K4353">
        <v>367.22645579999988</v>
      </c>
      <c r="L4353">
        <v>0</v>
      </c>
      <c r="M4353">
        <v>0</v>
      </c>
      <c r="N4353">
        <v>0</v>
      </c>
      <c r="O4353">
        <v>-747.74378913999135</v>
      </c>
      <c r="P4353">
        <v>2286756</v>
      </c>
    </row>
    <row r="4354" spans="1:16" x14ac:dyDescent="0.25">
      <c r="A4354" s="10">
        <v>44084</v>
      </c>
      <c r="B4354">
        <v>-10013</v>
      </c>
      <c r="C4354">
        <v>-8539.2500000000018</v>
      </c>
      <c r="D4354">
        <v>0</v>
      </c>
      <c r="E4354">
        <v>0</v>
      </c>
      <c r="F4354">
        <v>0</v>
      </c>
      <c r="G4354">
        <v>-54.531289660003381</v>
      </c>
      <c r="H4354">
        <v>6525.5746397800021</v>
      </c>
      <c r="I4354">
        <v>-12285.136731867909</v>
      </c>
      <c r="J4354">
        <v>0</v>
      </c>
      <c r="K4354">
        <v>4408.741644927788</v>
      </c>
      <c r="L4354">
        <v>0</v>
      </c>
      <c r="M4354">
        <v>0</v>
      </c>
      <c r="N4354">
        <v>0</v>
      </c>
      <c r="O4354">
        <v>-68.398263179873538</v>
      </c>
      <c r="P4354">
        <v>2276743</v>
      </c>
    </row>
    <row r="4355" spans="1:16" x14ac:dyDescent="0.25">
      <c r="A4355" s="10">
        <v>44085</v>
      </c>
      <c r="B4355">
        <v>4544</v>
      </c>
      <c r="C4355">
        <v>-10375.049999999999</v>
      </c>
      <c r="D4355">
        <v>0</v>
      </c>
      <c r="E4355">
        <v>65000</v>
      </c>
      <c r="F4355">
        <v>0</v>
      </c>
      <c r="G4355">
        <v>-54525.854169419988</v>
      </c>
      <c r="H4355">
        <v>3058.791079470052</v>
      </c>
      <c r="I4355">
        <v>0</v>
      </c>
      <c r="J4355">
        <v>0</v>
      </c>
      <c r="K4355">
        <v>365.77224160999992</v>
      </c>
      <c r="L4355">
        <v>0</v>
      </c>
      <c r="M4355">
        <v>0</v>
      </c>
      <c r="N4355">
        <v>0</v>
      </c>
      <c r="O4355">
        <v>1020.340848339933</v>
      </c>
      <c r="P4355">
        <v>2281287</v>
      </c>
    </row>
    <row r="4356" spans="1:16" x14ac:dyDescent="0.25">
      <c r="A4356" s="10">
        <v>44088</v>
      </c>
      <c r="B4356">
        <v>54803</v>
      </c>
      <c r="C4356">
        <v>2276.0509999999981</v>
      </c>
      <c r="D4356">
        <v>0</v>
      </c>
      <c r="E4356">
        <v>0</v>
      </c>
      <c r="F4356">
        <v>0</v>
      </c>
      <c r="G4356">
        <v>39425.502996119962</v>
      </c>
      <c r="H4356">
        <v>11918.30887419998</v>
      </c>
      <c r="I4356">
        <v>0</v>
      </c>
      <c r="J4356">
        <v>0</v>
      </c>
      <c r="K4356">
        <v>1092.7038672000001</v>
      </c>
      <c r="L4356">
        <v>0</v>
      </c>
      <c r="M4356">
        <v>0</v>
      </c>
      <c r="N4356">
        <v>0</v>
      </c>
      <c r="O4356">
        <v>90.433262480059057</v>
      </c>
      <c r="P4356">
        <v>2336090</v>
      </c>
    </row>
    <row r="4357" spans="1:16" x14ac:dyDescent="0.25">
      <c r="A4357" s="10">
        <v>44089</v>
      </c>
      <c r="B4357">
        <v>-49051</v>
      </c>
      <c r="C4357">
        <v>-3706.902</v>
      </c>
      <c r="D4357">
        <v>-5500</v>
      </c>
      <c r="E4357">
        <v>0</v>
      </c>
      <c r="F4357">
        <v>0</v>
      </c>
      <c r="G4357">
        <v>5795.0182346800066</v>
      </c>
      <c r="H4357">
        <v>-70370.564334750059</v>
      </c>
      <c r="I4357">
        <v>16095.07303584926</v>
      </c>
      <c r="J4357">
        <v>0</v>
      </c>
      <c r="K4357">
        <v>8469.7027484806385</v>
      </c>
      <c r="L4357">
        <v>0</v>
      </c>
      <c r="M4357">
        <v>0</v>
      </c>
      <c r="N4357">
        <v>0</v>
      </c>
      <c r="O4357">
        <v>166.6723157401575</v>
      </c>
      <c r="P4357">
        <v>2287039</v>
      </c>
    </row>
    <row r="4358" spans="1:16" x14ac:dyDescent="0.25">
      <c r="A4358" s="10">
        <v>44090</v>
      </c>
      <c r="B4358">
        <v>1031</v>
      </c>
      <c r="C4358">
        <v>-5.0000000001091394E-3</v>
      </c>
      <c r="D4358">
        <v>0</v>
      </c>
      <c r="E4358">
        <v>0</v>
      </c>
      <c r="F4358">
        <v>0</v>
      </c>
      <c r="G4358">
        <v>153.95972744000491</v>
      </c>
      <c r="H4358">
        <v>703.12881976994686</v>
      </c>
      <c r="I4358">
        <v>0</v>
      </c>
      <c r="J4358">
        <v>0</v>
      </c>
      <c r="K4358">
        <v>394.66182384999991</v>
      </c>
      <c r="L4358">
        <v>0</v>
      </c>
      <c r="M4358">
        <v>0</v>
      </c>
      <c r="N4358">
        <v>0</v>
      </c>
      <c r="O4358">
        <v>-220.74537105995159</v>
      </c>
      <c r="P4358">
        <v>2288070</v>
      </c>
    </row>
    <row r="4359" spans="1:16" x14ac:dyDescent="0.25">
      <c r="A4359" s="10">
        <v>44091</v>
      </c>
      <c r="B4359">
        <v>26311</v>
      </c>
      <c r="C4359">
        <v>-7343.7</v>
      </c>
      <c r="D4359">
        <v>0</v>
      </c>
      <c r="E4359">
        <v>0</v>
      </c>
      <c r="F4359">
        <v>0</v>
      </c>
      <c r="G4359">
        <v>9440.84068768</v>
      </c>
      <c r="H4359">
        <v>53694.780632270027</v>
      </c>
      <c r="I4359">
        <v>-33288.727098006522</v>
      </c>
      <c r="J4359">
        <v>0</v>
      </c>
      <c r="K4359">
        <v>4291.5499244267967</v>
      </c>
      <c r="L4359">
        <v>0</v>
      </c>
      <c r="M4359">
        <v>0</v>
      </c>
      <c r="N4359">
        <v>0</v>
      </c>
      <c r="O4359">
        <v>-483.74414637030708</v>
      </c>
      <c r="P4359">
        <v>2314381</v>
      </c>
    </row>
    <row r="4360" spans="1:16" x14ac:dyDescent="0.25">
      <c r="A4360" s="10">
        <v>44092</v>
      </c>
      <c r="B4360">
        <v>-33607</v>
      </c>
      <c r="C4360">
        <v>-3968.837</v>
      </c>
      <c r="D4360">
        <v>0</v>
      </c>
      <c r="E4360">
        <v>0</v>
      </c>
      <c r="F4360">
        <v>39000</v>
      </c>
      <c r="G4360">
        <v>-59475.569706600007</v>
      </c>
      <c r="H4360">
        <v>-9641.0170214399695</v>
      </c>
      <c r="I4360">
        <v>0</v>
      </c>
      <c r="J4360">
        <v>0</v>
      </c>
      <c r="K4360">
        <v>366.34510385999982</v>
      </c>
      <c r="L4360">
        <v>0</v>
      </c>
      <c r="M4360">
        <v>0</v>
      </c>
      <c r="N4360">
        <v>0</v>
      </c>
      <c r="O4360">
        <v>112.0786241799797</v>
      </c>
      <c r="P4360">
        <v>2280774</v>
      </c>
    </row>
    <row r="4361" spans="1:16" x14ac:dyDescent="0.25">
      <c r="A4361" s="10">
        <v>44095</v>
      </c>
      <c r="B4361">
        <v>65303</v>
      </c>
      <c r="C4361">
        <v>1232.067</v>
      </c>
      <c r="D4361">
        <v>0</v>
      </c>
      <c r="E4361">
        <v>0</v>
      </c>
      <c r="F4361">
        <v>0</v>
      </c>
      <c r="G4361">
        <v>39799.737891279998</v>
      </c>
      <c r="H4361">
        <v>23513.764960859899</v>
      </c>
      <c r="I4361">
        <v>0</v>
      </c>
      <c r="J4361">
        <v>0</v>
      </c>
      <c r="K4361">
        <v>1114.0911464599999</v>
      </c>
      <c r="L4361">
        <v>0</v>
      </c>
      <c r="M4361">
        <v>0</v>
      </c>
      <c r="N4361">
        <v>0</v>
      </c>
      <c r="O4361">
        <v>-356.66099859990942</v>
      </c>
      <c r="P4361">
        <v>2346077</v>
      </c>
    </row>
    <row r="4362" spans="1:16" x14ac:dyDescent="0.25">
      <c r="A4362" s="10">
        <v>44096</v>
      </c>
      <c r="B4362">
        <v>-34098</v>
      </c>
      <c r="C4362">
        <v>-5596.5870000000004</v>
      </c>
      <c r="D4362">
        <v>0</v>
      </c>
      <c r="E4362">
        <v>0</v>
      </c>
      <c r="F4362">
        <v>0</v>
      </c>
      <c r="G4362">
        <v>-116.0794555400057</v>
      </c>
      <c r="H4362">
        <v>-83391.362671100069</v>
      </c>
      <c r="I4362">
        <v>45237.668439621339</v>
      </c>
      <c r="J4362">
        <v>0</v>
      </c>
      <c r="K4362">
        <v>9710.5092074986042</v>
      </c>
      <c r="L4362">
        <v>0</v>
      </c>
      <c r="M4362">
        <v>0</v>
      </c>
      <c r="N4362">
        <v>0</v>
      </c>
      <c r="O4362">
        <v>57.85147952013358</v>
      </c>
      <c r="P4362">
        <v>2311979</v>
      </c>
    </row>
    <row r="4363" spans="1:16" x14ac:dyDescent="0.25">
      <c r="A4363" s="10">
        <v>44097</v>
      </c>
      <c r="B4363">
        <v>-33924</v>
      </c>
      <c r="C4363">
        <v>-2176.266799999999</v>
      </c>
      <c r="D4363">
        <v>0</v>
      </c>
      <c r="E4363">
        <v>0</v>
      </c>
      <c r="F4363">
        <v>0</v>
      </c>
      <c r="G4363">
        <v>3261.8967560700039</v>
      </c>
      <c r="H4363">
        <v>-34807.035290990018</v>
      </c>
      <c r="I4363">
        <v>0</v>
      </c>
      <c r="J4363">
        <v>0</v>
      </c>
      <c r="K4363">
        <v>402.53287603000012</v>
      </c>
      <c r="L4363">
        <v>0</v>
      </c>
      <c r="M4363">
        <v>0</v>
      </c>
      <c r="N4363">
        <v>0</v>
      </c>
      <c r="O4363">
        <v>-605.12754110998503</v>
      </c>
      <c r="P4363">
        <v>2278055</v>
      </c>
    </row>
    <row r="4364" spans="1:16" x14ac:dyDescent="0.25">
      <c r="A4364" s="10">
        <v>44098</v>
      </c>
      <c r="B4364">
        <v>19583</v>
      </c>
      <c r="C4364">
        <v>-5704.7504000000008</v>
      </c>
      <c r="D4364">
        <v>0</v>
      </c>
      <c r="E4364">
        <v>0</v>
      </c>
      <c r="F4364">
        <v>0</v>
      </c>
      <c r="G4364">
        <v>161.0139561599963</v>
      </c>
      <c r="H4364">
        <v>43896.802760929917</v>
      </c>
      <c r="I4364">
        <v>-22793.14259482711</v>
      </c>
      <c r="J4364">
        <v>0</v>
      </c>
      <c r="K4364">
        <v>4082.2916944772451</v>
      </c>
      <c r="L4364">
        <v>0</v>
      </c>
      <c r="M4364">
        <v>0</v>
      </c>
      <c r="N4364">
        <v>0</v>
      </c>
      <c r="O4364">
        <v>-59.215416740047658</v>
      </c>
      <c r="P4364">
        <v>2297638</v>
      </c>
    </row>
    <row r="4365" spans="1:16" x14ac:dyDescent="0.25">
      <c r="A4365" s="10">
        <v>44099</v>
      </c>
      <c r="B4365">
        <v>-43566</v>
      </c>
      <c r="C4365">
        <v>-12170.1625</v>
      </c>
      <c r="D4365">
        <v>-9000</v>
      </c>
      <c r="E4365">
        <v>0</v>
      </c>
      <c r="F4365">
        <v>93000</v>
      </c>
      <c r="G4365">
        <v>-79853.840470880008</v>
      </c>
      <c r="H4365">
        <v>-35864.302214749972</v>
      </c>
      <c r="I4365">
        <v>0</v>
      </c>
      <c r="J4365">
        <v>0</v>
      </c>
      <c r="K4365">
        <v>397.80121615000002</v>
      </c>
      <c r="L4365">
        <v>0</v>
      </c>
      <c r="M4365">
        <v>0</v>
      </c>
      <c r="N4365">
        <v>0</v>
      </c>
      <c r="O4365">
        <v>-75.496030520014756</v>
      </c>
      <c r="P4365">
        <v>2254072</v>
      </c>
    </row>
    <row r="4366" spans="1:16" x14ac:dyDescent="0.25">
      <c r="A4366" s="10">
        <v>44102</v>
      </c>
      <c r="B4366">
        <v>59559</v>
      </c>
      <c r="C4366">
        <v>-5091.4563999999973</v>
      </c>
      <c r="D4366">
        <v>0</v>
      </c>
      <c r="E4366">
        <v>0</v>
      </c>
      <c r="F4366">
        <v>0</v>
      </c>
      <c r="G4366">
        <v>3405.2320094100019</v>
      </c>
      <c r="H4366">
        <v>60711.572779899929</v>
      </c>
      <c r="I4366">
        <v>0</v>
      </c>
      <c r="J4366">
        <v>0</v>
      </c>
      <c r="K4366">
        <v>1249.4109149400001</v>
      </c>
      <c r="L4366">
        <v>0</v>
      </c>
      <c r="M4366">
        <v>0</v>
      </c>
      <c r="N4366">
        <v>0</v>
      </c>
      <c r="O4366">
        <v>-715.75930424993567</v>
      </c>
      <c r="P4366">
        <v>2313631</v>
      </c>
    </row>
    <row r="4367" spans="1:16" x14ac:dyDescent="0.25">
      <c r="A4367" s="10">
        <v>44103</v>
      </c>
      <c r="B4367">
        <v>-18339</v>
      </c>
      <c r="C4367">
        <v>-2957.2849999999999</v>
      </c>
      <c r="D4367">
        <v>-11000</v>
      </c>
      <c r="E4367">
        <v>0</v>
      </c>
      <c r="F4367">
        <v>0</v>
      </c>
      <c r="G4367">
        <v>12149.983772920001</v>
      </c>
      <c r="H4367">
        <v>-39699.184764960082</v>
      </c>
      <c r="I4367">
        <v>12314.72569993977</v>
      </c>
      <c r="J4367">
        <v>0</v>
      </c>
      <c r="K4367">
        <v>10990.765354770179</v>
      </c>
      <c r="L4367">
        <v>0</v>
      </c>
      <c r="M4367">
        <v>0</v>
      </c>
      <c r="N4367">
        <v>0</v>
      </c>
      <c r="O4367">
        <v>-138.00506266986491</v>
      </c>
      <c r="P4367">
        <v>2295292</v>
      </c>
    </row>
    <row r="4368" spans="1:16" x14ac:dyDescent="0.25">
      <c r="A4368" s="10">
        <v>44104</v>
      </c>
      <c r="B4368">
        <v>98403</v>
      </c>
      <c r="C4368">
        <v>-876.09000000000106</v>
      </c>
      <c r="D4368">
        <v>0</v>
      </c>
      <c r="E4368">
        <v>0</v>
      </c>
      <c r="F4368">
        <v>0</v>
      </c>
      <c r="G4368">
        <v>35992.077568639987</v>
      </c>
      <c r="H4368">
        <v>63088.941484580049</v>
      </c>
      <c r="I4368">
        <v>0</v>
      </c>
      <c r="J4368">
        <v>0</v>
      </c>
      <c r="K4368">
        <v>405.53234958000007</v>
      </c>
      <c r="L4368">
        <v>0</v>
      </c>
      <c r="M4368">
        <v>0</v>
      </c>
      <c r="N4368">
        <v>0</v>
      </c>
      <c r="O4368">
        <v>-207.46140280003601</v>
      </c>
      <c r="P4368">
        <v>2393695</v>
      </c>
    </row>
    <row r="4369" spans="1:16" x14ac:dyDescent="0.25">
      <c r="A4369" s="10">
        <v>44105</v>
      </c>
      <c r="B4369">
        <v>195276</v>
      </c>
      <c r="C4369">
        <v>-7856.3635000000013</v>
      </c>
      <c r="D4369">
        <v>0</v>
      </c>
      <c r="E4369">
        <v>0</v>
      </c>
      <c r="F4369">
        <v>0</v>
      </c>
      <c r="G4369">
        <v>84.221419329999364</v>
      </c>
      <c r="H4369">
        <v>152296.95330491001</v>
      </c>
      <c r="I4369">
        <v>44435.06476234342</v>
      </c>
      <c r="J4369">
        <v>0</v>
      </c>
      <c r="K4369">
        <v>6188.916367276327</v>
      </c>
      <c r="L4369">
        <v>0</v>
      </c>
      <c r="M4369">
        <v>0</v>
      </c>
      <c r="N4369">
        <v>0</v>
      </c>
      <c r="O4369">
        <v>127.2076461402758</v>
      </c>
      <c r="P4369">
        <v>2588971</v>
      </c>
    </row>
    <row r="4370" spans="1:16" x14ac:dyDescent="0.25">
      <c r="A4370" s="10">
        <v>44106</v>
      </c>
      <c r="B4370">
        <v>-184435</v>
      </c>
      <c r="C4370">
        <v>-8496.8660000000018</v>
      </c>
      <c r="D4370">
        <v>0</v>
      </c>
      <c r="E4370">
        <v>0</v>
      </c>
      <c r="F4370">
        <v>30000</v>
      </c>
      <c r="G4370">
        <v>-29979.65194091999</v>
      </c>
      <c r="H4370">
        <v>-178911.27338504</v>
      </c>
      <c r="I4370">
        <v>0</v>
      </c>
      <c r="J4370">
        <v>0</v>
      </c>
      <c r="K4370">
        <v>293.41366459000011</v>
      </c>
      <c r="L4370">
        <v>0</v>
      </c>
      <c r="M4370">
        <v>0</v>
      </c>
      <c r="N4370">
        <v>0</v>
      </c>
      <c r="O4370">
        <v>2659.3776613699738</v>
      </c>
      <c r="P4370">
        <v>2404536</v>
      </c>
    </row>
    <row r="4371" spans="1:16" x14ac:dyDescent="0.25">
      <c r="A4371" s="10">
        <v>44109</v>
      </c>
      <c r="B4371">
        <v>31088</v>
      </c>
      <c r="C4371">
        <v>-10755.22</v>
      </c>
      <c r="D4371">
        <v>0</v>
      </c>
      <c r="E4371">
        <v>0</v>
      </c>
      <c r="F4371">
        <v>0</v>
      </c>
      <c r="G4371">
        <v>10749.519997990001</v>
      </c>
      <c r="H4371">
        <v>27425.173625960131</v>
      </c>
      <c r="I4371">
        <v>0</v>
      </c>
      <c r="J4371">
        <v>0</v>
      </c>
      <c r="K4371">
        <v>1464.804228870001</v>
      </c>
      <c r="L4371">
        <v>0</v>
      </c>
      <c r="M4371">
        <v>0</v>
      </c>
      <c r="N4371">
        <v>0</v>
      </c>
      <c r="O4371">
        <v>2203.7221471798621</v>
      </c>
      <c r="P4371">
        <v>2435624</v>
      </c>
    </row>
    <row r="4372" spans="1:16" x14ac:dyDescent="0.25">
      <c r="A4372" s="10">
        <v>44110</v>
      </c>
      <c r="B4372">
        <v>17250</v>
      </c>
      <c r="C4372">
        <v>-3878.8660000000009</v>
      </c>
      <c r="D4372">
        <v>0</v>
      </c>
      <c r="E4372">
        <v>0</v>
      </c>
      <c r="F4372">
        <v>0</v>
      </c>
      <c r="G4372">
        <v>28845.020036730009</v>
      </c>
      <c r="H4372">
        <v>-91888.316340499907</v>
      </c>
      <c r="I4372">
        <v>77447.254409778398</v>
      </c>
      <c r="J4372">
        <v>0</v>
      </c>
      <c r="K4372">
        <v>7338.0684872114734</v>
      </c>
      <c r="L4372">
        <v>0</v>
      </c>
      <c r="M4372">
        <v>0</v>
      </c>
      <c r="N4372">
        <v>0</v>
      </c>
      <c r="O4372">
        <v>-613.16059321996727</v>
      </c>
      <c r="P4372">
        <v>2452874</v>
      </c>
    </row>
    <row r="4373" spans="1:16" x14ac:dyDescent="0.25">
      <c r="A4373" s="10">
        <v>44111</v>
      </c>
      <c r="B4373">
        <v>-68712</v>
      </c>
      <c r="C4373">
        <v>1302.5340000000001</v>
      </c>
      <c r="D4373">
        <v>0</v>
      </c>
      <c r="E4373">
        <v>0</v>
      </c>
      <c r="F4373">
        <v>0</v>
      </c>
      <c r="G4373">
        <v>-57.401004379988322</v>
      </c>
      <c r="H4373">
        <v>-67799.668099189992</v>
      </c>
      <c r="I4373">
        <v>0</v>
      </c>
      <c r="J4373">
        <v>0</v>
      </c>
      <c r="K4373">
        <v>530.6548002899998</v>
      </c>
      <c r="L4373">
        <v>0</v>
      </c>
      <c r="M4373">
        <v>0</v>
      </c>
      <c r="N4373">
        <v>0</v>
      </c>
      <c r="O4373">
        <v>-2688.119696720009</v>
      </c>
      <c r="P4373">
        <v>2384162</v>
      </c>
    </row>
    <row r="4374" spans="1:16" x14ac:dyDescent="0.25">
      <c r="A4374" s="10">
        <v>44112</v>
      </c>
      <c r="B4374">
        <v>-28326</v>
      </c>
      <c r="C4374">
        <v>-1702.0590999999999</v>
      </c>
      <c r="D4374">
        <v>0</v>
      </c>
      <c r="E4374">
        <v>0</v>
      </c>
      <c r="F4374">
        <v>0</v>
      </c>
      <c r="G4374">
        <v>-85995.813434410011</v>
      </c>
      <c r="H4374">
        <v>80099.400304990122</v>
      </c>
      <c r="I4374">
        <v>-24560.637829176379</v>
      </c>
      <c r="J4374">
        <v>0</v>
      </c>
      <c r="K4374">
        <v>4972.8735585962058</v>
      </c>
      <c r="L4374">
        <v>0</v>
      </c>
      <c r="M4374">
        <v>0</v>
      </c>
      <c r="N4374">
        <v>0</v>
      </c>
      <c r="O4374">
        <v>-1139.763499999935</v>
      </c>
      <c r="P4374">
        <v>2355836</v>
      </c>
    </row>
    <row r="4375" spans="1:16" x14ac:dyDescent="0.25">
      <c r="A4375" s="10">
        <v>44113</v>
      </c>
      <c r="B4375">
        <v>-54643</v>
      </c>
      <c r="C4375">
        <v>-7085.2511999999979</v>
      </c>
      <c r="D4375">
        <v>0</v>
      </c>
      <c r="E4375">
        <v>-2050</v>
      </c>
      <c r="F4375">
        <v>0</v>
      </c>
      <c r="G4375">
        <v>1039.354227999992</v>
      </c>
      <c r="H4375">
        <v>-46575.374496139942</v>
      </c>
      <c r="I4375">
        <v>0</v>
      </c>
      <c r="J4375">
        <v>0</v>
      </c>
      <c r="K4375">
        <v>522.56730505999985</v>
      </c>
      <c r="L4375">
        <v>0</v>
      </c>
      <c r="M4375">
        <v>0</v>
      </c>
      <c r="N4375">
        <v>0</v>
      </c>
      <c r="O4375">
        <v>-494.2958369200569</v>
      </c>
      <c r="P4375">
        <v>2301193</v>
      </c>
    </row>
    <row r="4376" spans="1:16" x14ac:dyDescent="0.25">
      <c r="A4376" s="10">
        <v>44117</v>
      </c>
      <c r="B4376">
        <v>39371</v>
      </c>
      <c r="C4376">
        <v>38.431000000000488</v>
      </c>
      <c r="D4376">
        <v>0</v>
      </c>
      <c r="E4376">
        <v>0</v>
      </c>
      <c r="F4376">
        <v>0</v>
      </c>
      <c r="G4376">
        <v>7217.4493201499981</v>
      </c>
      <c r="H4376">
        <v>-1093.1059788399141</v>
      </c>
      <c r="I4376">
        <v>21902.362966161221</v>
      </c>
      <c r="J4376">
        <v>0</v>
      </c>
      <c r="K4376">
        <v>10131.854578138769</v>
      </c>
      <c r="L4376">
        <v>0</v>
      </c>
      <c r="M4376">
        <v>0</v>
      </c>
      <c r="N4376">
        <v>0</v>
      </c>
      <c r="O4376">
        <v>1174.008114389922</v>
      </c>
      <c r="P4376">
        <v>2340564</v>
      </c>
    </row>
    <row r="4377" spans="1:16" x14ac:dyDescent="0.25">
      <c r="A4377" s="10">
        <v>44118</v>
      </c>
      <c r="B4377">
        <v>-37621</v>
      </c>
      <c r="C4377">
        <v>-5962.7153999999982</v>
      </c>
      <c r="D4377">
        <v>0</v>
      </c>
      <c r="E4377">
        <v>0</v>
      </c>
      <c r="F4377">
        <v>0</v>
      </c>
      <c r="G4377">
        <v>98.743285550001133</v>
      </c>
      <c r="H4377">
        <v>-30658.112501209951</v>
      </c>
      <c r="I4377">
        <v>0</v>
      </c>
      <c r="J4377">
        <v>0</v>
      </c>
      <c r="K4377">
        <v>623.14983410999992</v>
      </c>
      <c r="L4377">
        <v>0</v>
      </c>
      <c r="M4377">
        <v>0</v>
      </c>
      <c r="N4377">
        <v>0</v>
      </c>
      <c r="O4377">
        <v>-1722.06521845005</v>
      </c>
      <c r="P4377">
        <v>2302943</v>
      </c>
    </row>
    <row r="4378" spans="1:16" x14ac:dyDescent="0.25">
      <c r="A4378" s="10">
        <v>44119</v>
      </c>
      <c r="B4378">
        <v>7630</v>
      </c>
      <c r="C4378">
        <v>-5720.7549999999956</v>
      </c>
      <c r="D4378">
        <v>-11000</v>
      </c>
      <c r="E4378">
        <v>0</v>
      </c>
      <c r="F4378">
        <v>0</v>
      </c>
      <c r="G4378">
        <v>11329.30643672</v>
      </c>
      <c r="H4378">
        <v>39629.069700270084</v>
      </c>
      <c r="I4378">
        <v>-30656.499294700101</v>
      </c>
      <c r="J4378">
        <v>0</v>
      </c>
      <c r="K4378">
        <v>5513.4720277200058</v>
      </c>
      <c r="L4378">
        <v>0</v>
      </c>
      <c r="M4378">
        <v>0</v>
      </c>
      <c r="N4378">
        <v>0</v>
      </c>
      <c r="O4378">
        <v>-1464.593870009983</v>
      </c>
      <c r="P4378">
        <v>2310573</v>
      </c>
    </row>
    <row r="4379" spans="1:16" x14ac:dyDescent="0.25">
      <c r="A4379" s="10">
        <v>44120</v>
      </c>
      <c r="B4379">
        <v>-25131</v>
      </c>
      <c r="C4379">
        <v>1114.848000000002</v>
      </c>
      <c r="D4379">
        <v>0</v>
      </c>
      <c r="E4379">
        <v>-6030</v>
      </c>
      <c r="F4379">
        <v>0</v>
      </c>
      <c r="G4379">
        <v>6778.8591014699996</v>
      </c>
      <c r="H4379">
        <v>-27104.061880209829</v>
      </c>
      <c r="I4379">
        <v>0</v>
      </c>
      <c r="J4379">
        <v>0</v>
      </c>
      <c r="K4379">
        <v>616.51378373999967</v>
      </c>
      <c r="L4379">
        <v>0</v>
      </c>
      <c r="M4379">
        <v>0</v>
      </c>
      <c r="N4379">
        <v>0</v>
      </c>
      <c r="O4379">
        <v>-507.15900500016869</v>
      </c>
      <c r="P4379">
        <v>2285442</v>
      </c>
    </row>
    <row r="4380" spans="1:16" x14ac:dyDescent="0.25">
      <c r="A4380" s="10">
        <v>44123</v>
      </c>
      <c r="B4380">
        <v>8587</v>
      </c>
      <c r="C4380">
        <v>-1269.4459999999999</v>
      </c>
      <c r="D4380">
        <v>0</v>
      </c>
      <c r="E4380">
        <v>0</v>
      </c>
      <c r="F4380">
        <v>0</v>
      </c>
      <c r="G4380">
        <v>14157.12292358</v>
      </c>
      <c r="H4380">
        <v>-7740.8525840301299</v>
      </c>
      <c r="I4380">
        <v>0</v>
      </c>
      <c r="J4380">
        <v>0</v>
      </c>
      <c r="K4380">
        <v>1179.64931174</v>
      </c>
      <c r="L4380">
        <v>0</v>
      </c>
      <c r="M4380">
        <v>0</v>
      </c>
      <c r="N4380">
        <v>0</v>
      </c>
      <c r="O4380">
        <v>2260.526348710127</v>
      </c>
      <c r="P4380">
        <v>2294029</v>
      </c>
    </row>
    <row r="4381" spans="1:16" x14ac:dyDescent="0.25">
      <c r="A4381" s="10">
        <v>44124</v>
      </c>
      <c r="B4381">
        <v>-30238</v>
      </c>
      <c r="C4381">
        <v>-2035.4375</v>
      </c>
      <c r="D4381">
        <v>0</v>
      </c>
      <c r="E4381">
        <v>0</v>
      </c>
      <c r="F4381">
        <v>0</v>
      </c>
      <c r="G4381">
        <v>9593.3138318599995</v>
      </c>
      <c r="H4381">
        <v>-81186.802520240075</v>
      </c>
      <c r="I4381">
        <v>35365.997098836116</v>
      </c>
      <c r="J4381">
        <v>0</v>
      </c>
      <c r="K4381">
        <v>8324.7388622539711</v>
      </c>
      <c r="L4381">
        <v>0</v>
      </c>
      <c r="M4381">
        <v>0</v>
      </c>
      <c r="N4381">
        <v>0</v>
      </c>
      <c r="O4381">
        <v>-299.80977271001029</v>
      </c>
      <c r="P4381">
        <v>2263791</v>
      </c>
    </row>
    <row r="4382" spans="1:16" x14ac:dyDescent="0.25">
      <c r="A4382" s="10">
        <v>44125</v>
      </c>
      <c r="B4382">
        <v>45</v>
      </c>
      <c r="C4382">
        <v>1166.085</v>
      </c>
      <c r="D4382">
        <v>0</v>
      </c>
      <c r="E4382">
        <v>0</v>
      </c>
      <c r="F4382">
        <v>0</v>
      </c>
      <c r="G4382">
        <v>-7.5072020700005719</v>
      </c>
      <c r="H4382">
        <v>-1844.210269410047</v>
      </c>
      <c r="I4382">
        <v>0</v>
      </c>
      <c r="J4382">
        <v>0</v>
      </c>
      <c r="K4382">
        <v>265.21077524000009</v>
      </c>
      <c r="L4382">
        <v>0</v>
      </c>
      <c r="M4382">
        <v>0</v>
      </c>
      <c r="N4382">
        <v>0</v>
      </c>
      <c r="O4382">
        <v>465.4216962400472</v>
      </c>
      <c r="P4382">
        <v>2263836</v>
      </c>
    </row>
    <row r="4383" spans="1:16" x14ac:dyDescent="0.25">
      <c r="A4383" s="10">
        <v>44126</v>
      </c>
      <c r="B4383">
        <v>-8074</v>
      </c>
      <c r="C4383">
        <v>190.7854999999995</v>
      </c>
      <c r="D4383">
        <v>0</v>
      </c>
      <c r="E4383">
        <v>0</v>
      </c>
      <c r="F4383">
        <v>0</v>
      </c>
      <c r="G4383">
        <v>36.532052139995102</v>
      </c>
      <c r="H4383">
        <v>-31871.690484480001</v>
      </c>
      <c r="I4383">
        <v>19208.992346670479</v>
      </c>
      <c r="J4383">
        <v>0</v>
      </c>
      <c r="K4383">
        <v>4518.4992180396785</v>
      </c>
      <c r="L4383">
        <v>0</v>
      </c>
      <c r="M4383">
        <v>0</v>
      </c>
      <c r="N4383">
        <v>0</v>
      </c>
      <c r="O4383">
        <v>-157.11863237015129</v>
      </c>
      <c r="P4383">
        <v>2255762</v>
      </c>
    </row>
    <row r="4384" spans="1:16" x14ac:dyDescent="0.25">
      <c r="A4384" s="10">
        <v>44127</v>
      </c>
      <c r="B4384">
        <v>23864</v>
      </c>
      <c r="C4384">
        <v>-11106.977000000001</v>
      </c>
      <c r="D4384">
        <v>0</v>
      </c>
      <c r="E4384">
        <v>-16700</v>
      </c>
      <c r="F4384">
        <v>0</v>
      </c>
      <c r="G4384">
        <v>16393.933873419999</v>
      </c>
      <c r="H4384">
        <v>33266.432363620028</v>
      </c>
      <c r="I4384">
        <v>0</v>
      </c>
      <c r="J4384">
        <v>0</v>
      </c>
      <c r="K4384">
        <v>2555.8317260499998</v>
      </c>
      <c r="L4384">
        <v>0</v>
      </c>
      <c r="M4384">
        <v>0</v>
      </c>
      <c r="N4384">
        <v>0</v>
      </c>
      <c r="O4384">
        <v>-545.22096309002882</v>
      </c>
      <c r="P4384">
        <v>2279626</v>
      </c>
    </row>
    <row r="4385" spans="1:16" x14ac:dyDescent="0.25">
      <c r="A4385" s="10">
        <v>44130</v>
      </c>
      <c r="B4385">
        <v>34690</v>
      </c>
      <c r="C4385">
        <v>-6688.65</v>
      </c>
      <c r="D4385">
        <v>-4000</v>
      </c>
      <c r="E4385">
        <v>0</v>
      </c>
      <c r="F4385">
        <v>0</v>
      </c>
      <c r="G4385">
        <v>4251.1179226700069</v>
      </c>
      <c r="H4385">
        <v>37787.169570710037</v>
      </c>
      <c r="I4385">
        <v>0</v>
      </c>
      <c r="J4385">
        <v>0</v>
      </c>
      <c r="K4385">
        <v>1270.7558185800001</v>
      </c>
      <c r="L4385">
        <v>0</v>
      </c>
      <c r="M4385">
        <v>0</v>
      </c>
      <c r="N4385">
        <v>0</v>
      </c>
      <c r="O4385">
        <v>2069.6066880399521</v>
      </c>
      <c r="P4385">
        <v>2314316</v>
      </c>
    </row>
    <row r="4386" spans="1:16" x14ac:dyDescent="0.25">
      <c r="A4386" s="10">
        <v>44131</v>
      </c>
      <c r="B4386">
        <v>-74317</v>
      </c>
      <c r="C4386">
        <v>-6883.1710000000021</v>
      </c>
      <c r="D4386">
        <v>0</v>
      </c>
      <c r="E4386">
        <v>0</v>
      </c>
      <c r="F4386">
        <v>0</v>
      </c>
      <c r="G4386">
        <v>1710.531454909993</v>
      </c>
      <c r="H4386">
        <v>-138152.7846890199</v>
      </c>
      <c r="I4386">
        <v>60758.810781714041</v>
      </c>
      <c r="J4386">
        <v>0</v>
      </c>
      <c r="K4386">
        <v>11105.12010858591</v>
      </c>
      <c r="L4386">
        <v>0</v>
      </c>
      <c r="M4386">
        <v>0</v>
      </c>
      <c r="N4386">
        <v>0</v>
      </c>
      <c r="O4386">
        <v>-2855.5066561900462</v>
      </c>
      <c r="P4386">
        <v>2239999</v>
      </c>
    </row>
    <row r="4387" spans="1:16" x14ac:dyDescent="0.25">
      <c r="A4387" s="10">
        <v>44132</v>
      </c>
      <c r="B4387">
        <v>31987</v>
      </c>
      <c r="C4387">
        <v>-5107.5189999999984</v>
      </c>
      <c r="D4387">
        <v>0</v>
      </c>
      <c r="E4387">
        <v>0</v>
      </c>
      <c r="F4387">
        <v>0</v>
      </c>
      <c r="G4387">
        <v>48186.484119179993</v>
      </c>
      <c r="H4387">
        <v>-10303.41692631994</v>
      </c>
      <c r="I4387">
        <v>0</v>
      </c>
      <c r="J4387">
        <v>0</v>
      </c>
      <c r="K4387">
        <v>837.32918413999971</v>
      </c>
      <c r="L4387">
        <v>0</v>
      </c>
      <c r="M4387">
        <v>0</v>
      </c>
      <c r="N4387">
        <v>0</v>
      </c>
      <c r="O4387">
        <v>-1625.877377000048</v>
      </c>
      <c r="P4387">
        <v>2271986</v>
      </c>
    </row>
    <row r="4388" spans="1:16" x14ac:dyDescent="0.25">
      <c r="A4388" s="10">
        <v>44133</v>
      </c>
      <c r="B4388">
        <v>-25364</v>
      </c>
      <c r="C4388">
        <v>-15.734999999999451</v>
      </c>
      <c r="D4388">
        <v>0</v>
      </c>
      <c r="E4388">
        <v>0</v>
      </c>
      <c r="F4388">
        <v>0</v>
      </c>
      <c r="G4388">
        <v>-151475.04826064999</v>
      </c>
      <c r="H4388">
        <v>97162.344715290004</v>
      </c>
      <c r="I4388">
        <v>22692.381124917651</v>
      </c>
      <c r="J4388">
        <v>0</v>
      </c>
      <c r="K4388">
        <v>5412.2196550022654</v>
      </c>
      <c r="L4388">
        <v>0</v>
      </c>
      <c r="M4388">
        <v>0</v>
      </c>
      <c r="N4388">
        <v>0</v>
      </c>
      <c r="O4388">
        <v>859.83776544006832</v>
      </c>
      <c r="P4388">
        <v>2246622</v>
      </c>
    </row>
    <row r="4389" spans="1:16" x14ac:dyDescent="0.25">
      <c r="A4389" s="10">
        <v>44134</v>
      </c>
      <c r="B4389">
        <v>-21561</v>
      </c>
      <c r="C4389">
        <v>-3769.0310000000009</v>
      </c>
      <c r="D4389">
        <v>0</v>
      </c>
      <c r="E4389">
        <v>-101000</v>
      </c>
      <c r="F4389">
        <v>0</v>
      </c>
      <c r="G4389">
        <v>101267.44773879999</v>
      </c>
      <c r="H4389">
        <v>-18756.45241561998</v>
      </c>
      <c r="I4389">
        <v>0</v>
      </c>
      <c r="J4389">
        <v>0</v>
      </c>
      <c r="K4389">
        <v>2282.6134326199999</v>
      </c>
      <c r="L4389">
        <v>0</v>
      </c>
      <c r="M4389">
        <v>0</v>
      </c>
      <c r="N4389">
        <v>0</v>
      </c>
      <c r="O4389">
        <v>-1585.577755800015</v>
      </c>
      <c r="P4389">
        <v>2225061</v>
      </c>
    </row>
    <row r="4390" spans="1:16" x14ac:dyDescent="0.25">
      <c r="A4390" s="10">
        <v>44137</v>
      </c>
      <c r="B4390">
        <v>115003</v>
      </c>
      <c r="C4390">
        <v>6433.6525000000092</v>
      </c>
      <c r="D4390">
        <v>0</v>
      </c>
      <c r="E4390">
        <v>0</v>
      </c>
      <c r="F4390">
        <v>0</v>
      </c>
      <c r="G4390">
        <v>725.71702363999998</v>
      </c>
      <c r="H4390">
        <v>107686.3408452</v>
      </c>
      <c r="I4390">
        <v>0</v>
      </c>
      <c r="J4390">
        <v>0</v>
      </c>
      <c r="K4390">
        <v>1366.63855255</v>
      </c>
      <c r="L4390">
        <v>0</v>
      </c>
      <c r="M4390">
        <v>0</v>
      </c>
      <c r="N4390">
        <v>0</v>
      </c>
      <c r="O4390">
        <v>-1209.3489213900029</v>
      </c>
      <c r="P4390">
        <v>2340064</v>
      </c>
    </row>
    <row r="4391" spans="1:16" x14ac:dyDescent="0.25">
      <c r="A4391" s="10">
        <v>44138</v>
      </c>
      <c r="B4391">
        <v>-1751</v>
      </c>
      <c r="C4391">
        <v>-3985.2850000000012</v>
      </c>
      <c r="D4391">
        <v>0</v>
      </c>
      <c r="E4391">
        <v>0</v>
      </c>
      <c r="F4391">
        <v>0</v>
      </c>
      <c r="G4391">
        <v>-136.83694894000061</v>
      </c>
      <c r="H4391">
        <v>16204.93584952003</v>
      </c>
      <c r="I4391">
        <v>-13893.803113512929</v>
      </c>
      <c r="J4391">
        <v>0</v>
      </c>
      <c r="K4391">
        <v>5383.7745093329377</v>
      </c>
      <c r="L4391">
        <v>0</v>
      </c>
      <c r="M4391">
        <v>0</v>
      </c>
      <c r="N4391">
        <v>0</v>
      </c>
      <c r="O4391">
        <v>-5323.7852964000358</v>
      </c>
      <c r="P4391">
        <v>2338313</v>
      </c>
    </row>
    <row r="4392" spans="1:16" x14ac:dyDescent="0.25">
      <c r="A4392" s="10">
        <v>44139</v>
      </c>
      <c r="B4392">
        <v>237</v>
      </c>
      <c r="C4392">
        <v>718.89799999999991</v>
      </c>
      <c r="D4392">
        <v>-31000</v>
      </c>
      <c r="E4392">
        <v>0</v>
      </c>
      <c r="F4392">
        <v>0</v>
      </c>
      <c r="G4392">
        <v>29196.218093160001</v>
      </c>
      <c r="H4392">
        <v>3044.7995121199642</v>
      </c>
      <c r="I4392">
        <v>0</v>
      </c>
      <c r="J4392">
        <v>0</v>
      </c>
      <c r="K4392">
        <v>766.07805890999975</v>
      </c>
      <c r="L4392">
        <v>0</v>
      </c>
      <c r="M4392">
        <v>0</v>
      </c>
      <c r="N4392">
        <v>0</v>
      </c>
      <c r="O4392">
        <v>-2488.9936641899658</v>
      </c>
      <c r="P4392">
        <v>2338550</v>
      </c>
    </row>
    <row r="4393" spans="1:16" x14ac:dyDescent="0.25">
      <c r="A4393" s="10">
        <v>44140</v>
      </c>
      <c r="B4393">
        <v>21675</v>
      </c>
      <c r="C4393">
        <v>1550.0150000000031</v>
      </c>
      <c r="D4393">
        <v>0</v>
      </c>
      <c r="E4393">
        <v>0</v>
      </c>
      <c r="F4393">
        <v>0</v>
      </c>
      <c r="G4393">
        <v>-5457.8890269399999</v>
      </c>
      <c r="H4393">
        <v>31674.012427430021</v>
      </c>
      <c r="I4393">
        <v>-8530.4374342039227</v>
      </c>
      <c r="J4393">
        <v>0</v>
      </c>
      <c r="K4393">
        <v>6205.4062777441177</v>
      </c>
      <c r="L4393">
        <v>0</v>
      </c>
      <c r="M4393">
        <v>0</v>
      </c>
      <c r="N4393">
        <v>0</v>
      </c>
      <c r="O4393">
        <v>-3766.107244030216</v>
      </c>
      <c r="P4393">
        <v>2360225</v>
      </c>
    </row>
    <row r="4394" spans="1:16" x14ac:dyDescent="0.25">
      <c r="A4394" s="10">
        <v>44144</v>
      </c>
      <c r="B4394">
        <v>88935</v>
      </c>
      <c r="C4394">
        <v>8968.669400000008</v>
      </c>
      <c r="D4394">
        <v>0</v>
      </c>
      <c r="E4394">
        <v>0</v>
      </c>
      <c r="F4394">
        <v>0</v>
      </c>
      <c r="G4394">
        <v>3357.9422168800038</v>
      </c>
      <c r="H4394">
        <v>82830.556415620027</v>
      </c>
      <c r="I4394">
        <v>0</v>
      </c>
      <c r="J4394">
        <v>0</v>
      </c>
      <c r="K4394">
        <v>3460.7275483000012</v>
      </c>
      <c r="L4394">
        <v>0</v>
      </c>
      <c r="M4394">
        <v>0</v>
      </c>
      <c r="N4394">
        <v>0</v>
      </c>
      <c r="O4394">
        <v>-9682.8955808000464</v>
      </c>
      <c r="P4394">
        <v>2449160</v>
      </c>
    </row>
    <row r="4395" spans="1:16" x14ac:dyDescent="0.25">
      <c r="A4395" s="10">
        <v>44145</v>
      </c>
      <c r="B4395">
        <v>-27488</v>
      </c>
      <c r="C4395">
        <v>-2172.599999999999</v>
      </c>
      <c r="D4395">
        <v>0</v>
      </c>
      <c r="E4395">
        <v>0</v>
      </c>
      <c r="F4395">
        <v>0</v>
      </c>
      <c r="G4395">
        <v>-1478.3409629399951</v>
      </c>
      <c r="H4395">
        <v>-39646.080570510007</v>
      </c>
      <c r="I4395">
        <v>8285.7846777259838</v>
      </c>
      <c r="J4395">
        <v>0</v>
      </c>
      <c r="K4395">
        <v>7682.0706411939864</v>
      </c>
      <c r="L4395">
        <v>0</v>
      </c>
      <c r="M4395">
        <v>0</v>
      </c>
      <c r="N4395">
        <v>0</v>
      </c>
      <c r="O4395">
        <v>-158.83378546996761</v>
      </c>
      <c r="P4395">
        <v>2421672</v>
      </c>
    </row>
    <row r="4396" spans="1:16" x14ac:dyDescent="0.25">
      <c r="A4396" s="10">
        <v>44146</v>
      </c>
      <c r="B4396">
        <v>-45171</v>
      </c>
      <c r="C4396">
        <v>-3388.9946</v>
      </c>
      <c r="D4396">
        <v>0</v>
      </c>
      <c r="E4396">
        <v>0</v>
      </c>
      <c r="F4396">
        <v>0</v>
      </c>
      <c r="G4396">
        <v>-144.29867701999879</v>
      </c>
      <c r="H4396">
        <v>-42101.037641420029</v>
      </c>
      <c r="I4396">
        <v>0</v>
      </c>
      <c r="J4396">
        <v>0</v>
      </c>
      <c r="K4396">
        <v>840.84860660000015</v>
      </c>
      <c r="L4396">
        <v>0</v>
      </c>
      <c r="M4396">
        <v>0</v>
      </c>
      <c r="N4396">
        <v>0</v>
      </c>
      <c r="O4396">
        <v>-377.51768815996911</v>
      </c>
      <c r="P4396">
        <v>2376501</v>
      </c>
    </row>
    <row r="4397" spans="1:16" x14ac:dyDescent="0.25">
      <c r="A4397" s="10">
        <v>44147</v>
      </c>
      <c r="B4397">
        <v>47118</v>
      </c>
      <c r="C4397">
        <v>-9166.2729999999992</v>
      </c>
      <c r="D4397">
        <v>0</v>
      </c>
      <c r="E4397">
        <v>0</v>
      </c>
      <c r="F4397">
        <v>0</v>
      </c>
      <c r="G4397">
        <v>491.44207987999869</v>
      </c>
      <c r="H4397">
        <v>61206.569943389972</v>
      </c>
      <c r="I4397">
        <v>-10499.41173512163</v>
      </c>
      <c r="J4397">
        <v>0</v>
      </c>
      <c r="K4397">
        <v>6661.8494256613767</v>
      </c>
      <c r="L4397">
        <v>0</v>
      </c>
      <c r="M4397">
        <v>0</v>
      </c>
      <c r="N4397">
        <v>0</v>
      </c>
      <c r="O4397">
        <v>-1576.17671380972</v>
      </c>
      <c r="P4397">
        <v>2423619</v>
      </c>
    </row>
    <row r="4398" spans="1:16" x14ac:dyDescent="0.25">
      <c r="A4398" s="10">
        <v>44148</v>
      </c>
      <c r="B4398">
        <v>-77093</v>
      </c>
      <c r="C4398">
        <v>-9169.7000000000025</v>
      </c>
      <c r="D4398">
        <v>-5000</v>
      </c>
      <c r="E4398">
        <v>0</v>
      </c>
      <c r="F4398">
        <v>30000</v>
      </c>
      <c r="G4398">
        <v>-9740.3272332499946</v>
      </c>
      <c r="H4398">
        <v>-84538.450725649949</v>
      </c>
      <c r="I4398">
        <v>0</v>
      </c>
      <c r="J4398">
        <v>0</v>
      </c>
      <c r="K4398">
        <v>146.19265216000011</v>
      </c>
      <c r="L4398">
        <v>0</v>
      </c>
      <c r="M4398">
        <v>0</v>
      </c>
      <c r="N4398">
        <v>0</v>
      </c>
      <c r="O4398">
        <v>1209.285306739941</v>
      </c>
      <c r="P4398">
        <v>2346526</v>
      </c>
    </row>
    <row r="4399" spans="1:16" x14ac:dyDescent="0.25">
      <c r="A4399" s="10">
        <v>44151</v>
      </c>
      <c r="B4399">
        <v>20295</v>
      </c>
      <c r="C4399">
        <v>3317.5549999999962</v>
      </c>
      <c r="D4399">
        <v>-4000</v>
      </c>
      <c r="E4399">
        <v>0</v>
      </c>
      <c r="F4399">
        <v>0</v>
      </c>
      <c r="G4399">
        <v>22540.08886032</v>
      </c>
      <c r="H4399">
        <v>-3455.6270530299521</v>
      </c>
      <c r="I4399">
        <v>0</v>
      </c>
      <c r="J4399">
        <v>0</v>
      </c>
      <c r="K4399">
        <v>1847.47485534</v>
      </c>
      <c r="L4399">
        <v>0</v>
      </c>
      <c r="M4399">
        <v>0</v>
      </c>
      <c r="N4399">
        <v>0</v>
      </c>
      <c r="O4399">
        <v>45.508337369959918</v>
      </c>
      <c r="P4399">
        <v>2366821</v>
      </c>
    </row>
    <row r="4400" spans="1:16" x14ac:dyDescent="0.25">
      <c r="A4400" s="10">
        <v>44152</v>
      </c>
      <c r="B4400">
        <v>-8996</v>
      </c>
      <c r="C4400">
        <v>-3121.2869999999998</v>
      </c>
      <c r="D4400">
        <v>0</v>
      </c>
      <c r="E4400">
        <v>0</v>
      </c>
      <c r="F4400">
        <v>0</v>
      </c>
      <c r="G4400">
        <v>498.06386552000089</v>
      </c>
      <c r="H4400">
        <v>-24548.602135399939</v>
      </c>
      <c r="I4400">
        <v>11669.93990134378</v>
      </c>
      <c r="J4400">
        <v>0</v>
      </c>
      <c r="K4400">
        <v>7654.3326905861841</v>
      </c>
      <c r="L4400">
        <v>0</v>
      </c>
      <c r="M4400">
        <v>0</v>
      </c>
      <c r="N4400">
        <v>0</v>
      </c>
      <c r="O4400">
        <v>-1148.447322050027</v>
      </c>
      <c r="P4400">
        <v>2357825</v>
      </c>
    </row>
    <row r="4401" spans="1:16" x14ac:dyDescent="0.25">
      <c r="A4401" s="10">
        <v>44153</v>
      </c>
      <c r="B4401">
        <v>110</v>
      </c>
      <c r="C4401">
        <v>-3847.48</v>
      </c>
      <c r="D4401">
        <v>0</v>
      </c>
      <c r="E4401">
        <v>0</v>
      </c>
      <c r="F4401">
        <v>0</v>
      </c>
      <c r="G4401">
        <v>4949.2270018199997</v>
      </c>
      <c r="H4401">
        <v>336.65301020001061</v>
      </c>
      <c r="I4401">
        <v>0</v>
      </c>
      <c r="J4401">
        <v>0</v>
      </c>
      <c r="K4401">
        <v>1170.6894035</v>
      </c>
      <c r="L4401">
        <v>0</v>
      </c>
      <c r="M4401">
        <v>0</v>
      </c>
      <c r="N4401">
        <v>0</v>
      </c>
      <c r="O4401">
        <v>-2499.0894155200099</v>
      </c>
      <c r="P4401">
        <v>2357935</v>
      </c>
    </row>
    <row r="4402" spans="1:16" x14ac:dyDescent="0.25">
      <c r="A4402" s="10">
        <v>44154</v>
      </c>
      <c r="B4402">
        <v>-57159</v>
      </c>
      <c r="C4402">
        <v>-7289.0830000000069</v>
      </c>
      <c r="D4402">
        <v>0</v>
      </c>
      <c r="E4402">
        <v>0</v>
      </c>
      <c r="F4402">
        <v>0</v>
      </c>
      <c r="G4402">
        <v>3572.0113607299968</v>
      </c>
      <c r="H4402">
        <v>1998.409232930047</v>
      </c>
      <c r="I4402">
        <v>-58442.073160122149</v>
      </c>
      <c r="J4402">
        <v>0</v>
      </c>
      <c r="K4402">
        <v>4311.0223279422717</v>
      </c>
      <c r="L4402">
        <v>0</v>
      </c>
      <c r="M4402">
        <v>0</v>
      </c>
      <c r="N4402">
        <v>0</v>
      </c>
      <c r="O4402">
        <v>-1309.2867614801651</v>
      </c>
      <c r="P4402">
        <v>2300776</v>
      </c>
    </row>
    <row r="4403" spans="1:16" x14ac:dyDescent="0.25">
      <c r="A4403" s="10">
        <v>44155</v>
      </c>
      <c r="B4403">
        <v>-2080</v>
      </c>
      <c r="C4403">
        <v>-4134.2974999999988</v>
      </c>
      <c r="D4403">
        <v>0</v>
      </c>
      <c r="E4403">
        <v>0</v>
      </c>
      <c r="F4403">
        <v>30000</v>
      </c>
      <c r="G4403">
        <v>-29830.38519301001</v>
      </c>
      <c r="H4403">
        <v>3710.8557468999638</v>
      </c>
      <c r="I4403">
        <v>0</v>
      </c>
      <c r="J4403">
        <v>0</v>
      </c>
      <c r="K4403">
        <v>983.66215001</v>
      </c>
      <c r="L4403">
        <v>0</v>
      </c>
      <c r="M4403">
        <v>0</v>
      </c>
      <c r="N4403">
        <v>0</v>
      </c>
      <c r="O4403">
        <v>-2809.8352038999569</v>
      </c>
      <c r="P4403">
        <v>2298696</v>
      </c>
    </row>
    <row r="4404" spans="1:16" x14ac:dyDescent="0.25">
      <c r="A4404" s="10">
        <v>44159</v>
      </c>
      <c r="B4404">
        <v>18723</v>
      </c>
      <c r="C4404">
        <v>600.33049999999707</v>
      </c>
      <c r="D4404">
        <v>0</v>
      </c>
      <c r="E4404">
        <v>0</v>
      </c>
      <c r="F4404">
        <v>0</v>
      </c>
      <c r="G4404">
        <v>-38096.848533609969</v>
      </c>
      <c r="H4404">
        <v>19058.41620183003</v>
      </c>
      <c r="I4404">
        <v>27894.015829556851</v>
      </c>
      <c r="J4404">
        <v>0</v>
      </c>
      <c r="K4404">
        <v>10889.94561809301</v>
      </c>
      <c r="L4404">
        <v>0</v>
      </c>
      <c r="M4404">
        <v>0</v>
      </c>
      <c r="N4404">
        <v>0</v>
      </c>
      <c r="O4404">
        <v>-1622.859615869922</v>
      </c>
      <c r="P4404">
        <v>2317419</v>
      </c>
    </row>
    <row r="4405" spans="1:16" x14ac:dyDescent="0.25">
      <c r="A4405" s="10">
        <v>44160</v>
      </c>
      <c r="B4405">
        <v>-19095</v>
      </c>
      <c r="C4405">
        <v>1167.3094999999989</v>
      </c>
      <c r="D4405">
        <v>0</v>
      </c>
      <c r="E4405">
        <v>0</v>
      </c>
      <c r="F4405">
        <v>0</v>
      </c>
      <c r="G4405">
        <v>1791.7226990300051</v>
      </c>
      <c r="H4405">
        <v>-22156.966197520029</v>
      </c>
      <c r="I4405">
        <v>0</v>
      </c>
      <c r="J4405">
        <v>0</v>
      </c>
      <c r="K4405">
        <v>1216.2868100600001</v>
      </c>
      <c r="L4405">
        <v>0</v>
      </c>
      <c r="M4405">
        <v>0</v>
      </c>
      <c r="N4405">
        <v>0</v>
      </c>
      <c r="O4405">
        <v>-1113.3528115699739</v>
      </c>
      <c r="P4405">
        <v>2298324</v>
      </c>
    </row>
    <row r="4406" spans="1:16" x14ac:dyDescent="0.25">
      <c r="A4406" s="10">
        <v>44161</v>
      </c>
      <c r="B4406">
        <v>10911</v>
      </c>
      <c r="C4406">
        <v>515.243300000001</v>
      </c>
      <c r="D4406">
        <v>0</v>
      </c>
      <c r="E4406">
        <v>0</v>
      </c>
      <c r="F4406">
        <v>0</v>
      </c>
      <c r="G4406">
        <v>126.7158271400054</v>
      </c>
      <c r="H4406">
        <v>22824.686001589991</v>
      </c>
      <c r="I4406">
        <v>-17133.748169867089</v>
      </c>
      <c r="J4406">
        <v>0</v>
      </c>
      <c r="K4406">
        <v>4745.0766391770376</v>
      </c>
      <c r="L4406">
        <v>0</v>
      </c>
      <c r="M4406">
        <v>0</v>
      </c>
      <c r="N4406">
        <v>0</v>
      </c>
      <c r="O4406">
        <v>-166.97359803994189</v>
      </c>
      <c r="P4406">
        <v>2309235</v>
      </c>
    </row>
    <row r="4407" spans="1:16" x14ac:dyDescent="0.25">
      <c r="A4407" s="10">
        <v>44162</v>
      </c>
      <c r="B4407">
        <v>26756</v>
      </c>
      <c r="C4407">
        <v>-3651.212</v>
      </c>
      <c r="D4407">
        <v>-5000</v>
      </c>
      <c r="E4407">
        <v>0</v>
      </c>
      <c r="F4407">
        <v>90000</v>
      </c>
      <c r="G4407">
        <v>-84974.678805489995</v>
      </c>
      <c r="H4407">
        <v>29870.29084224999</v>
      </c>
      <c r="I4407">
        <v>0</v>
      </c>
      <c r="J4407">
        <v>0</v>
      </c>
      <c r="K4407">
        <v>1168.13406218</v>
      </c>
      <c r="L4407">
        <v>0</v>
      </c>
      <c r="M4407">
        <v>0</v>
      </c>
      <c r="N4407">
        <v>0</v>
      </c>
      <c r="O4407">
        <v>-656.5340989399956</v>
      </c>
      <c r="P4407">
        <v>2335991</v>
      </c>
    </row>
    <row r="4408" spans="1:16" x14ac:dyDescent="0.25">
      <c r="A4408" s="10">
        <v>44165</v>
      </c>
      <c r="B4408">
        <v>-108716</v>
      </c>
      <c r="C4408">
        <v>381.84000000000083</v>
      </c>
      <c r="D4408">
        <v>0</v>
      </c>
      <c r="E4408">
        <v>0</v>
      </c>
      <c r="F4408">
        <v>0</v>
      </c>
      <c r="G4408">
        <v>15372.511065970009</v>
      </c>
      <c r="H4408">
        <v>-122249.03095842</v>
      </c>
      <c r="I4408">
        <v>0</v>
      </c>
      <c r="J4408">
        <v>0</v>
      </c>
      <c r="K4408">
        <v>576.62708308000015</v>
      </c>
      <c r="L4408">
        <v>0</v>
      </c>
      <c r="M4408">
        <v>0</v>
      </c>
      <c r="N4408">
        <v>0</v>
      </c>
      <c r="O4408">
        <v>-2797.9471906299882</v>
      </c>
      <c r="P4408">
        <v>2227275</v>
      </c>
    </row>
    <row r="4409" spans="1:16" x14ac:dyDescent="0.25">
      <c r="A4409" s="10">
        <v>44166</v>
      </c>
      <c r="B4409">
        <v>120810</v>
      </c>
      <c r="C4409">
        <v>-5712.6720000000014</v>
      </c>
      <c r="D4409">
        <v>0</v>
      </c>
      <c r="E4409">
        <v>0</v>
      </c>
      <c r="F4409">
        <v>0</v>
      </c>
      <c r="G4409">
        <v>61199.050650949997</v>
      </c>
      <c r="H4409">
        <v>52114.258594259969</v>
      </c>
      <c r="I4409">
        <v>7244.2392207393423</v>
      </c>
      <c r="J4409">
        <v>0</v>
      </c>
      <c r="K4409">
        <v>6628.123365450364</v>
      </c>
      <c r="L4409">
        <v>0</v>
      </c>
      <c r="M4409">
        <v>0</v>
      </c>
      <c r="N4409">
        <v>0</v>
      </c>
      <c r="O4409">
        <v>-662.99983139966207</v>
      </c>
      <c r="P4409">
        <v>2348085</v>
      </c>
    </row>
    <row r="4410" spans="1:16" x14ac:dyDescent="0.25">
      <c r="A4410" s="10">
        <v>44167</v>
      </c>
      <c r="B4410">
        <v>33593</v>
      </c>
      <c r="C4410">
        <v>-995.05349999999873</v>
      </c>
      <c r="D4410">
        <v>0</v>
      </c>
      <c r="E4410">
        <v>0</v>
      </c>
      <c r="F4410">
        <v>0</v>
      </c>
      <c r="G4410">
        <v>-1692.7044206100029</v>
      </c>
      <c r="H4410">
        <v>35299.944603350013</v>
      </c>
      <c r="I4410">
        <v>0</v>
      </c>
      <c r="J4410">
        <v>0</v>
      </c>
      <c r="K4410">
        <v>1114.03515857</v>
      </c>
      <c r="L4410">
        <v>0</v>
      </c>
      <c r="M4410">
        <v>0</v>
      </c>
      <c r="N4410">
        <v>0</v>
      </c>
      <c r="O4410">
        <v>-133.22184131001271</v>
      </c>
      <c r="P4410">
        <v>2381678</v>
      </c>
    </row>
    <row r="4411" spans="1:16" x14ac:dyDescent="0.25">
      <c r="A4411" s="10">
        <v>44168</v>
      </c>
      <c r="B4411">
        <v>-8329</v>
      </c>
      <c r="C4411">
        <v>2059.367000000002</v>
      </c>
      <c r="D4411">
        <v>0</v>
      </c>
      <c r="E4411">
        <v>0</v>
      </c>
      <c r="F4411">
        <v>0</v>
      </c>
      <c r="G4411">
        <v>544.78550975999815</v>
      </c>
      <c r="H4411">
        <v>8787.5378592901397</v>
      </c>
      <c r="I4411">
        <v>-25012.426415293012</v>
      </c>
      <c r="J4411">
        <v>0</v>
      </c>
      <c r="K4411">
        <v>6177.7953566431888</v>
      </c>
      <c r="L4411">
        <v>0</v>
      </c>
      <c r="M4411">
        <v>0</v>
      </c>
      <c r="N4411">
        <v>0</v>
      </c>
      <c r="O4411">
        <v>-886.05931040031737</v>
      </c>
      <c r="P4411">
        <v>2373349</v>
      </c>
    </row>
    <row r="4412" spans="1:16" x14ac:dyDescent="0.25">
      <c r="A4412" s="10">
        <v>44169</v>
      </c>
      <c r="B4412">
        <v>8385</v>
      </c>
      <c r="C4412">
        <v>0</v>
      </c>
      <c r="D4412">
        <v>0</v>
      </c>
      <c r="E4412">
        <v>0</v>
      </c>
      <c r="F4412">
        <v>100000</v>
      </c>
      <c r="G4412">
        <v>-57513.666339770003</v>
      </c>
      <c r="H4412">
        <v>-34564.386323079932</v>
      </c>
      <c r="I4412">
        <v>0</v>
      </c>
      <c r="J4412">
        <v>0</v>
      </c>
      <c r="K4412">
        <v>942.03705643000012</v>
      </c>
      <c r="L4412">
        <v>0</v>
      </c>
      <c r="M4412">
        <v>0</v>
      </c>
      <c r="N4412">
        <v>0</v>
      </c>
      <c r="O4412">
        <v>-478.98439358006362</v>
      </c>
      <c r="P4412">
        <v>2381734</v>
      </c>
    </row>
    <row r="4413" spans="1:16" x14ac:dyDescent="0.25">
      <c r="A4413" s="10">
        <v>44174</v>
      </c>
      <c r="B4413">
        <v>117553</v>
      </c>
      <c r="C4413">
        <v>4290.2370000000001</v>
      </c>
      <c r="D4413">
        <v>0</v>
      </c>
      <c r="E4413">
        <v>0</v>
      </c>
      <c r="F4413">
        <v>0</v>
      </c>
      <c r="G4413">
        <v>99721.961803109996</v>
      </c>
      <c r="H4413">
        <v>-1279.8381555998931</v>
      </c>
      <c r="I4413">
        <v>6203.5804780980106</v>
      </c>
      <c r="J4413">
        <v>0</v>
      </c>
      <c r="K4413">
        <v>10536.780167172041</v>
      </c>
      <c r="L4413">
        <v>0</v>
      </c>
      <c r="M4413">
        <v>0</v>
      </c>
      <c r="N4413">
        <v>0</v>
      </c>
      <c r="O4413">
        <v>-1919.721292780159</v>
      </c>
      <c r="P4413">
        <v>2499287</v>
      </c>
    </row>
    <row r="4414" spans="1:16" x14ac:dyDescent="0.25">
      <c r="A4414" s="10">
        <v>44175</v>
      </c>
      <c r="B4414">
        <v>-1272</v>
      </c>
      <c r="C4414">
        <v>2396.659000000001</v>
      </c>
      <c r="D4414">
        <v>0</v>
      </c>
      <c r="E4414">
        <v>0</v>
      </c>
      <c r="F4414">
        <v>0</v>
      </c>
      <c r="G4414">
        <v>438.8539387300039</v>
      </c>
      <c r="H4414">
        <v>-28026.87629897986</v>
      </c>
      <c r="I4414">
        <v>17837.370650705419</v>
      </c>
      <c r="J4414">
        <v>0</v>
      </c>
      <c r="K4414">
        <v>6902.7366925146471</v>
      </c>
      <c r="L4414">
        <v>0</v>
      </c>
      <c r="M4414">
        <v>0</v>
      </c>
      <c r="N4414">
        <v>0</v>
      </c>
      <c r="O4414">
        <v>-820.74398297021253</v>
      </c>
      <c r="P4414">
        <v>2498015</v>
      </c>
    </row>
    <row r="4415" spans="1:16" x14ac:dyDescent="0.25">
      <c r="A4415" s="10">
        <v>44176</v>
      </c>
      <c r="B4415">
        <v>-44824</v>
      </c>
      <c r="C4415">
        <v>1906.237000000001</v>
      </c>
      <c r="D4415">
        <v>-14000</v>
      </c>
      <c r="E4415">
        <v>0</v>
      </c>
      <c r="F4415">
        <v>100000</v>
      </c>
      <c r="G4415">
        <v>-85454.979743420001</v>
      </c>
      <c r="H4415">
        <v>-48004.70954550989</v>
      </c>
      <c r="I4415">
        <v>0</v>
      </c>
      <c r="J4415">
        <v>0</v>
      </c>
      <c r="K4415">
        <v>1498.21428917</v>
      </c>
      <c r="L4415">
        <v>0</v>
      </c>
      <c r="M4415">
        <v>0</v>
      </c>
      <c r="N4415">
        <v>0</v>
      </c>
      <c r="O4415">
        <v>-768.76200024010177</v>
      </c>
      <c r="P4415">
        <v>2453191</v>
      </c>
    </row>
    <row r="4416" spans="1:16" x14ac:dyDescent="0.25">
      <c r="A4416" s="10">
        <v>44179</v>
      </c>
      <c r="B4416">
        <v>-53543</v>
      </c>
      <c r="C4416">
        <v>766.27499999999623</v>
      </c>
      <c r="D4416">
        <v>0</v>
      </c>
      <c r="E4416">
        <v>0</v>
      </c>
      <c r="F4416">
        <v>0</v>
      </c>
      <c r="G4416">
        <v>-537.70406580001099</v>
      </c>
      <c r="H4416">
        <v>-54069.791092200088</v>
      </c>
      <c r="I4416">
        <v>0</v>
      </c>
      <c r="J4416">
        <v>0</v>
      </c>
      <c r="K4416">
        <v>927.46099842999968</v>
      </c>
      <c r="L4416">
        <v>0</v>
      </c>
      <c r="M4416">
        <v>0</v>
      </c>
      <c r="N4416">
        <v>0</v>
      </c>
      <c r="O4416">
        <v>-629.24084042989125</v>
      </c>
      <c r="P4416">
        <v>2399648</v>
      </c>
    </row>
    <row r="4417" spans="1:16" x14ac:dyDescent="0.25">
      <c r="A4417" s="10">
        <v>44180</v>
      </c>
      <c r="B4417">
        <v>-42362</v>
      </c>
      <c r="C4417">
        <v>1386.419000000001</v>
      </c>
      <c r="D4417">
        <v>0</v>
      </c>
      <c r="E4417">
        <v>0</v>
      </c>
      <c r="F4417">
        <v>0</v>
      </c>
      <c r="G4417">
        <v>1855.152389840003</v>
      </c>
      <c r="H4417">
        <v>-50798.779970719828</v>
      </c>
      <c r="I4417">
        <v>-1707.298250186956</v>
      </c>
      <c r="J4417">
        <v>0</v>
      </c>
      <c r="K4417">
        <v>6897.9799353671051</v>
      </c>
      <c r="L4417">
        <v>0</v>
      </c>
      <c r="M4417">
        <v>0</v>
      </c>
      <c r="N4417">
        <v>0</v>
      </c>
      <c r="O4417">
        <v>4.5268956996733323</v>
      </c>
      <c r="P4417">
        <v>2357286</v>
      </c>
    </row>
    <row r="4418" spans="1:16" x14ac:dyDescent="0.25">
      <c r="A4418" s="10">
        <v>44181</v>
      </c>
      <c r="B4418">
        <v>-11583</v>
      </c>
      <c r="C4418">
        <v>1148.2379999999971</v>
      </c>
      <c r="D4418">
        <v>0</v>
      </c>
      <c r="E4418">
        <v>0</v>
      </c>
      <c r="F4418">
        <v>0</v>
      </c>
      <c r="G4418">
        <v>-192.5538112600033</v>
      </c>
      <c r="H4418">
        <v>-14089.640005759889</v>
      </c>
      <c r="I4418">
        <v>0</v>
      </c>
      <c r="J4418">
        <v>0</v>
      </c>
      <c r="K4418">
        <v>2094.91986103</v>
      </c>
      <c r="L4418">
        <v>0</v>
      </c>
      <c r="M4418">
        <v>0</v>
      </c>
      <c r="N4418">
        <v>0</v>
      </c>
      <c r="O4418">
        <v>-543.96404401009931</v>
      </c>
      <c r="P4418">
        <v>2345703</v>
      </c>
    </row>
    <row r="4419" spans="1:16" x14ac:dyDescent="0.25">
      <c r="A4419" s="10">
        <v>44182</v>
      </c>
      <c r="B4419">
        <v>54946</v>
      </c>
      <c r="C4419">
        <v>2977.335</v>
      </c>
      <c r="D4419">
        <v>0</v>
      </c>
      <c r="E4419">
        <v>0</v>
      </c>
      <c r="F4419">
        <v>0</v>
      </c>
      <c r="G4419">
        <v>-963.16635782001708</v>
      </c>
      <c r="H4419">
        <v>36686.359151920187</v>
      </c>
      <c r="I4419">
        <v>9449.5393750013318</v>
      </c>
      <c r="J4419">
        <v>0</v>
      </c>
      <c r="K4419">
        <v>6834.5562926686598</v>
      </c>
      <c r="L4419">
        <v>0</v>
      </c>
      <c r="M4419">
        <v>0</v>
      </c>
      <c r="N4419">
        <v>0</v>
      </c>
      <c r="O4419">
        <v>-38.623461770162983</v>
      </c>
      <c r="P4419">
        <v>2400649</v>
      </c>
    </row>
    <row r="4420" spans="1:16" x14ac:dyDescent="0.25">
      <c r="A4420" s="10">
        <v>44183</v>
      </c>
      <c r="B4420">
        <v>32645</v>
      </c>
      <c r="C4420">
        <v>1068.2669999999989</v>
      </c>
      <c r="D4420">
        <v>-6620</v>
      </c>
      <c r="E4420">
        <v>0</v>
      </c>
      <c r="F4420">
        <v>54981.618078960113</v>
      </c>
      <c r="G4420">
        <v>53113.466903659988</v>
      </c>
      <c r="H4420">
        <v>-70710.217845859821</v>
      </c>
      <c r="I4420">
        <v>0</v>
      </c>
      <c r="J4420">
        <v>0</v>
      </c>
      <c r="K4420">
        <v>1426.99784099</v>
      </c>
      <c r="L4420">
        <v>0</v>
      </c>
      <c r="M4420">
        <v>0</v>
      </c>
      <c r="N4420">
        <v>0</v>
      </c>
      <c r="O4420">
        <v>-615.1319777502722</v>
      </c>
      <c r="P4420">
        <v>2433294</v>
      </c>
    </row>
    <row r="4421" spans="1:16" x14ac:dyDescent="0.25">
      <c r="A4421" s="10">
        <v>44186</v>
      </c>
      <c r="B4421">
        <v>10413</v>
      </c>
      <c r="C4421">
        <v>9183.398000000001</v>
      </c>
      <c r="D4421">
        <v>0</v>
      </c>
      <c r="E4421">
        <v>0</v>
      </c>
      <c r="F4421">
        <v>0</v>
      </c>
      <c r="G4421">
        <v>634.68774978000022</v>
      </c>
      <c r="H4421">
        <v>-43206.163562349982</v>
      </c>
      <c r="I4421">
        <v>41924.719510500086</v>
      </c>
      <c r="J4421">
        <v>0</v>
      </c>
      <c r="K4421">
        <v>1657.9280414599989</v>
      </c>
      <c r="L4421">
        <v>0</v>
      </c>
      <c r="M4421">
        <v>0</v>
      </c>
      <c r="N4421">
        <v>0</v>
      </c>
      <c r="O4421">
        <v>218.43026060988629</v>
      </c>
      <c r="P4421">
        <v>2443707</v>
      </c>
    </row>
    <row r="4422" spans="1:16" x14ac:dyDescent="0.25">
      <c r="A4422" s="10">
        <v>44187</v>
      </c>
      <c r="B4422">
        <v>34956</v>
      </c>
      <c r="C4422">
        <v>9297.8379999999906</v>
      </c>
      <c r="D4422">
        <v>0</v>
      </c>
      <c r="E4422">
        <v>0</v>
      </c>
      <c r="F4422">
        <v>0</v>
      </c>
      <c r="G4422">
        <v>23227.11128606999</v>
      </c>
      <c r="H4422">
        <v>-58752.951468269814</v>
      </c>
      <c r="I4422">
        <v>57352.49694340094</v>
      </c>
      <c r="J4422">
        <v>0</v>
      </c>
      <c r="K4422">
        <v>8607.3264535490744</v>
      </c>
      <c r="L4422">
        <v>0</v>
      </c>
      <c r="M4422">
        <v>0</v>
      </c>
      <c r="N4422">
        <v>0</v>
      </c>
      <c r="O4422">
        <v>-4775.8212147501908</v>
      </c>
      <c r="P4422">
        <v>2478663</v>
      </c>
    </row>
    <row r="4423" spans="1:16" x14ac:dyDescent="0.25">
      <c r="A4423" s="10">
        <v>44188</v>
      </c>
      <c r="B4423">
        <v>-75868</v>
      </c>
      <c r="C4423">
        <v>3659.049000000005</v>
      </c>
      <c r="D4423">
        <v>0</v>
      </c>
      <c r="E4423">
        <v>0</v>
      </c>
      <c r="F4423">
        <v>0</v>
      </c>
      <c r="G4423">
        <v>106.02086769998959</v>
      </c>
      <c r="H4423">
        <v>-9844.6163734598085</v>
      </c>
      <c r="I4423">
        <v>-72088.553654640215</v>
      </c>
      <c r="J4423">
        <v>0</v>
      </c>
      <c r="K4423">
        <v>1937.9485543799999</v>
      </c>
      <c r="L4423">
        <v>0</v>
      </c>
      <c r="M4423">
        <v>0</v>
      </c>
      <c r="N4423">
        <v>0</v>
      </c>
      <c r="O4423">
        <v>362.15160602003738</v>
      </c>
      <c r="P4423">
        <v>2402795</v>
      </c>
    </row>
    <row r="4424" spans="1:16" x14ac:dyDescent="0.25">
      <c r="A4424" s="10">
        <v>44193</v>
      </c>
      <c r="B4424">
        <v>142642</v>
      </c>
      <c r="C4424">
        <v>4239.5780000000004</v>
      </c>
      <c r="D4424">
        <v>0</v>
      </c>
      <c r="E4424">
        <v>0</v>
      </c>
      <c r="F4424">
        <v>0</v>
      </c>
      <c r="G4424">
        <v>4500.3852395399999</v>
      </c>
      <c r="H4424">
        <v>65605.120280130068</v>
      </c>
      <c r="I4424">
        <v>58892.370780647732</v>
      </c>
      <c r="J4424">
        <v>0</v>
      </c>
      <c r="K4424">
        <v>9743.6653447323442</v>
      </c>
      <c r="L4424">
        <v>0</v>
      </c>
      <c r="M4424">
        <v>0</v>
      </c>
      <c r="N4424">
        <v>0</v>
      </c>
      <c r="O4424">
        <v>-339.11964505014481</v>
      </c>
      <c r="P4424">
        <v>2545437</v>
      </c>
    </row>
    <row r="4425" spans="1:16" x14ac:dyDescent="0.25">
      <c r="A4425" s="10">
        <v>44194</v>
      </c>
      <c r="B4425">
        <v>36207</v>
      </c>
      <c r="C4425">
        <v>5227.1348000000062</v>
      </c>
      <c r="D4425">
        <v>0</v>
      </c>
      <c r="E4425">
        <v>0</v>
      </c>
      <c r="F4425">
        <v>0</v>
      </c>
      <c r="G4425">
        <v>-691.75751304999176</v>
      </c>
      <c r="H4425">
        <v>-48113.80702133989</v>
      </c>
      <c r="I4425">
        <v>76090.227053489303</v>
      </c>
      <c r="J4425">
        <v>0</v>
      </c>
      <c r="K4425">
        <v>6518.1731212704963</v>
      </c>
      <c r="L4425">
        <v>0</v>
      </c>
      <c r="M4425">
        <v>0</v>
      </c>
      <c r="N4425">
        <v>0</v>
      </c>
      <c r="O4425">
        <v>-2822.9704403699288</v>
      </c>
      <c r="P4425">
        <v>2581644</v>
      </c>
    </row>
    <row r="4426" spans="1:16" x14ac:dyDescent="0.25">
      <c r="A4426" s="10">
        <v>44195</v>
      </c>
      <c r="B4426">
        <v>-111384</v>
      </c>
      <c r="C4426">
        <v>7782.5600000000031</v>
      </c>
      <c r="D4426">
        <v>0</v>
      </c>
      <c r="E4426">
        <v>0</v>
      </c>
      <c r="F4426">
        <v>0</v>
      </c>
      <c r="G4426">
        <v>14721.702711780021</v>
      </c>
      <c r="H4426">
        <v>61963.261656570248</v>
      </c>
      <c r="I4426">
        <v>-199557.29816748021</v>
      </c>
      <c r="J4426">
        <v>0</v>
      </c>
      <c r="K4426">
        <v>2409.5778830700001</v>
      </c>
      <c r="L4426">
        <v>0</v>
      </c>
      <c r="M4426">
        <v>0</v>
      </c>
      <c r="N4426">
        <v>0</v>
      </c>
      <c r="O4426">
        <v>1296.1959160598931</v>
      </c>
      <c r="P4426">
        <v>2470260</v>
      </c>
    </row>
    <row r="4427" spans="1:16" x14ac:dyDescent="0.25">
      <c r="A4427" s="10">
        <v>44200</v>
      </c>
      <c r="B4427">
        <v>156489</v>
      </c>
      <c r="C4427">
        <v>381.57600000000122</v>
      </c>
      <c r="D4427">
        <v>0</v>
      </c>
      <c r="E4427">
        <v>0</v>
      </c>
      <c r="F4427">
        <v>0</v>
      </c>
      <c r="G4427">
        <v>9307.6696443500005</v>
      </c>
      <c r="H4427">
        <v>144878.84621495011</v>
      </c>
      <c r="I4427">
        <v>-5577.8263877267018</v>
      </c>
      <c r="J4427">
        <v>0</v>
      </c>
      <c r="K4427">
        <v>9055.3251025867376</v>
      </c>
      <c r="L4427">
        <v>0</v>
      </c>
      <c r="M4427">
        <v>0</v>
      </c>
      <c r="N4427">
        <v>0</v>
      </c>
      <c r="O4427">
        <v>-1556.5905741601309</v>
      </c>
      <c r="P4427">
        <v>2626749</v>
      </c>
    </row>
    <row r="4428" spans="1:16" x14ac:dyDescent="0.25">
      <c r="A4428" s="10">
        <v>44201</v>
      </c>
      <c r="B4428">
        <v>-7464</v>
      </c>
      <c r="C4428">
        <v>381.45</v>
      </c>
      <c r="D4428">
        <v>0</v>
      </c>
      <c r="E4428">
        <v>0</v>
      </c>
      <c r="F4428">
        <v>0</v>
      </c>
      <c r="G4428">
        <v>-669.61604449000004</v>
      </c>
      <c r="H4428">
        <v>12890.015185812001</v>
      </c>
      <c r="I4428">
        <v>-24134.659687769908</v>
      </c>
      <c r="J4428">
        <v>0</v>
      </c>
      <c r="K4428">
        <v>7686.6303821079146</v>
      </c>
      <c r="L4428">
        <v>0</v>
      </c>
      <c r="M4428">
        <v>0</v>
      </c>
      <c r="N4428">
        <v>0</v>
      </c>
      <c r="O4428">
        <v>-3617.8198356600019</v>
      </c>
      <c r="P4428">
        <v>2619285</v>
      </c>
    </row>
    <row r="4429" spans="1:16" x14ac:dyDescent="0.25">
      <c r="A4429" s="10">
        <v>44202</v>
      </c>
      <c r="B4429">
        <v>39738</v>
      </c>
      <c r="C4429">
        <v>297.14999999999998</v>
      </c>
      <c r="D4429">
        <v>0</v>
      </c>
      <c r="E4429">
        <v>0</v>
      </c>
      <c r="F4429">
        <v>0</v>
      </c>
      <c r="G4429">
        <v>-1311.35796579</v>
      </c>
      <c r="H4429">
        <v>42417.525212524997</v>
      </c>
      <c r="I4429">
        <v>0</v>
      </c>
      <c r="J4429">
        <v>0</v>
      </c>
      <c r="K4429">
        <v>2846.9591432249999</v>
      </c>
      <c r="L4429">
        <v>0</v>
      </c>
      <c r="M4429">
        <v>0</v>
      </c>
      <c r="N4429">
        <v>0</v>
      </c>
      <c r="O4429">
        <v>-4512.2763899600031</v>
      </c>
      <c r="P4429">
        <v>2659023</v>
      </c>
    </row>
    <row r="4430" spans="1:16" x14ac:dyDescent="0.25">
      <c r="A4430" s="10">
        <v>44203</v>
      </c>
      <c r="B4430">
        <v>24968</v>
      </c>
      <c r="C4430">
        <v>254.97</v>
      </c>
      <c r="D4430">
        <v>0</v>
      </c>
      <c r="E4430">
        <v>0</v>
      </c>
      <c r="F4430">
        <v>0</v>
      </c>
      <c r="G4430">
        <v>-476.60145806999998</v>
      </c>
      <c r="H4430">
        <v>9610.6498060470003</v>
      </c>
      <c r="I4430">
        <v>14144.46017817</v>
      </c>
      <c r="J4430">
        <v>0</v>
      </c>
      <c r="K4430">
        <v>5742.9183850930003</v>
      </c>
      <c r="L4430">
        <v>0</v>
      </c>
      <c r="M4430">
        <v>0</v>
      </c>
      <c r="N4430">
        <v>0</v>
      </c>
      <c r="O4430">
        <v>-4308.3969112400009</v>
      </c>
      <c r="P4430">
        <v>2683991</v>
      </c>
    </row>
    <row r="4431" spans="1:16" x14ac:dyDescent="0.25">
      <c r="A4431" s="10">
        <v>44204</v>
      </c>
      <c r="B4431">
        <v>-110179</v>
      </c>
      <c r="C4431">
        <v>8.4109999999999996</v>
      </c>
      <c r="D4431">
        <v>0</v>
      </c>
      <c r="E4431">
        <v>0</v>
      </c>
      <c r="F4431">
        <v>0</v>
      </c>
      <c r="G4431">
        <v>1256.2281570600001</v>
      </c>
      <c r="H4431">
        <v>-106664.262423648</v>
      </c>
      <c r="I4431">
        <v>0</v>
      </c>
      <c r="J4431">
        <v>0</v>
      </c>
      <c r="K4431">
        <v>83.689829308</v>
      </c>
      <c r="L4431">
        <v>0</v>
      </c>
      <c r="M4431">
        <v>0</v>
      </c>
      <c r="N4431">
        <v>0</v>
      </c>
      <c r="O4431">
        <v>-4863.0665627199924</v>
      </c>
      <c r="P4431">
        <v>2573812</v>
      </c>
    </row>
    <row r="4432" spans="1:16" x14ac:dyDescent="0.25">
      <c r="A4432" s="10">
        <v>44207</v>
      </c>
      <c r="B4432">
        <v>21127</v>
      </c>
      <c r="C4432">
        <v>16748.714</v>
      </c>
      <c r="D4432">
        <v>0</v>
      </c>
      <c r="E4432">
        <v>0</v>
      </c>
      <c r="F4432">
        <v>0</v>
      </c>
      <c r="G4432">
        <v>-555.00857454999903</v>
      </c>
      <c r="H4432">
        <v>6659.1759573190011</v>
      </c>
      <c r="I4432">
        <v>0</v>
      </c>
      <c r="J4432">
        <v>0</v>
      </c>
      <c r="K4432">
        <v>1740.1309973509999</v>
      </c>
      <c r="L4432">
        <v>0</v>
      </c>
      <c r="M4432">
        <v>0</v>
      </c>
      <c r="N4432">
        <v>0</v>
      </c>
      <c r="O4432">
        <v>-3466.012380120002</v>
      </c>
      <c r="P4432">
        <v>2594939</v>
      </c>
    </row>
    <row r="4433" spans="1:16" x14ac:dyDescent="0.25">
      <c r="A4433" s="10">
        <v>44208</v>
      </c>
      <c r="B4433">
        <v>5775</v>
      </c>
      <c r="C4433">
        <v>4465.1850000000004</v>
      </c>
      <c r="D4433">
        <v>0</v>
      </c>
      <c r="E4433">
        <v>0</v>
      </c>
      <c r="F4433">
        <v>0</v>
      </c>
      <c r="G4433">
        <v>1138.1470180700001</v>
      </c>
      <c r="H4433">
        <v>-6919.6321444650002</v>
      </c>
      <c r="I4433">
        <v>1811.3241248100001</v>
      </c>
      <c r="J4433">
        <v>0</v>
      </c>
      <c r="K4433">
        <v>8019.8759240649997</v>
      </c>
      <c r="L4433">
        <v>0</v>
      </c>
      <c r="M4433">
        <v>0</v>
      </c>
      <c r="N4433">
        <v>0</v>
      </c>
      <c r="O4433">
        <v>-2739.8999224799991</v>
      </c>
      <c r="P4433">
        <v>2600714</v>
      </c>
    </row>
    <row r="4434" spans="1:16" x14ac:dyDescent="0.25">
      <c r="A4434" s="10">
        <v>44209</v>
      </c>
      <c r="B4434">
        <v>57850</v>
      </c>
      <c r="C4434">
        <v>5047.09</v>
      </c>
      <c r="D4434">
        <v>0</v>
      </c>
      <c r="E4434">
        <v>0</v>
      </c>
      <c r="F4434">
        <v>0</v>
      </c>
      <c r="G4434">
        <v>-459.60839562000001</v>
      </c>
      <c r="H4434">
        <v>53226.627449530999</v>
      </c>
      <c r="I4434">
        <v>0</v>
      </c>
      <c r="J4434">
        <v>0</v>
      </c>
      <c r="K4434">
        <v>2192.383602549</v>
      </c>
      <c r="L4434">
        <v>0</v>
      </c>
      <c r="M4434">
        <v>0</v>
      </c>
      <c r="N4434">
        <v>0</v>
      </c>
      <c r="O4434">
        <v>-2156.4926564600032</v>
      </c>
      <c r="P4434">
        <v>2658564</v>
      </c>
    </row>
    <row r="4435" spans="1:16" x14ac:dyDescent="0.25">
      <c r="A4435" s="10">
        <v>44210</v>
      </c>
      <c r="B4435">
        <v>-27365</v>
      </c>
      <c r="C4435">
        <v>9103.2950000000001</v>
      </c>
      <c r="D4435">
        <v>0</v>
      </c>
      <c r="E4435">
        <v>0</v>
      </c>
      <c r="F4435">
        <v>0</v>
      </c>
      <c r="G4435">
        <v>980.82767527999999</v>
      </c>
      <c r="H4435">
        <v>-45398.502162845987</v>
      </c>
      <c r="I4435">
        <v>3436.9984538900012</v>
      </c>
      <c r="J4435">
        <v>0</v>
      </c>
      <c r="K4435">
        <v>6084.442818135999</v>
      </c>
      <c r="L4435">
        <v>0</v>
      </c>
      <c r="M4435">
        <v>0</v>
      </c>
      <c r="N4435">
        <v>0</v>
      </c>
      <c r="O4435">
        <v>-1572.061784460006</v>
      </c>
      <c r="P4435">
        <v>2631199</v>
      </c>
    </row>
    <row r="4436" spans="1:16" x14ac:dyDescent="0.25">
      <c r="A4436" s="10">
        <v>44211</v>
      </c>
      <c r="B4436">
        <v>-31619</v>
      </c>
      <c r="C4436">
        <v>6180.933</v>
      </c>
      <c r="D4436">
        <v>0</v>
      </c>
      <c r="E4436">
        <v>0</v>
      </c>
      <c r="F4436">
        <v>0</v>
      </c>
      <c r="G4436">
        <v>-1076.0398588400001</v>
      </c>
      <c r="H4436">
        <v>-36398.684234756001</v>
      </c>
      <c r="I4436">
        <v>0</v>
      </c>
      <c r="J4436">
        <v>0</v>
      </c>
      <c r="K4436">
        <v>1120.492915436</v>
      </c>
      <c r="L4436">
        <v>0</v>
      </c>
      <c r="M4436">
        <v>0</v>
      </c>
      <c r="N4436">
        <v>0</v>
      </c>
      <c r="O4436">
        <v>-1445.701821840001</v>
      </c>
      <c r="P4436">
        <v>2599580</v>
      </c>
    </row>
    <row r="4437" spans="1:16" x14ac:dyDescent="0.25">
      <c r="A4437" s="10">
        <v>44214</v>
      </c>
      <c r="B4437">
        <v>-34551</v>
      </c>
      <c r="C4437">
        <v>606.73900000000003</v>
      </c>
      <c r="D4437">
        <v>0</v>
      </c>
      <c r="E4437">
        <v>0</v>
      </c>
      <c r="F4437">
        <v>0</v>
      </c>
      <c r="G4437">
        <v>-55380.87273838</v>
      </c>
      <c r="H4437">
        <v>19407.480598113001</v>
      </c>
      <c r="I4437">
        <v>0</v>
      </c>
      <c r="J4437">
        <v>0</v>
      </c>
      <c r="K4437">
        <v>1787.9310947869999</v>
      </c>
      <c r="L4437">
        <v>0</v>
      </c>
      <c r="M4437">
        <v>0</v>
      </c>
      <c r="N4437">
        <v>0</v>
      </c>
      <c r="O4437">
        <v>-972.27795452000282</v>
      </c>
      <c r="P4437">
        <v>2565029</v>
      </c>
    </row>
    <row r="4438" spans="1:16" x14ac:dyDescent="0.25">
      <c r="A4438" s="10">
        <v>44215</v>
      </c>
      <c r="B4438">
        <v>5504</v>
      </c>
      <c r="C4438">
        <v>-3591.6455999999998</v>
      </c>
      <c r="D4438">
        <v>0</v>
      </c>
      <c r="E4438">
        <v>0</v>
      </c>
      <c r="F4438">
        <v>0</v>
      </c>
      <c r="G4438">
        <v>506.83807323999889</v>
      </c>
      <c r="H4438">
        <v>-15135.860317856999</v>
      </c>
      <c r="I4438">
        <v>15688.15667618</v>
      </c>
      <c r="J4438">
        <v>0</v>
      </c>
      <c r="K4438">
        <v>9960.3629463770012</v>
      </c>
      <c r="L4438">
        <v>0</v>
      </c>
      <c r="M4438">
        <v>0</v>
      </c>
      <c r="N4438">
        <v>0</v>
      </c>
      <c r="O4438">
        <v>-1923.851777939997</v>
      </c>
      <c r="P4438">
        <v>2570533</v>
      </c>
    </row>
    <row r="4439" spans="1:16" x14ac:dyDescent="0.25">
      <c r="A4439" s="10">
        <v>44216</v>
      </c>
      <c r="B4439">
        <v>31812</v>
      </c>
      <c r="C4439">
        <v>-5992.0720000000001</v>
      </c>
      <c r="D4439">
        <v>0</v>
      </c>
      <c r="E4439">
        <v>0</v>
      </c>
      <c r="F4439">
        <v>0</v>
      </c>
      <c r="G4439">
        <v>-137.01755497000099</v>
      </c>
      <c r="H4439">
        <v>39325.917565165</v>
      </c>
      <c r="I4439">
        <v>0</v>
      </c>
      <c r="J4439">
        <v>0</v>
      </c>
      <c r="K4439">
        <v>1680.8090855150001</v>
      </c>
      <c r="L4439">
        <v>0</v>
      </c>
      <c r="M4439">
        <v>0</v>
      </c>
      <c r="N4439">
        <v>0</v>
      </c>
      <c r="O4439">
        <v>-3065.6370957100012</v>
      </c>
      <c r="P4439">
        <v>2602345</v>
      </c>
    </row>
    <row r="4440" spans="1:16" x14ac:dyDescent="0.25">
      <c r="A4440" s="10">
        <v>44217</v>
      </c>
      <c r="B4440">
        <v>4071</v>
      </c>
      <c r="C4440">
        <v>1064.3620000000001</v>
      </c>
      <c r="D4440">
        <v>0</v>
      </c>
      <c r="E4440">
        <v>0</v>
      </c>
      <c r="F4440">
        <v>0</v>
      </c>
      <c r="G4440">
        <v>474.19279631000001</v>
      </c>
      <c r="H4440">
        <v>61731.311338018997</v>
      </c>
      <c r="I4440">
        <v>-61010.557481650001</v>
      </c>
      <c r="J4440">
        <v>0</v>
      </c>
      <c r="K4440">
        <v>4092.069554141</v>
      </c>
      <c r="L4440">
        <v>0</v>
      </c>
      <c r="M4440">
        <v>0</v>
      </c>
      <c r="N4440">
        <v>0</v>
      </c>
      <c r="O4440">
        <v>-2280.3782068200062</v>
      </c>
      <c r="P4440">
        <v>2606416</v>
      </c>
    </row>
    <row r="4441" spans="1:16" x14ac:dyDescent="0.25">
      <c r="A4441" s="10">
        <v>44218</v>
      </c>
      <c r="B4441">
        <v>11574</v>
      </c>
      <c r="C4441">
        <v>-6449.5550000000003</v>
      </c>
      <c r="D4441">
        <v>0</v>
      </c>
      <c r="E4441">
        <v>0</v>
      </c>
      <c r="F4441">
        <v>0</v>
      </c>
      <c r="G4441">
        <v>3135.150400439999</v>
      </c>
      <c r="H4441">
        <v>14955.499291014001</v>
      </c>
      <c r="I4441">
        <v>0</v>
      </c>
      <c r="J4441">
        <v>0</v>
      </c>
      <c r="K4441">
        <v>1333.7654127159999</v>
      </c>
      <c r="L4441">
        <v>0</v>
      </c>
      <c r="M4441">
        <v>0</v>
      </c>
      <c r="N4441">
        <v>0</v>
      </c>
      <c r="O4441">
        <v>-1400.8601041699969</v>
      </c>
      <c r="P4441">
        <v>2617990</v>
      </c>
    </row>
    <row r="4442" spans="1:16" x14ac:dyDescent="0.25">
      <c r="A4442" s="10">
        <v>44221</v>
      </c>
      <c r="B4442">
        <v>4787</v>
      </c>
      <c r="C4442">
        <v>1097.0940000000001</v>
      </c>
      <c r="D4442">
        <v>0</v>
      </c>
      <c r="E4442">
        <v>0</v>
      </c>
      <c r="F4442">
        <v>0</v>
      </c>
      <c r="G4442">
        <v>-1512.2614543899999</v>
      </c>
      <c r="H4442">
        <v>4743.1191961510003</v>
      </c>
      <c r="I4442">
        <v>0</v>
      </c>
      <c r="J4442">
        <v>0</v>
      </c>
      <c r="K4442">
        <v>1712.576924809</v>
      </c>
      <c r="L4442">
        <v>0</v>
      </c>
      <c r="M4442">
        <v>0</v>
      </c>
      <c r="N4442">
        <v>0</v>
      </c>
      <c r="O4442">
        <v>-1253.52866657</v>
      </c>
      <c r="P4442">
        <v>2622777</v>
      </c>
    </row>
    <row r="4443" spans="1:16" x14ac:dyDescent="0.25">
      <c r="A4443" s="10">
        <v>44222</v>
      </c>
      <c r="B4443">
        <v>-22493</v>
      </c>
      <c r="C4443">
        <v>-7828.2349999999997</v>
      </c>
      <c r="D4443">
        <v>0</v>
      </c>
      <c r="E4443">
        <v>0</v>
      </c>
      <c r="F4443">
        <v>0</v>
      </c>
      <c r="G4443">
        <v>950.8828585</v>
      </c>
      <c r="H4443">
        <v>-30099.849637003001</v>
      </c>
      <c r="I4443">
        <v>7621.3853067100008</v>
      </c>
      <c r="J4443">
        <v>0</v>
      </c>
      <c r="K4443">
        <v>8118.7079836630001</v>
      </c>
      <c r="L4443">
        <v>0</v>
      </c>
      <c r="M4443">
        <v>0</v>
      </c>
      <c r="N4443">
        <v>0</v>
      </c>
      <c r="O4443">
        <v>-1255.891511870002</v>
      </c>
      <c r="P4443">
        <v>2600284</v>
      </c>
    </row>
    <row r="4444" spans="1:16" x14ac:dyDescent="0.25">
      <c r="A4444" s="10">
        <v>44223</v>
      </c>
      <c r="B4444">
        <v>-36741</v>
      </c>
      <c r="C4444">
        <v>-2178.0450000000001</v>
      </c>
      <c r="D4444">
        <v>0</v>
      </c>
      <c r="E4444">
        <v>0</v>
      </c>
      <c r="F4444">
        <v>0</v>
      </c>
      <c r="G4444">
        <v>416.66807033999999</v>
      </c>
      <c r="H4444">
        <v>-34532.649767489987</v>
      </c>
      <c r="I4444">
        <v>0</v>
      </c>
      <c r="J4444">
        <v>0</v>
      </c>
      <c r="K4444">
        <v>1321.25940962</v>
      </c>
      <c r="L4444">
        <v>0</v>
      </c>
      <c r="M4444">
        <v>0</v>
      </c>
      <c r="N4444">
        <v>0</v>
      </c>
      <c r="O4444">
        <v>-1768.2327124700021</v>
      </c>
      <c r="P4444">
        <v>2563543</v>
      </c>
    </row>
    <row r="4445" spans="1:16" x14ac:dyDescent="0.25">
      <c r="A4445" s="10">
        <v>44224</v>
      </c>
      <c r="B4445">
        <v>29405</v>
      </c>
      <c r="C4445">
        <v>348.685</v>
      </c>
      <c r="D4445">
        <v>0</v>
      </c>
      <c r="E4445">
        <v>0</v>
      </c>
      <c r="F4445">
        <v>0</v>
      </c>
      <c r="G4445">
        <v>5106.9778576500012</v>
      </c>
      <c r="H4445">
        <v>11847.339813254001</v>
      </c>
      <c r="I4445">
        <v>6524.6360132499995</v>
      </c>
      <c r="J4445">
        <v>0</v>
      </c>
      <c r="K4445">
        <v>7264.9486276260004</v>
      </c>
      <c r="L4445">
        <v>0</v>
      </c>
      <c r="M4445">
        <v>0</v>
      </c>
      <c r="N4445">
        <v>0</v>
      </c>
      <c r="O4445">
        <v>-1687.587311780004</v>
      </c>
      <c r="P4445">
        <v>2592948</v>
      </c>
    </row>
    <row r="4446" spans="1:16" x14ac:dyDescent="0.25">
      <c r="A4446" s="10">
        <v>44225</v>
      </c>
      <c r="B4446">
        <v>-111638</v>
      </c>
      <c r="C4446">
        <v>-6970.9849999999997</v>
      </c>
      <c r="D4446">
        <v>0</v>
      </c>
      <c r="E4446">
        <v>0</v>
      </c>
      <c r="F4446">
        <v>0</v>
      </c>
      <c r="G4446">
        <v>-14618.56636514001</v>
      </c>
      <c r="H4446">
        <v>-90282.756166671999</v>
      </c>
      <c r="I4446">
        <v>0</v>
      </c>
      <c r="J4446">
        <v>0</v>
      </c>
      <c r="K4446">
        <v>1269.3553924519999</v>
      </c>
      <c r="L4446">
        <v>0</v>
      </c>
      <c r="M4446">
        <v>0</v>
      </c>
      <c r="N4446">
        <v>0</v>
      </c>
      <c r="O4446">
        <v>-1035.0478606399849</v>
      </c>
      <c r="P4446">
        <v>2481310</v>
      </c>
    </row>
    <row r="4447" spans="1:16" x14ac:dyDescent="0.25">
      <c r="A4447" s="10">
        <v>44228</v>
      </c>
      <c r="B4447">
        <v>123068</v>
      </c>
      <c r="C4447">
        <v>3931.4259999999999</v>
      </c>
      <c r="D4447">
        <v>-30000</v>
      </c>
      <c r="E4447">
        <v>0</v>
      </c>
      <c r="F4447">
        <v>0</v>
      </c>
      <c r="G4447">
        <v>30774.122683459998</v>
      </c>
      <c r="H4447">
        <v>119251.318979013</v>
      </c>
      <c r="I4447">
        <v>0</v>
      </c>
      <c r="J4447">
        <v>0</v>
      </c>
      <c r="K4447">
        <v>1860.6634528469999</v>
      </c>
      <c r="L4447">
        <v>0</v>
      </c>
      <c r="M4447">
        <v>0</v>
      </c>
      <c r="N4447">
        <v>0</v>
      </c>
      <c r="O4447">
        <v>-2749.5311153200018</v>
      </c>
      <c r="P4447">
        <v>2604378</v>
      </c>
    </row>
    <row r="4448" spans="1:16" x14ac:dyDescent="0.25">
      <c r="A4448" s="10">
        <v>44229</v>
      </c>
      <c r="B4448">
        <v>1826</v>
      </c>
      <c r="C4448">
        <v>3200.95</v>
      </c>
      <c r="D4448">
        <v>0</v>
      </c>
      <c r="E4448">
        <v>0</v>
      </c>
      <c r="F4448">
        <v>0</v>
      </c>
      <c r="G4448">
        <v>-610.47044153999991</v>
      </c>
      <c r="H4448">
        <v>7497.9768199700002</v>
      </c>
      <c r="I4448">
        <v>-15767.43413012</v>
      </c>
      <c r="J4448">
        <v>0</v>
      </c>
      <c r="K4448">
        <v>8703.7678386200005</v>
      </c>
      <c r="L4448">
        <v>0</v>
      </c>
      <c r="M4448">
        <v>0</v>
      </c>
      <c r="N4448">
        <v>0</v>
      </c>
      <c r="O4448">
        <v>-1198.7900869299999</v>
      </c>
      <c r="P4448">
        <v>2606204</v>
      </c>
    </row>
    <row r="4449" spans="1:16" x14ac:dyDescent="0.25">
      <c r="A4449" s="10">
        <v>44230</v>
      </c>
      <c r="B4449">
        <v>4541</v>
      </c>
      <c r="C4449">
        <v>1731.925</v>
      </c>
      <c r="D4449">
        <v>0</v>
      </c>
      <c r="E4449">
        <v>0</v>
      </c>
      <c r="F4449">
        <v>0</v>
      </c>
      <c r="G4449">
        <v>-244.28950276</v>
      </c>
      <c r="H4449">
        <v>3271.120275109</v>
      </c>
      <c r="I4449">
        <v>0</v>
      </c>
      <c r="J4449">
        <v>0</v>
      </c>
      <c r="K4449">
        <v>1420.9501315509999</v>
      </c>
      <c r="L4449">
        <v>0</v>
      </c>
      <c r="M4449">
        <v>0</v>
      </c>
      <c r="N4449">
        <v>0</v>
      </c>
      <c r="O4449">
        <v>-1638.705903900001</v>
      </c>
      <c r="P4449">
        <v>2610745</v>
      </c>
    </row>
    <row r="4450" spans="1:16" x14ac:dyDescent="0.25">
      <c r="A4450" s="10">
        <v>44231</v>
      </c>
      <c r="B4450">
        <v>-11301</v>
      </c>
      <c r="C4450">
        <v>3353.375</v>
      </c>
      <c r="D4450">
        <v>0</v>
      </c>
      <c r="E4450">
        <v>0</v>
      </c>
      <c r="F4450">
        <v>0</v>
      </c>
      <c r="G4450">
        <v>283.03155269000001</v>
      </c>
      <c r="H4450">
        <v>14395.564625507999</v>
      </c>
      <c r="I4450">
        <v>-33694.06585033</v>
      </c>
      <c r="J4450">
        <v>0</v>
      </c>
      <c r="K4450">
        <v>6089.0018381520003</v>
      </c>
      <c r="L4450">
        <v>0</v>
      </c>
      <c r="M4450">
        <v>0</v>
      </c>
      <c r="N4450">
        <v>0</v>
      </c>
      <c r="O4450">
        <v>-1727.9071660200009</v>
      </c>
      <c r="P4450">
        <v>2599444</v>
      </c>
    </row>
    <row r="4451" spans="1:16" x14ac:dyDescent="0.25">
      <c r="A4451" s="10">
        <v>44232</v>
      </c>
      <c r="B4451">
        <v>-13064</v>
      </c>
      <c r="C4451">
        <v>1675.116</v>
      </c>
      <c r="D4451">
        <v>0</v>
      </c>
      <c r="E4451">
        <v>0</v>
      </c>
      <c r="F4451">
        <v>0</v>
      </c>
      <c r="G4451">
        <v>-76856.737051720003</v>
      </c>
      <c r="H4451">
        <v>61840.960964081001</v>
      </c>
      <c r="I4451">
        <v>0</v>
      </c>
      <c r="J4451">
        <v>0</v>
      </c>
      <c r="K4451">
        <v>1641.564158829</v>
      </c>
      <c r="L4451">
        <v>0</v>
      </c>
      <c r="M4451">
        <v>0</v>
      </c>
      <c r="N4451">
        <v>0</v>
      </c>
      <c r="O4451">
        <v>-1364.9040711899979</v>
      </c>
      <c r="P4451">
        <v>2586380</v>
      </c>
    </row>
    <row r="4452" spans="1:16" x14ac:dyDescent="0.25">
      <c r="A4452" s="10">
        <v>44235</v>
      </c>
      <c r="B4452">
        <v>48056</v>
      </c>
      <c r="C4452">
        <v>9223.2119999999995</v>
      </c>
      <c r="D4452">
        <v>0</v>
      </c>
      <c r="E4452">
        <v>0</v>
      </c>
      <c r="F4452">
        <v>0</v>
      </c>
      <c r="G4452">
        <v>38551.40214993</v>
      </c>
      <c r="H4452">
        <v>441.08363347400041</v>
      </c>
      <c r="I4452">
        <v>0</v>
      </c>
      <c r="J4452">
        <v>0</v>
      </c>
      <c r="K4452">
        <v>1314.032483166</v>
      </c>
      <c r="L4452">
        <v>0</v>
      </c>
      <c r="M4452">
        <v>0</v>
      </c>
      <c r="N4452">
        <v>0</v>
      </c>
      <c r="O4452">
        <v>-1473.730266569997</v>
      </c>
      <c r="P4452">
        <v>2634436</v>
      </c>
    </row>
    <row r="4453" spans="1:16" x14ac:dyDescent="0.25">
      <c r="A4453" s="10">
        <v>44236</v>
      </c>
      <c r="B4453">
        <v>-46019</v>
      </c>
      <c r="C4453">
        <v>2178.8359999999998</v>
      </c>
      <c r="D4453">
        <v>0</v>
      </c>
      <c r="E4453">
        <v>0</v>
      </c>
      <c r="F4453">
        <v>0</v>
      </c>
      <c r="G4453">
        <v>4137.4774301899997</v>
      </c>
      <c r="H4453">
        <v>-40925.371307877002</v>
      </c>
      <c r="I4453">
        <v>-16618.901736979999</v>
      </c>
      <c r="J4453">
        <v>0</v>
      </c>
      <c r="K4453">
        <v>7865.8411521970002</v>
      </c>
      <c r="L4453">
        <v>0</v>
      </c>
      <c r="M4453">
        <v>0</v>
      </c>
      <c r="N4453">
        <v>0</v>
      </c>
      <c r="O4453">
        <v>-2656.881537529996</v>
      </c>
      <c r="P4453">
        <v>2588417</v>
      </c>
    </row>
    <row r="4454" spans="1:16" x14ac:dyDescent="0.25">
      <c r="A4454" s="10">
        <v>44237</v>
      </c>
      <c r="B4454">
        <v>2592</v>
      </c>
      <c r="C4454">
        <v>0</v>
      </c>
      <c r="D4454">
        <v>0</v>
      </c>
      <c r="E4454">
        <v>0</v>
      </c>
      <c r="F4454">
        <v>0</v>
      </c>
      <c r="G4454">
        <v>505.04512963000002</v>
      </c>
      <c r="H4454">
        <v>1692.302914701</v>
      </c>
      <c r="I4454">
        <v>0</v>
      </c>
      <c r="J4454">
        <v>0</v>
      </c>
      <c r="K4454">
        <v>1456.9791885090001</v>
      </c>
      <c r="L4454">
        <v>0</v>
      </c>
      <c r="M4454">
        <v>0</v>
      </c>
      <c r="N4454">
        <v>0</v>
      </c>
      <c r="O4454">
        <v>-1062.3272328400001</v>
      </c>
      <c r="P4454">
        <v>2591009</v>
      </c>
    </row>
    <row r="4455" spans="1:16" x14ac:dyDescent="0.25">
      <c r="A4455" s="10">
        <v>44238</v>
      </c>
      <c r="B4455">
        <v>-48106</v>
      </c>
      <c r="C4455">
        <v>10567.795</v>
      </c>
      <c r="D4455">
        <v>0</v>
      </c>
      <c r="E4455">
        <v>0</v>
      </c>
      <c r="F4455">
        <v>0</v>
      </c>
      <c r="G4455">
        <v>87.346472930000004</v>
      </c>
      <c r="H4455">
        <v>-16751.304196247998</v>
      </c>
      <c r="I4455">
        <v>-46840.485478559996</v>
      </c>
      <c r="J4455">
        <v>0</v>
      </c>
      <c r="K4455">
        <v>6026.490097938</v>
      </c>
      <c r="L4455">
        <v>0</v>
      </c>
      <c r="M4455">
        <v>0</v>
      </c>
      <c r="N4455">
        <v>0</v>
      </c>
      <c r="O4455">
        <v>-1195.8418960599961</v>
      </c>
      <c r="P4455">
        <v>2542903</v>
      </c>
    </row>
    <row r="4456" spans="1:16" x14ac:dyDescent="0.25">
      <c r="A4456" s="10">
        <v>44239</v>
      </c>
      <c r="B4456">
        <v>-27624</v>
      </c>
      <c r="C4456">
        <v>21.787500000000001</v>
      </c>
      <c r="D4456">
        <v>0</v>
      </c>
      <c r="E4456">
        <v>0</v>
      </c>
      <c r="F4456">
        <v>0</v>
      </c>
      <c r="G4456">
        <v>-629.78913751999903</v>
      </c>
      <c r="H4456">
        <v>-27175.711116114999</v>
      </c>
      <c r="I4456">
        <v>0</v>
      </c>
      <c r="J4456">
        <v>0</v>
      </c>
      <c r="K4456">
        <v>1151.037547075</v>
      </c>
      <c r="L4456">
        <v>0</v>
      </c>
      <c r="M4456">
        <v>0</v>
      </c>
      <c r="N4456">
        <v>0</v>
      </c>
      <c r="O4456">
        <v>-991.32479343999876</v>
      </c>
      <c r="P4456">
        <v>2515279</v>
      </c>
    </row>
    <row r="4457" spans="1:16" x14ac:dyDescent="0.25">
      <c r="A4457" s="10">
        <v>44244</v>
      </c>
      <c r="B4457">
        <v>239339</v>
      </c>
      <c r="C4457">
        <v>4309.0230000000001</v>
      </c>
      <c r="D4457">
        <v>0</v>
      </c>
      <c r="E4457">
        <v>0</v>
      </c>
      <c r="F4457">
        <v>0</v>
      </c>
      <c r="G4457">
        <v>529.16770438000106</v>
      </c>
      <c r="H4457">
        <v>176692.45736283</v>
      </c>
      <c r="I4457">
        <v>44805.589153600013</v>
      </c>
      <c r="J4457">
        <v>0</v>
      </c>
      <c r="K4457">
        <v>13113.00398931</v>
      </c>
      <c r="L4457">
        <v>0</v>
      </c>
      <c r="M4457">
        <v>0</v>
      </c>
      <c r="N4457">
        <v>0</v>
      </c>
      <c r="O4457">
        <v>-110.24121012000251</v>
      </c>
      <c r="P4457">
        <v>2754618</v>
      </c>
    </row>
    <row r="4458" spans="1:16" x14ac:dyDescent="0.25">
      <c r="A4458" s="10">
        <v>44245</v>
      </c>
      <c r="B4458">
        <v>-55069</v>
      </c>
      <c r="C4458">
        <v>26.411999999999999</v>
      </c>
      <c r="D4458">
        <v>0</v>
      </c>
      <c r="E4458">
        <v>0</v>
      </c>
      <c r="F4458">
        <v>0</v>
      </c>
      <c r="G4458">
        <v>-668.28652274000001</v>
      </c>
      <c r="H4458">
        <v>-48719.645313505003</v>
      </c>
      <c r="I4458">
        <v>-11740.74902598</v>
      </c>
      <c r="J4458">
        <v>0</v>
      </c>
      <c r="K4458">
        <v>5607.6445509650002</v>
      </c>
      <c r="L4458">
        <v>0</v>
      </c>
      <c r="M4458">
        <v>0</v>
      </c>
      <c r="N4458">
        <v>0</v>
      </c>
      <c r="O4458">
        <v>425.6243112600132</v>
      </c>
      <c r="P4458">
        <v>2699549</v>
      </c>
    </row>
    <row r="4459" spans="1:16" x14ac:dyDescent="0.25">
      <c r="A4459" s="10">
        <v>44246</v>
      </c>
      <c r="B4459">
        <v>10879</v>
      </c>
      <c r="C4459">
        <v>413.57339999999988</v>
      </c>
      <c r="D4459">
        <v>0</v>
      </c>
      <c r="E4459">
        <v>0</v>
      </c>
      <c r="F4459">
        <v>0</v>
      </c>
      <c r="G4459">
        <v>1224.5280273999999</v>
      </c>
      <c r="H4459">
        <v>7971.0957204730003</v>
      </c>
      <c r="I4459">
        <v>0</v>
      </c>
      <c r="J4459">
        <v>0</v>
      </c>
      <c r="K4459">
        <v>1590.3463194670001</v>
      </c>
      <c r="L4459">
        <v>0</v>
      </c>
      <c r="M4459">
        <v>0</v>
      </c>
      <c r="N4459">
        <v>0</v>
      </c>
      <c r="O4459">
        <v>-320.54346733999961</v>
      </c>
      <c r="P4459">
        <v>2710428</v>
      </c>
    </row>
    <row r="4460" spans="1:16" x14ac:dyDescent="0.25">
      <c r="A4460" s="10">
        <v>44249</v>
      </c>
      <c r="B4460">
        <v>-56587</v>
      </c>
      <c r="C4460">
        <v>4726.1679999999997</v>
      </c>
      <c r="D4460">
        <v>-10000</v>
      </c>
      <c r="E4460">
        <v>0</v>
      </c>
      <c r="F4460">
        <v>0</v>
      </c>
      <c r="G4460">
        <v>40750.160702879999</v>
      </c>
      <c r="H4460">
        <v>-91820.143042664989</v>
      </c>
      <c r="I4460">
        <v>0</v>
      </c>
      <c r="J4460">
        <v>0</v>
      </c>
      <c r="K4460">
        <v>294.97061180499998</v>
      </c>
      <c r="L4460">
        <v>0</v>
      </c>
      <c r="M4460">
        <v>0</v>
      </c>
      <c r="N4460">
        <v>0</v>
      </c>
      <c r="O4460">
        <v>-538.15627202000906</v>
      </c>
      <c r="P4460">
        <v>2653841</v>
      </c>
    </row>
    <row r="4461" spans="1:16" x14ac:dyDescent="0.25">
      <c r="A4461" s="10">
        <v>44250</v>
      </c>
      <c r="B4461">
        <v>-97386</v>
      </c>
      <c r="C4461">
        <v>4921.6400000000003</v>
      </c>
      <c r="D4461">
        <v>0</v>
      </c>
      <c r="E4461">
        <v>0</v>
      </c>
      <c r="F4461">
        <v>0</v>
      </c>
      <c r="G4461">
        <v>-171.81349367999999</v>
      </c>
      <c r="H4461">
        <v>-140003.059187668</v>
      </c>
      <c r="I4461">
        <v>30538.684657999998</v>
      </c>
      <c r="J4461">
        <v>0</v>
      </c>
      <c r="K4461">
        <v>6652.4610309279997</v>
      </c>
      <c r="L4461">
        <v>0</v>
      </c>
      <c r="M4461">
        <v>0</v>
      </c>
      <c r="N4461">
        <v>0</v>
      </c>
      <c r="O4461">
        <v>676.08699242000876</v>
      </c>
      <c r="P4461">
        <v>2556455</v>
      </c>
    </row>
    <row r="4462" spans="1:16" x14ac:dyDescent="0.25">
      <c r="A4462" s="10">
        <v>44251</v>
      </c>
      <c r="B4462">
        <v>-33247</v>
      </c>
      <c r="C4462">
        <v>0</v>
      </c>
      <c r="D4462">
        <v>0</v>
      </c>
      <c r="E4462">
        <v>0</v>
      </c>
      <c r="F4462">
        <v>0</v>
      </c>
      <c r="G4462">
        <v>292.91625290000201</v>
      </c>
      <c r="H4462">
        <v>-36082.373293643002</v>
      </c>
      <c r="I4462">
        <v>0</v>
      </c>
      <c r="J4462">
        <v>0</v>
      </c>
      <c r="K4462">
        <v>2444.7206084129998</v>
      </c>
      <c r="L4462">
        <v>0</v>
      </c>
      <c r="M4462">
        <v>0</v>
      </c>
      <c r="N4462">
        <v>0</v>
      </c>
      <c r="O4462">
        <v>97.736432329998934</v>
      </c>
      <c r="P4462">
        <v>2523208</v>
      </c>
    </row>
    <row r="4463" spans="1:16" x14ac:dyDescent="0.25">
      <c r="A4463" s="10">
        <v>44252</v>
      </c>
      <c r="B4463">
        <v>-37381</v>
      </c>
      <c r="C4463">
        <v>872.66000000000008</v>
      </c>
      <c r="D4463">
        <v>0</v>
      </c>
      <c r="E4463">
        <v>0</v>
      </c>
      <c r="F4463">
        <v>0</v>
      </c>
      <c r="G4463">
        <v>-197.47791573000001</v>
      </c>
      <c r="H4463">
        <v>-23456.61109952</v>
      </c>
      <c r="I4463">
        <v>-22088.238024810002</v>
      </c>
      <c r="J4463">
        <v>0</v>
      </c>
      <c r="K4463">
        <v>7362.5683986900003</v>
      </c>
      <c r="L4463">
        <v>0</v>
      </c>
      <c r="M4463">
        <v>0</v>
      </c>
      <c r="N4463">
        <v>0</v>
      </c>
      <c r="O4463">
        <v>126.0986413700011</v>
      </c>
      <c r="P4463">
        <v>2485827</v>
      </c>
    </row>
    <row r="4464" spans="1:16" x14ac:dyDescent="0.25">
      <c r="A4464" s="10">
        <v>44253</v>
      </c>
      <c r="B4464">
        <v>-76941</v>
      </c>
      <c r="C4464">
        <v>4890.8087999999998</v>
      </c>
      <c r="D4464">
        <v>0</v>
      </c>
      <c r="E4464">
        <v>0</v>
      </c>
      <c r="F4464">
        <v>0</v>
      </c>
      <c r="G4464">
        <v>-14314.40807892999</v>
      </c>
      <c r="H4464">
        <v>-69301.572232179999</v>
      </c>
      <c r="I4464">
        <v>0</v>
      </c>
      <c r="J4464">
        <v>0</v>
      </c>
      <c r="K4464">
        <v>1297.44555274</v>
      </c>
      <c r="L4464">
        <v>0</v>
      </c>
      <c r="M4464">
        <v>0</v>
      </c>
      <c r="N4464">
        <v>0</v>
      </c>
      <c r="O4464">
        <v>486.72595836999238</v>
      </c>
      <c r="P4464">
        <v>2408886</v>
      </c>
    </row>
    <row r="4465" spans="1:16" x14ac:dyDescent="0.25">
      <c r="A4465" s="10">
        <v>44256</v>
      </c>
      <c r="B4465">
        <v>103587</v>
      </c>
      <c r="C4465">
        <v>16250.397000000001</v>
      </c>
      <c r="D4465">
        <v>-3000</v>
      </c>
      <c r="E4465">
        <v>0</v>
      </c>
      <c r="F4465">
        <v>0</v>
      </c>
      <c r="G4465">
        <v>8365.050662650001</v>
      </c>
      <c r="H4465">
        <v>82146.203214704001</v>
      </c>
      <c r="I4465">
        <v>0</v>
      </c>
      <c r="J4465">
        <v>0</v>
      </c>
      <c r="K4465">
        <v>1212.443039816</v>
      </c>
      <c r="L4465">
        <v>0</v>
      </c>
      <c r="M4465">
        <v>0</v>
      </c>
      <c r="N4465">
        <v>0</v>
      </c>
      <c r="O4465">
        <v>-1387.0939171700011</v>
      </c>
      <c r="P4465">
        <v>2512473</v>
      </c>
    </row>
    <row r="4466" spans="1:16" x14ac:dyDescent="0.25">
      <c r="A4466" s="10">
        <v>44257</v>
      </c>
      <c r="B4466">
        <v>-3928</v>
      </c>
      <c r="C4466">
        <v>9370.8895999999986</v>
      </c>
      <c r="D4466">
        <v>0</v>
      </c>
      <c r="E4466">
        <v>0</v>
      </c>
      <c r="F4466">
        <v>0</v>
      </c>
      <c r="G4466">
        <v>-9999.5341339799998</v>
      </c>
      <c r="H4466">
        <v>13457.372974499</v>
      </c>
      <c r="I4466">
        <v>-23460.951250459999</v>
      </c>
      <c r="J4466">
        <v>0</v>
      </c>
      <c r="K4466">
        <v>8802.4334989409999</v>
      </c>
      <c r="L4466">
        <v>0</v>
      </c>
      <c r="M4466">
        <v>0</v>
      </c>
      <c r="N4466">
        <v>0</v>
      </c>
      <c r="O4466">
        <v>-2098.2106889999982</v>
      </c>
      <c r="P4466">
        <v>2508545</v>
      </c>
    </row>
    <row r="4467" spans="1:16" x14ac:dyDescent="0.25">
      <c r="A4467" s="10">
        <v>44258</v>
      </c>
      <c r="B4467">
        <v>121588</v>
      </c>
      <c r="C4467">
        <v>10943.766</v>
      </c>
      <c r="D4467">
        <v>0</v>
      </c>
      <c r="E4467">
        <v>0</v>
      </c>
      <c r="F4467">
        <v>0</v>
      </c>
      <c r="G4467">
        <v>30045.460526859999</v>
      </c>
      <c r="H4467">
        <v>80332.000673098999</v>
      </c>
      <c r="I4467">
        <v>0</v>
      </c>
      <c r="J4467">
        <v>0</v>
      </c>
      <c r="K4467">
        <v>2452.7186154609999</v>
      </c>
      <c r="L4467">
        <v>0</v>
      </c>
      <c r="M4467">
        <v>0</v>
      </c>
      <c r="N4467">
        <v>0</v>
      </c>
      <c r="O4467">
        <v>-2185.945815419997</v>
      </c>
      <c r="P4467">
        <v>2630133</v>
      </c>
    </row>
    <row r="4468" spans="1:16" x14ac:dyDescent="0.25">
      <c r="A4468" s="10">
        <v>44259</v>
      </c>
      <c r="B4468">
        <v>8362</v>
      </c>
      <c r="C4468">
        <v>16812.098000000002</v>
      </c>
      <c r="D4468">
        <v>0</v>
      </c>
      <c r="E4468">
        <v>0</v>
      </c>
      <c r="F4468">
        <v>0</v>
      </c>
      <c r="G4468">
        <v>44.594632320000201</v>
      </c>
      <c r="H4468">
        <v>35493.629776068999</v>
      </c>
      <c r="I4468">
        <v>-50518.995809250002</v>
      </c>
      <c r="J4468">
        <v>0</v>
      </c>
      <c r="K4468">
        <v>7514.231250801</v>
      </c>
      <c r="L4468">
        <v>0</v>
      </c>
      <c r="M4468">
        <v>0</v>
      </c>
      <c r="N4468">
        <v>0</v>
      </c>
      <c r="O4468">
        <v>-983.55784993999623</v>
      </c>
      <c r="P4468">
        <v>2638495</v>
      </c>
    </row>
    <row r="4469" spans="1:16" x14ac:dyDescent="0.25">
      <c r="A4469" s="10">
        <v>44260</v>
      </c>
      <c r="B4469">
        <v>2932</v>
      </c>
      <c r="C4469">
        <v>6325.3</v>
      </c>
      <c r="D4469">
        <v>0</v>
      </c>
      <c r="E4469">
        <v>70000</v>
      </c>
      <c r="F4469">
        <v>0</v>
      </c>
      <c r="G4469">
        <v>-70856.238343509991</v>
      </c>
      <c r="H4469">
        <v>-2946.9869734909998</v>
      </c>
      <c r="I4469">
        <v>0</v>
      </c>
      <c r="J4469">
        <v>0</v>
      </c>
      <c r="K4469">
        <v>1814.0713734809999</v>
      </c>
      <c r="L4469">
        <v>0</v>
      </c>
      <c r="M4469">
        <v>0</v>
      </c>
      <c r="N4469">
        <v>0</v>
      </c>
      <c r="O4469">
        <v>-1404.1460564800091</v>
      </c>
      <c r="P4469">
        <v>2641427</v>
      </c>
    </row>
    <row r="4470" spans="1:16" x14ac:dyDescent="0.25">
      <c r="A4470" s="10">
        <v>44263</v>
      </c>
      <c r="B4470">
        <v>-44555</v>
      </c>
      <c r="C4470">
        <v>4320.1890000000003</v>
      </c>
      <c r="D4470">
        <v>0</v>
      </c>
      <c r="E4470">
        <v>0</v>
      </c>
      <c r="F4470">
        <v>0</v>
      </c>
      <c r="G4470">
        <v>-3869.4427109799999</v>
      </c>
      <c r="H4470">
        <v>-44821.094834121002</v>
      </c>
      <c r="I4470">
        <v>0</v>
      </c>
      <c r="J4470">
        <v>0</v>
      </c>
      <c r="K4470">
        <v>1059.2098260509999</v>
      </c>
      <c r="L4470">
        <v>0</v>
      </c>
      <c r="M4470">
        <v>0</v>
      </c>
      <c r="N4470">
        <v>0</v>
      </c>
      <c r="O4470">
        <v>-1243.8612809499971</v>
      </c>
      <c r="P4470">
        <v>2596872</v>
      </c>
    </row>
    <row r="4471" spans="1:16" x14ac:dyDescent="0.25">
      <c r="A4471" s="10">
        <v>44264</v>
      </c>
      <c r="B4471">
        <v>-22258</v>
      </c>
      <c r="C4471">
        <v>90.527200000000022</v>
      </c>
      <c r="D4471">
        <v>0</v>
      </c>
      <c r="E4471">
        <v>0</v>
      </c>
      <c r="F4471">
        <v>0</v>
      </c>
      <c r="G4471">
        <v>1302.87497908</v>
      </c>
      <c r="H4471">
        <v>-20719.706907602998</v>
      </c>
      <c r="I4471">
        <v>-10938.02786249</v>
      </c>
      <c r="J4471">
        <v>0</v>
      </c>
      <c r="K4471">
        <v>8088.4234219730006</v>
      </c>
      <c r="L4471">
        <v>0</v>
      </c>
      <c r="M4471">
        <v>0</v>
      </c>
      <c r="N4471">
        <v>0</v>
      </c>
      <c r="O4471">
        <v>-82.090830959998129</v>
      </c>
      <c r="P4471">
        <v>2574614</v>
      </c>
    </row>
    <row r="4472" spans="1:16" x14ac:dyDescent="0.25">
      <c r="A4472" s="10">
        <v>44265</v>
      </c>
      <c r="B4472">
        <v>60182</v>
      </c>
      <c r="C4472">
        <v>2125.0390000000002</v>
      </c>
      <c r="D4472">
        <v>0</v>
      </c>
      <c r="E4472">
        <v>0</v>
      </c>
      <c r="F4472">
        <v>0</v>
      </c>
      <c r="G4472">
        <v>60913.888840220003</v>
      </c>
      <c r="H4472">
        <v>-4197.9477165300004</v>
      </c>
      <c r="I4472">
        <v>0</v>
      </c>
      <c r="J4472">
        <v>0</v>
      </c>
      <c r="K4472">
        <v>1756.65687095</v>
      </c>
      <c r="L4472">
        <v>0</v>
      </c>
      <c r="M4472">
        <v>0</v>
      </c>
      <c r="N4472">
        <v>0</v>
      </c>
      <c r="O4472">
        <v>-415.63699463999359</v>
      </c>
      <c r="P4472">
        <v>2634796</v>
      </c>
    </row>
    <row r="4473" spans="1:16" x14ac:dyDescent="0.25">
      <c r="A4473" s="10">
        <v>44266</v>
      </c>
      <c r="B4473">
        <v>-57454</v>
      </c>
      <c r="C4473">
        <v>11521.3868</v>
      </c>
      <c r="D4473">
        <v>0</v>
      </c>
      <c r="E4473">
        <v>0</v>
      </c>
      <c r="F4473">
        <v>0</v>
      </c>
      <c r="G4473">
        <v>903.16926803000104</v>
      </c>
      <c r="H4473">
        <v>-117254.997738954</v>
      </c>
      <c r="I4473">
        <v>39751.346174799997</v>
      </c>
      <c r="J4473">
        <v>0</v>
      </c>
      <c r="K4473">
        <v>7850.1963136940003</v>
      </c>
      <c r="L4473">
        <v>0</v>
      </c>
      <c r="M4473">
        <v>0</v>
      </c>
      <c r="N4473">
        <v>0</v>
      </c>
      <c r="O4473">
        <v>-225.10081757000441</v>
      </c>
      <c r="P4473">
        <v>2577342</v>
      </c>
    </row>
    <row r="4474" spans="1:16" x14ac:dyDescent="0.25">
      <c r="A4474" s="10">
        <v>44267</v>
      </c>
      <c r="B4474">
        <v>-27413</v>
      </c>
      <c r="C4474">
        <v>9539.25</v>
      </c>
      <c r="D4474">
        <v>-16200</v>
      </c>
      <c r="E4474">
        <v>0</v>
      </c>
      <c r="F4474">
        <v>0</v>
      </c>
      <c r="G4474">
        <v>16736.511289530001</v>
      </c>
      <c r="H4474">
        <v>-38363.735687400003</v>
      </c>
      <c r="I4474">
        <v>0</v>
      </c>
      <c r="J4474">
        <v>0</v>
      </c>
      <c r="K4474">
        <v>1550.76522213</v>
      </c>
      <c r="L4474">
        <v>0</v>
      </c>
      <c r="M4474">
        <v>0</v>
      </c>
      <c r="N4474">
        <v>0</v>
      </c>
      <c r="O4474">
        <v>-675.79082426000605</v>
      </c>
      <c r="P4474">
        <v>2549929</v>
      </c>
    </row>
    <row r="4475" spans="1:16" x14ac:dyDescent="0.25">
      <c r="A4475" s="10">
        <v>44270</v>
      </c>
      <c r="B4475">
        <v>-6114</v>
      </c>
      <c r="C4475">
        <v>13177.686</v>
      </c>
      <c r="D4475">
        <v>0</v>
      </c>
      <c r="E4475">
        <v>0</v>
      </c>
      <c r="F4475">
        <v>0</v>
      </c>
      <c r="G4475">
        <v>927.61212318999901</v>
      </c>
      <c r="H4475">
        <v>-20956.376830263001</v>
      </c>
      <c r="I4475">
        <v>0</v>
      </c>
      <c r="J4475">
        <v>0</v>
      </c>
      <c r="K4475">
        <v>1403.8773205529999</v>
      </c>
      <c r="L4475">
        <v>0</v>
      </c>
      <c r="M4475">
        <v>0</v>
      </c>
      <c r="N4475">
        <v>0</v>
      </c>
      <c r="O4475">
        <v>-666.79861347999758</v>
      </c>
      <c r="P4475">
        <v>2543815</v>
      </c>
    </row>
    <row r="4476" spans="1:16" x14ac:dyDescent="0.25">
      <c r="A4476" s="10">
        <v>44271</v>
      </c>
      <c r="B4476">
        <v>-84059</v>
      </c>
      <c r="C4476">
        <v>9349.9380000000001</v>
      </c>
      <c r="D4476">
        <v>0</v>
      </c>
      <c r="E4476">
        <v>0</v>
      </c>
      <c r="F4476">
        <v>0</v>
      </c>
      <c r="G4476">
        <v>-1052.6946439000001</v>
      </c>
      <c r="H4476">
        <v>-51130.921259535004</v>
      </c>
      <c r="I4476">
        <v>-48416.509479630004</v>
      </c>
      <c r="J4476">
        <v>0</v>
      </c>
      <c r="K4476">
        <v>7822.8491094450001</v>
      </c>
      <c r="L4476">
        <v>0</v>
      </c>
      <c r="M4476">
        <v>0</v>
      </c>
      <c r="N4476">
        <v>0</v>
      </c>
      <c r="O4476">
        <v>-631.66172637999989</v>
      </c>
      <c r="P4476">
        <v>2459756</v>
      </c>
    </row>
    <row r="4477" spans="1:16" x14ac:dyDescent="0.25">
      <c r="A4477" s="10">
        <v>44272</v>
      </c>
      <c r="B4477">
        <v>-16258</v>
      </c>
      <c r="C4477">
        <v>3593.28</v>
      </c>
      <c r="D4477">
        <v>0</v>
      </c>
      <c r="E4477">
        <v>0</v>
      </c>
      <c r="F4477">
        <v>0</v>
      </c>
      <c r="G4477">
        <v>1406.8169129099999</v>
      </c>
      <c r="H4477">
        <v>-22618.019315162001</v>
      </c>
      <c r="I4477">
        <v>0</v>
      </c>
      <c r="J4477">
        <v>0</v>
      </c>
      <c r="K4477">
        <v>1830.0673635420001</v>
      </c>
      <c r="L4477">
        <v>0</v>
      </c>
      <c r="M4477">
        <v>0</v>
      </c>
      <c r="N4477">
        <v>0</v>
      </c>
      <c r="O4477">
        <v>-470.14496129000139</v>
      </c>
      <c r="P4477">
        <v>2443498</v>
      </c>
    </row>
    <row r="4478" spans="1:16" x14ac:dyDescent="0.25">
      <c r="A4478" s="10">
        <v>44273</v>
      </c>
      <c r="B4478">
        <v>-16191</v>
      </c>
      <c r="C4478">
        <v>22.620799999999999</v>
      </c>
      <c r="D4478">
        <v>0</v>
      </c>
      <c r="E4478">
        <v>0</v>
      </c>
      <c r="F4478">
        <v>0</v>
      </c>
      <c r="G4478">
        <v>-74334.084396609993</v>
      </c>
      <c r="H4478">
        <v>54743.565860410003</v>
      </c>
      <c r="I4478">
        <v>-4195.9562022699993</v>
      </c>
      <c r="J4478">
        <v>0</v>
      </c>
      <c r="K4478">
        <v>6938.4479933999992</v>
      </c>
      <c r="L4478">
        <v>0</v>
      </c>
      <c r="M4478">
        <v>0</v>
      </c>
      <c r="N4478">
        <v>0</v>
      </c>
      <c r="O4478">
        <v>634.40594506998605</v>
      </c>
      <c r="P4478">
        <v>2427307</v>
      </c>
    </row>
    <row r="4479" spans="1:16" x14ac:dyDescent="0.25">
      <c r="A4479" s="10">
        <v>44274</v>
      </c>
      <c r="B4479">
        <v>27261</v>
      </c>
      <c r="C4479">
        <v>26.8186</v>
      </c>
      <c r="D4479">
        <v>0</v>
      </c>
      <c r="E4479">
        <v>0</v>
      </c>
      <c r="F4479">
        <v>0</v>
      </c>
      <c r="G4479">
        <v>70.682693999999998</v>
      </c>
      <c r="H4479">
        <v>25377.483760957999</v>
      </c>
      <c r="I4479">
        <v>0</v>
      </c>
      <c r="J4479">
        <v>0</v>
      </c>
      <c r="K4479">
        <v>1940.023125772</v>
      </c>
      <c r="L4479">
        <v>0</v>
      </c>
      <c r="M4479">
        <v>0</v>
      </c>
      <c r="N4479">
        <v>0</v>
      </c>
      <c r="O4479">
        <v>-154.00818072999749</v>
      </c>
      <c r="P4479">
        <v>2454568</v>
      </c>
    </row>
    <row r="4480" spans="1:16" x14ac:dyDescent="0.25">
      <c r="A4480" s="10">
        <v>44277</v>
      </c>
      <c r="B4480">
        <v>11807</v>
      </c>
      <c r="C4480">
        <v>-6593.8149999999996</v>
      </c>
      <c r="D4480">
        <v>0</v>
      </c>
      <c r="E4480">
        <v>0</v>
      </c>
      <c r="F4480">
        <v>0</v>
      </c>
      <c r="G4480">
        <v>2137.0253500299991</v>
      </c>
      <c r="H4480">
        <v>13713.006893034</v>
      </c>
      <c r="I4480">
        <v>0</v>
      </c>
      <c r="J4480">
        <v>0</v>
      </c>
      <c r="K4480">
        <v>1381.9008671260001</v>
      </c>
      <c r="L4480">
        <v>0</v>
      </c>
      <c r="M4480">
        <v>0</v>
      </c>
      <c r="N4480">
        <v>0</v>
      </c>
      <c r="O4480">
        <v>1168.8818898100019</v>
      </c>
      <c r="P4480">
        <v>2466375</v>
      </c>
    </row>
    <row r="4481" spans="1:16" x14ac:dyDescent="0.25">
      <c r="A4481" s="10">
        <v>44278</v>
      </c>
      <c r="B4481">
        <v>-19342</v>
      </c>
      <c r="C4481">
        <v>12131.723</v>
      </c>
      <c r="D4481">
        <v>-14000</v>
      </c>
      <c r="E4481">
        <v>0</v>
      </c>
      <c r="F4481">
        <v>0</v>
      </c>
      <c r="G4481">
        <v>13948.56987478</v>
      </c>
      <c r="H4481">
        <v>-15461.305836742</v>
      </c>
      <c r="I4481">
        <v>-22781.183925320001</v>
      </c>
      <c r="J4481">
        <v>0</v>
      </c>
      <c r="K4481">
        <v>7204.8144865119993</v>
      </c>
      <c r="L4481">
        <v>0</v>
      </c>
      <c r="M4481">
        <v>0</v>
      </c>
      <c r="N4481">
        <v>0</v>
      </c>
      <c r="O4481">
        <v>-384.61759922999772</v>
      </c>
      <c r="P4481">
        <v>2447033</v>
      </c>
    </row>
    <row r="4482" spans="1:16" x14ac:dyDescent="0.25">
      <c r="A4482" s="10">
        <v>44280</v>
      </c>
      <c r="B4482">
        <v>47165</v>
      </c>
      <c r="C4482">
        <v>2661.1950000000002</v>
      </c>
      <c r="D4482">
        <v>0</v>
      </c>
      <c r="E4482">
        <v>0</v>
      </c>
      <c r="F4482">
        <v>0</v>
      </c>
      <c r="G4482">
        <v>33537.317513779999</v>
      </c>
      <c r="H4482">
        <v>-32838.534407801999</v>
      </c>
      <c r="I4482">
        <v>33553.19267507</v>
      </c>
      <c r="J4482">
        <v>0</v>
      </c>
      <c r="K4482">
        <v>10482.893325412</v>
      </c>
      <c r="L4482">
        <v>0</v>
      </c>
      <c r="M4482">
        <v>0</v>
      </c>
      <c r="N4482">
        <v>0</v>
      </c>
      <c r="O4482">
        <v>-231.06410645999861</v>
      </c>
      <c r="P4482">
        <v>2494198</v>
      </c>
    </row>
    <row r="4483" spans="1:16" x14ac:dyDescent="0.25">
      <c r="A4483" s="10">
        <v>44281</v>
      </c>
      <c r="B4483">
        <v>-33095</v>
      </c>
      <c r="C4483">
        <v>4151.0290000000005</v>
      </c>
      <c r="D4483">
        <v>0</v>
      </c>
      <c r="E4483">
        <v>0</v>
      </c>
      <c r="F4483">
        <v>0</v>
      </c>
      <c r="G4483">
        <v>77.845482060000009</v>
      </c>
      <c r="H4483">
        <v>-39320.329562421997</v>
      </c>
      <c r="I4483">
        <v>0</v>
      </c>
      <c r="J4483">
        <v>0</v>
      </c>
      <c r="K4483">
        <v>1831.654682222</v>
      </c>
      <c r="L4483">
        <v>0</v>
      </c>
      <c r="M4483">
        <v>0</v>
      </c>
      <c r="N4483">
        <v>0</v>
      </c>
      <c r="O4483">
        <v>164.8003981399961</v>
      </c>
      <c r="P4483">
        <v>2461103</v>
      </c>
    </row>
    <row r="4484" spans="1:16" x14ac:dyDescent="0.25">
      <c r="A4484" s="10">
        <v>44284</v>
      </c>
      <c r="B4484">
        <v>40836</v>
      </c>
      <c r="C4484">
        <v>5586.308</v>
      </c>
      <c r="D4484">
        <v>0</v>
      </c>
      <c r="E4484">
        <v>0</v>
      </c>
      <c r="F4484">
        <v>0</v>
      </c>
      <c r="G4484">
        <v>4595.5903139700004</v>
      </c>
      <c r="H4484">
        <v>29700.024017544001</v>
      </c>
      <c r="I4484">
        <v>0</v>
      </c>
      <c r="J4484">
        <v>0</v>
      </c>
      <c r="K4484">
        <v>1455.756522526</v>
      </c>
      <c r="L4484">
        <v>0</v>
      </c>
      <c r="M4484">
        <v>0</v>
      </c>
      <c r="N4484">
        <v>0</v>
      </c>
      <c r="O4484">
        <v>-501.67885403999389</v>
      </c>
      <c r="P4484">
        <v>2501939</v>
      </c>
    </row>
    <row r="4485" spans="1:16" x14ac:dyDescent="0.25">
      <c r="A4485" s="10">
        <v>44285</v>
      </c>
      <c r="B4485">
        <v>20013</v>
      </c>
      <c r="C4485">
        <v>8486.9850000000006</v>
      </c>
      <c r="D4485">
        <v>0</v>
      </c>
      <c r="E4485">
        <v>0</v>
      </c>
      <c r="F4485">
        <v>0</v>
      </c>
      <c r="G4485">
        <v>207.62597291</v>
      </c>
      <c r="H4485">
        <v>-8921.4884649510004</v>
      </c>
      <c r="I4485">
        <v>9404.5393751999982</v>
      </c>
      <c r="J4485">
        <v>0</v>
      </c>
      <c r="K4485">
        <v>10256.016699491</v>
      </c>
      <c r="L4485">
        <v>0</v>
      </c>
      <c r="M4485">
        <v>0</v>
      </c>
      <c r="N4485">
        <v>0</v>
      </c>
      <c r="O4485">
        <v>579.32141735000187</v>
      </c>
      <c r="P4485">
        <v>2521952</v>
      </c>
    </row>
    <row r="4486" spans="1:16" x14ac:dyDescent="0.25">
      <c r="A4486" s="10">
        <v>44286</v>
      </c>
      <c r="B4486">
        <v>-89657</v>
      </c>
      <c r="C4486">
        <v>-5938.8</v>
      </c>
      <c r="D4486">
        <v>0</v>
      </c>
      <c r="E4486">
        <v>65000</v>
      </c>
      <c r="F4486">
        <v>0</v>
      </c>
      <c r="G4486">
        <v>8404.4369995900051</v>
      </c>
      <c r="H4486">
        <v>-234020.62699235399</v>
      </c>
      <c r="I4486">
        <v>70081.202313710004</v>
      </c>
      <c r="J4486">
        <v>0</v>
      </c>
      <c r="K4486">
        <v>7406.3785690340001</v>
      </c>
      <c r="L4486">
        <v>0</v>
      </c>
      <c r="M4486">
        <v>0</v>
      </c>
      <c r="N4486">
        <v>0</v>
      </c>
      <c r="O4486">
        <v>-589.59088998002699</v>
      </c>
      <c r="P4486">
        <v>2432295</v>
      </c>
    </row>
    <row r="4487" spans="1:16" x14ac:dyDescent="0.25">
      <c r="A4487" s="10">
        <v>44291</v>
      </c>
      <c r="B4487">
        <v>430092</v>
      </c>
      <c r="C4487">
        <v>6146.4539999999997</v>
      </c>
      <c r="D4487">
        <v>0</v>
      </c>
      <c r="E4487">
        <v>0</v>
      </c>
      <c r="F4487">
        <v>0</v>
      </c>
      <c r="G4487">
        <v>13285.70325551</v>
      </c>
      <c r="H4487">
        <v>403383.38524603902</v>
      </c>
      <c r="I4487">
        <v>0</v>
      </c>
      <c r="J4487">
        <v>0</v>
      </c>
      <c r="K4487">
        <v>9380.2425577009999</v>
      </c>
      <c r="L4487">
        <v>0</v>
      </c>
      <c r="M4487">
        <v>0</v>
      </c>
      <c r="N4487">
        <v>0</v>
      </c>
      <c r="O4487">
        <v>-2103.7850592500181</v>
      </c>
      <c r="P4487">
        <v>2862387</v>
      </c>
    </row>
    <row r="4488" spans="1:16" x14ac:dyDescent="0.25">
      <c r="A4488" s="10">
        <v>44292</v>
      </c>
      <c r="B4488">
        <v>-60934</v>
      </c>
      <c r="C4488">
        <v>8102.1840000000002</v>
      </c>
      <c r="D4488">
        <v>0</v>
      </c>
      <c r="E4488">
        <v>0</v>
      </c>
      <c r="F4488">
        <v>0</v>
      </c>
      <c r="G4488">
        <v>-277.74564913999899</v>
      </c>
      <c r="H4488">
        <v>-407.40543162100022</v>
      </c>
      <c r="I4488">
        <v>-78222.675370660014</v>
      </c>
      <c r="J4488">
        <v>0</v>
      </c>
      <c r="K4488">
        <v>9318.3930836710006</v>
      </c>
      <c r="L4488">
        <v>0</v>
      </c>
      <c r="M4488">
        <v>0</v>
      </c>
      <c r="N4488">
        <v>0</v>
      </c>
      <c r="O4488">
        <v>553.24936775002425</v>
      </c>
      <c r="P4488">
        <v>2801453</v>
      </c>
    </row>
    <row r="4489" spans="1:16" x14ac:dyDescent="0.25">
      <c r="A4489" s="10">
        <v>44293</v>
      </c>
      <c r="B4489">
        <v>-5849</v>
      </c>
      <c r="C4489">
        <v>7894.2150000000001</v>
      </c>
      <c r="D4489">
        <v>0</v>
      </c>
      <c r="E4489">
        <v>0</v>
      </c>
      <c r="F4489">
        <v>0</v>
      </c>
      <c r="G4489">
        <v>179.60159289000049</v>
      </c>
      <c r="H4489">
        <v>-15603.349757618</v>
      </c>
      <c r="I4489">
        <v>0</v>
      </c>
      <c r="J4489">
        <v>0</v>
      </c>
      <c r="K4489">
        <v>2126.337175958</v>
      </c>
      <c r="L4489">
        <v>0</v>
      </c>
      <c r="M4489">
        <v>0</v>
      </c>
      <c r="N4489">
        <v>0</v>
      </c>
      <c r="O4489">
        <v>-445.80401123000053</v>
      </c>
      <c r="P4489">
        <v>2795604</v>
      </c>
    </row>
    <row r="4490" spans="1:16" x14ac:dyDescent="0.25">
      <c r="A4490" s="10">
        <v>44294</v>
      </c>
      <c r="B4490">
        <v>-154761</v>
      </c>
      <c r="C4490">
        <v>11822.593500000001</v>
      </c>
      <c r="D4490">
        <v>0</v>
      </c>
      <c r="E4490">
        <v>0</v>
      </c>
      <c r="F4490">
        <v>0</v>
      </c>
      <c r="G4490">
        <v>58.941502140000303</v>
      </c>
      <c r="H4490">
        <v>-147906.534168007</v>
      </c>
      <c r="I4490">
        <v>-24151.690249679999</v>
      </c>
      <c r="J4490">
        <v>0</v>
      </c>
      <c r="K4490">
        <v>5413.6366998570002</v>
      </c>
      <c r="L4490">
        <v>0</v>
      </c>
      <c r="M4490">
        <v>0</v>
      </c>
      <c r="N4490">
        <v>0</v>
      </c>
      <c r="O4490">
        <v>2.0527156900207051</v>
      </c>
      <c r="P4490">
        <v>2640843</v>
      </c>
    </row>
    <row r="4491" spans="1:16" x14ac:dyDescent="0.25">
      <c r="A4491" s="10">
        <v>44295</v>
      </c>
      <c r="B4491">
        <v>-110614</v>
      </c>
      <c r="C4491">
        <v>14129.765799999999</v>
      </c>
      <c r="D4491">
        <v>0</v>
      </c>
      <c r="E4491">
        <v>0</v>
      </c>
      <c r="F4491">
        <v>0</v>
      </c>
      <c r="G4491">
        <v>-56.345213360000614</v>
      </c>
      <c r="H4491">
        <v>-123918.573161204</v>
      </c>
      <c r="I4491">
        <v>0</v>
      </c>
      <c r="J4491">
        <v>0</v>
      </c>
      <c r="K4491">
        <v>73.520339584000013</v>
      </c>
      <c r="L4491">
        <v>0</v>
      </c>
      <c r="M4491">
        <v>0</v>
      </c>
      <c r="N4491">
        <v>0</v>
      </c>
      <c r="O4491">
        <v>-842.36776501999702</v>
      </c>
      <c r="P4491">
        <v>2530229</v>
      </c>
    </row>
    <row r="4492" spans="1:16" x14ac:dyDescent="0.25">
      <c r="A4492" s="10">
        <v>44298</v>
      </c>
      <c r="B4492">
        <v>54827</v>
      </c>
      <c r="C4492">
        <v>10719.481</v>
      </c>
      <c r="D4492">
        <v>0</v>
      </c>
      <c r="E4492">
        <v>0</v>
      </c>
      <c r="F4492">
        <v>0</v>
      </c>
      <c r="G4492">
        <v>175.22729488000101</v>
      </c>
      <c r="H4492">
        <v>40920.113685124998</v>
      </c>
      <c r="I4492">
        <v>0</v>
      </c>
      <c r="J4492">
        <v>0</v>
      </c>
      <c r="K4492">
        <v>3217.136256755</v>
      </c>
      <c r="L4492">
        <v>0</v>
      </c>
      <c r="M4492">
        <v>0</v>
      </c>
      <c r="N4492">
        <v>0</v>
      </c>
      <c r="O4492">
        <v>-204.95823676000151</v>
      </c>
      <c r="P4492">
        <v>2585056</v>
      </c>
    </row>
    <row r="4493" spans="1:16" x14ac:dyDescent="0.25">
      <c r="A4493" s="10">
        <v>44299</v>
      </c>
      <c r="B4493">
        <v>-14867</v>
      </c>
      <c r="C4493">
        <v>13263.183999999999</v>
      </c>
      <c r="D4493">
        <v>0</v>
      </c>
      <c r="E4493">
        <v>0</v>
      </c>
      <c r="F4493">
        <v>0</v>
      </c>
      <c r="G4493">
        <v>-415.788215140001</v>
      </c>
      <c r="H4493">
        <v>-10301.080661644</v>
      </c>
      <c r="I4493">
        <v>-27573.61235653</v>
      </c>
      <c r="J4493">
        <v>0</v>
      </c>
      <c r="K4493">
        <v>10313.592089824</v>
      </c>
      <c r="L4493">
        <v>0</v>
      </c>
      <c r="M4493">
        <v>0</v>
      </c>
      <c r="N4493">
        <v>0</v>
      </c>
      <c r="O4493">
        <v>-153.29485651000141</v>
      </c>
      <c r="P4493">
        <v>2570189</v>
      </c>
    </row>
    <row r="4494" spans="1:16" x14ac:dyDescent="0.25">
      <c r="A4494" s="10">
        <v>44300</v>
      </c>
      <c r="B4494">
        <v>-39518</v>
      </c>
      <c r="C4494">
        <v>4777.12</v>
      </c>
      <c r="D4494">
        <v>0</v>
      </c>
      <c r="E4494">
        <v>0</v>
      </c>
      <c r="F4494">
        <v>0</v>
      </c>
      <c r="G4494">
        <v>-1812.9934319700001</v>
      </c>
      <c r="H4494">
        <v>-44003.448953649</v>
      </c>
      <c r="I4494">
        <v>0</v>
      </c>
      <c r="J4494">
        <v>0</v>
      </c>
      <c r="K4494">
        <v>1894.689327819</v>
      </c>
      <c r="L4494">
        <v>0</v>
      </c>
      <c r="M4494">
        <v>0</v>
      </c>
      <c r="N4494">
        <v>0</v>
      </c>
      <c r="O4494">
        <v>-373.36694220000942</v>
      </c>
      <c r="P4494">
        <v>2530671</v>
      </c>
    </row>
    <row r="4495" spans="1:16" x14ac:dyDescent="0.25">
      <c r="A4495" s="10">
        <v>44301</v>
      </c>
      <c r="B4495">
        <v>-19212</v>
      </c>
      <c r="C4495">
        <v>4719.4480000000003</v>
      </c>
      <c r="D4495">
        <v>-6000</v>
      </c>
      <c r="E4495">
        <v>0</v>
      </c>
      <c r="F4495">
        <v>0</v>
      </c>
      <c r="G4495">
        <v>1070.2517137100001</v>
      </c>
      <c r="H4495">
        <v>38337.700719408</v>
      </c>
      <c r="I4495">
        <v>-63195.393475129997</v>
      </c>
      <c r="J4495">
        <v>0</v>
      </c>
      <c r="K4495">
        <v>6375.5672731719997</v>
      </c>
      <c r="L4495">
        <v>0</v>
      </c>
      <c r="M4495">
        <v>0</v>
      </c>
      <c r="N4495">
        <v>0</v>
      </c>
      <c r="O4495">
        <v>-519.574231159997</v>
      </c>
      <c r="P4495">
        <v>2511459</v>
      </c>
    </row>
    <row r="4496" spans="1:16" x14ac:dyDescent="0.25">
      <c r="A4496" s="10">
        <v>44302</v>
      </c>
      <c r="B4496">
        <v>-107105</v>
      </c>
      <c r="C4496">
        <v>137.88300000000001</v>
      </c>
      <c r="D4496">
        <v>0</v>
      </c>
      <c r="E4496">
        <v>0</v>
      </c>
      <c r="F4496">
        <v>0</v>
      </c>
      <c r="G4496">
        <v>-39063.870288509999</v>
      </c>
      <c r="H4496">
        <v>-69074.339141546996</v>
      </c>
      <c r="I4496">
        <v>0</v>
      </c>
      <c r="J4496">
        <v>0</v>
      </c>
      <c r="K4496">
        <v>1153.6825473470001</v>
      </c>
      <c r="L4496">
        <v>0</v>
      </c>
      <c r="M4496">
        <v>0</v>
      </c>
      <c r="N4496">
        <v>0</v>
      </c>
      <c r="O4496">
        <v>-258.35611728999362</v>
      </c>
      <c r="P4496">
        <v>2404354</v>
      </c>
    </row>
    <row r="4497" spans="1:16" x14ac:dyDescent="0.25">
      <c r="A4497" s="10">
        <v>44305</v>
      </c>
      <c r="B4497">
        <v>89512</v>
      </c>
      <c r="C4497">
        <v>13448.415999999999</v>
      </c>
      <c r="D4497">
        <v>0</v>
      </c>
      <c r="E4497">
        <v>0</v>
      </c>
      <c r="F4497">
        <v>0</v>
      </c>
      <c r="G4497">
        <v>35239.982552529997</v>
      </c>
      <c r="H4497">
        <v>37956.586462517</v>
      </c>
      <c r="I4497">
        <v>0</v>
      </c>
      <c r="J4497">
        <v>0</v>
      </c>
      <c r="K4497">
        <v>2911.7898466329998</v>
      </c>
      <c r="L4497">
        <v>0</v>
      </c>
      <c r="M4497">
        <v>0</v>
      </c>
      <c r="N4497">
        <v>0</v>
      </c>
      <c r="O4497">
        <v>-44.774861679994501</v>
      </c>
      <c r="P4497">
        <v>2493866</v>
      </c>
    </row>
    <row r="4498" spans="1:16" x14ac:dyDescent="0.25">
      <c r="A4498" s="10">
        <v>44306</v>
      </c>
      <c r="B4498">
        <v>-3734</v>
      </c>
      <c r="C4498">
        <v>7474.759</v>
      </c>
      <c r="D4498">
        <v>0</v>
      </c>
      <c r="E4498">
        <v>0</v>
      </c>
      <c r="F4498">
        <v>0</v>
      </c>
      <c r="G4498">
        <v>139.43224525999801</v>
      </c>
      <c r="H4498">
        <v>-13387.383525298001</v>
      </c>
      <c r="I4498">
        <v>-6290.8012058800005</v>
      </c>
      <c r="J4498">
        <v>0</v>
      </c>
      <c r="K4498">
        <v>8443.2202200780011</v>
      </c>
      <c r="L4498">
        <v>0</v>
      </c>
      <c r="M4498">
        <v>0</v>
      </c>
      <c r="N4498">
        <v>0</v>
      </c>
      <c r="O4498">
        <v>-113.22673416000001</v>
      </c>
      <c r="P4498">
        <v>2490132</v>
      </c>
    </row>
    <row r="4499" spans="1:16" x14ac:dyDescent="0.25">
      <c r="A4499" s="10">
        <v>44307</v>
      </c>
      <c r="B4499">
        <v>2158</v>
      </c>
      <c r="C4499">
        <v>5395.16</v>
      </c>
      <c r="D4499">
        <v>0</v>
      </c>
      <c r="E4499">
        <v>0</v>
      </c>
      <c r="F4499">
        <v>0</v>
      </c>
      <c r="G4499">
        <v>489.22767248000099</v>
      </c>
      <c r="H4499">
        <v>-5212.5998541959998</v>
      </c>
      <c r="I4499">
        <v>0</v>
      </c>
      <c r="J4499">
        <v>0</v>
      </c>
      <c r="K4499">
        <v>1839.2418050460001</v>
      </c>
      <c r="L4499">
        <v>0</v>
      </c>
      <c r="M4499">
        <v>0</v>
      </c>
      <c r="N4499">
        <v>0</v>
      </c>
      <c r="O4499">
        <v>-353.02962333000141</v>
      </c>
      <c r="P4499">
        <v>2492290</v>
      </c>
    </row>
    <row r="4500" spans="1:16" x14ac:dyDescent="0.25">
      <c r="A4500" s="10">
        <v>44308</v>
      </c>
      <c r="B4500">
        <v>10810</v>
      </c>
      <c r="C4500">
        <v>6285.9331000000002</v>
      </c>
      <c r="D4500">
        <v>0</v>
      </c>
      <c r="E4500">
        <v>55000</v>
      </c>
      <c r="F4500">
        <v>0</v>
      </c>
      <c r="G4500">
        <v>-54913.976306129996</v>
      </c>
      <c r="H4500">
        <v>-21485.987779174</v>
      </c>
      <c r="I4500">
        <v>19597.044349809999</v>
      </c>
      <c r="J4500">
        <v>0</v>
      </c>
      <c r="K4500">
        <v>7039.6442138640004</v>
      </c>
      <c r="L4500">
        <v>0</v>
      </c>
      <c r="M4500">
        <v>0</v>
      </c>
      <c r="N4500">
        <v>0</v>
      </c>
      <c r="O4500">
        <v>-712.65757836999728</v>
      </c>
      <c r="P4500">
        <v>2503100</v>
      </c>
    </row>
    <row r="4501" spans="1:16" x14ac:dyDescent="0.25">
      <c r="A4501" s="10">
        <v>44309</v>
      </c>
      <c r="B4501">
        <v>-34178</v>
      </c>
      <c r="C4501">
        <v>8948.8320000000003</v>
      </c>
      <c r="D4501">
        <v>0</v>
      </c>
      <c r="E4501">
        <v>0</v>
      </c>
      <c r="F4501">
        <v>0</v>
      </c>
      <c r="G4501">
        <v>-123189.6933675</v>
      </c>
      <c r="H4501">
        <v>78711.198120071989</v>
      </c>
      <c r="I4501">
        <v>0</v>
      </c>
      <c r="J4501">
        <v>0</v>
      </c>
      <c r="K4501">
        <v>1798.2687788180001</v>
      </c>
      <c r="L4501">
        <v>0</v>
      </c>
      <c r="M4501">
        <v>0</v>
      </c>
      <c r="N4501">
        <v>0</v>
      </c>
      <c r="O4501">
        <v>-446.60553138998512</v>
      </c>
      <c r="P4501">
        <v>2468922</v>
      </c>
    </row>
    <row r="4502" spans="1:16" x14ac:dyDescent="0.25">
      <c r="A4502" s="10">
        <v>44312</v>
      </c>
      <c r="B4502">
        <v>18422</v>
      </c>
      <c r="C4502">
        <v>5447.701</v>
      </c>
      <c r="D4502">
        <v>-8000</v>
      </c>
      <c r="E4502">
        <v>0</v>
      </c>
      <c r="F4502">
        <v>0</v>
      </c>
      <c r="G4502">
        <v>8306.9949451200009</v>
      </c>
      <c r="H4502">
        <v>9863.3866050719989</v>
      </c>
      <c r="I4502">
        <v>0</v>
      </c>
      <c r="J4502">
        <v>0</v>
      </c>
      <c r="K4502">
        <v>2697.5871160380002</v>
      </c>
      <c r="L4502">
        <v>0</v>
      </c>
      <c r="M4502">
        <v>0</v>
      </c>
      <c r="N4502">
        <v>0</v>
      </c>
      <c r="O4502">
        <v>106.33033376999811</v>
      </c>
      <c r="P4502">
        <v>2487344</v>
      </c>
    </row>
    <row r="4503" spans="1:16" x14ac:dyDescent="0.25">
      <c r="A4503" s="10">
        <v>44313</v>
      </c>
      <c r="B4503">
        <v>-4590</v>
      </c>
      <c r="C4503">
        <v>7665.6030000000001</v>
      </c>
      <c r="D4503">
        <v>0</v>
      </c>
      <c r="E4503">
        <v>0</v>
      </c>
      <c r="F4503">
        <v>0</v>
      </c>
      <c r="G4503">
        <v>1966.0453701300009</v>
      </c>
      <c r="H4503">
        <v>-41665.670055003997</v>
      </c>
      <c r="I4503">
        <v>17651.452680080001</v>
      </c>
      <c r="J4503">
        <v>0</v>
      </c>
      <c r="K4503">
        <v>10024.083024804</v>
      </c>
      <c r="L4503">
        <v>0</v>
      </c>
      <c r="M4503">
        <v>0</v>
      </c>
      <c r="N4503">
        <v>0</v>
      </c>
      <c r="O4503">
        <v>-231.51402000999951</v>
      </c>
      <c r="P4503">
        <v>2482754</v>
      </c>
    </row>
    <row r="4504" spans="1:16" x14ac:dyDescent="0.25">
      <c r="A4504" s="10">
        <v>44314</v>
      </c>
      <c r="B4504">
        <v>7447</v>
      </c>
      <c r="C4504">
        <v>37.63239999999999</v>
      </c>
      <c r="D4504">
        <v>0</v>
      </c>
      <c r="E4504">
        <v>0</v>
      </c>
      <c r="F4504">
        <v>0</v>
      </c>
      <c r="G4504">
        <v>59029.142052720003</v>
      </c>
      <c r="H4504">
        <v>-53146.499894991</v>
      </c>
      <c r="I4504">
        <v>0</v>
      </c>
      <c r="J4504">
        <v>0</v>
      </c>
      <c r="K4504">
        <v>1828.956006571</v>
      </c>
      <c r="L4504">
        <v>0</v>
      </c>
      <c r="M4504">
        <v>0</v>
      </c>
      <c r="N4504">
        <v>0</v>
      </c>
      <c r="O4504">
        <v>-302.23056429999542</v>
      </c>
      <c r="P4504">
        <v>2490201</v>
      </c>
    </row>
    <row r="4505" spans="1:16" x14ac:dyDescent="0.25">
      <c r="A4505" s="10">
        <v>44315</v>
      </c>
      <c r="B4505">
        <v>-83421</v>
      </c>
      <c r="C4505">
        <v>74.026199999999989</v>
      </c>
      <c r="D4505">
        <v>0</v>
      </c>
      <c r="E4505">
        <v>0</v>
      </c>
      <c r="F4505">
        <v>0</v>
      </c>
      <c r="G4505">
        <v>80.420525209999099</v>
      </c>
      <c r="H4505">
        <v>14698.055814223</v>
      </c>
      <c r="I4505">
        <v>-105433.01108051</v>
      </c>
      <c r="J4505">
        <v>0</v>
      </c>
      <c r="K4505">
        <v>7220.865742987</v>
      </c>
      <c r="L4505">
        <v>0</v>
      </c>
      <c r="M4505">
        <v>0</v>
      </c>
      <c r="N4505">
        <v>0</v>
      </c>
      <c r="O4505">
        <v>-61.357201909966527</v>
      </c>
      <c r="P4505">
        <v>2406780</v>
      </c>
    </row>
    <row r="4506" spans="1:16" x14ac:dyDescent="0.25">
      <c r="A4506" s="10">
        <v>44316</v>
      </c>
      <c r="B4506">
        <v>-36665</v>
      </c>
      <c r="C4506">
        <v>-9269.1386000000002</v>
      </c>
      <c r="D4506">
        <v>0</v>
      </c>
      <c r="E4506">
        <v>0</v>
      </c>
      <c r="F4506">
        <v>0</v>
      </c>
      <c r="G4506">
        <v>49326.173209159999</v>
      </c>
      <c r="H4506">
        <v>-76638.960893105002</v>
      </c>
      <c r="I4506">
        <v>0</v>
      </c>
      <c r="J4506">
        <v>0</v>
      </c>
      <c r="K4506">
        <v>1726.667054365</v>
      </c>
      <c r="L4506">
        <v>0</v>
      </c>
      <c r="M4506">
        <v>0</v>
      </c>
      <c r="N4506">
        <v>0</v>
      </c>
      <c r="O4506">
        <v>-1809.7407704200009</v>
      </c>
      <c r="P4506">
        <v>2370115</v>
      </c>
    </row>
    <row r="4507" spans="1:16" x14ac:dyDescent="0.25">
      <c r="A4507" s="10">
        <v>44319</v>
      </c>
      <c r="B4507">
        <v>123780</v>
      </c>
      <c r="C4507">
        <v>10169.472</v>
      </c>
      <c r="D4507">
        <v>-40000</v>
      </c>
      <c r="E4507">
        <v>0</v>
      </c>
      <c r="F4507">
        <v>0</v>
      </c>
      <c r="G4507">
        <v>40199.189630430003</v>
      </c>
      <c r="H4507">
        <v>111883.83168818599</v>
      </c>
      <c r="I4507">
        <v>0</v>
      </c>
      <c r="J4507">
        <v>0</v>
      </c>
      <c r="K4507">
        <v>2555.7289287240001</v>
      </c>
      <c r="L4507">
        <v>0</v>
      </c>
      <c r="M4507">
        <v>0</v>
      </c>
      <c r="N4507">
        <v>0</v>
      </c>
      <c r="O4507">
        <v>-1028.2222473400029</v>
      </c>
      <c r="P4507">
        <v>2493895</v>
      </c>
    </row>
    <row r="4508" spans="1:16" x14ac:dyDescent="0.25">
      <c r="A4508" s="10">
        <v>44320</v>
      </c>
      <c r="B4508">
        <v>35178</v>
      </c>
      <c r="C4508">
        <v>14792.111999999999</v>
      </c>
      <c r="D4508">
        <v>0</v>
      </c>
      <c r="E4508">
        <v>0</v>
      </c>
      <c r="F4508">
        <v>0</v>
      </c>
      <c r="G4508">
        <v>634.98235878000003</v>
      </c>
      <c r="H4508">
        <v>-7746.1494749889998</v>
      </c>
      <c r="I4508">
        <v>16265.284260619999</v>
      </c>
      <c r="J4508">
        <v>0</v>
      </c>
      <c r="K4508">
        <v>11813.138266739001</v>
      </c>
      <c r="L4508">
        <v>0</v>
      </c>
      <c r="M4508">
        <v>0</v>
      </c>
      <c r="N4508">
        <v>0</v>
      </c>
      <c r="O4508">
        <v>-581.36741115000041</v>
      </c>
      <c r="P4508">
        <v>2529073</v>
      </c>
    </row>
    <row r="4509" spans="1:16" x14ac:dyDescent="0.25">
      <c r="A4509" s="10">
        <v>44321</v>
      </c>
      <c r="B4509">
        <v>1353</v>
      </c>
      <c r="C4509">
        <v>11559.275</v>
      </c>
      <c r="D4509">
        <v>0</v>
      </c>
      <c r="E4509">
        <v>0</v>
      </c>
      <c r="F4509">
        <v>0</v>
      </c>
      <c r="G4509">
        <v>2776.2023364500001</v>
      </c>
      <c r="H4509">
        <v>-13106.581110011</v>
      </c>
      <c r="I4509">
        <v>0</v>
      </c>
      <c r="J4509">
        <v>0</v>
      </c>
      <c r="K4509">
        <v>2123.8380165509998</v>
      </c>
      <c r="L4509">
        <v>0</v>
      </c>
      <c r="M4509">
        <v>0</v>
      </c>
      <c r="N4509">
        <v>0</v>
      </c>
      <c r="O4509">
        <v>-1999.73424299</v>
      </c>
      <c r="P4509">
        <v>2530426</v>
      </c>
    </row>
    <row r="4510" spans="1:16" x14ac:dyDescent="0.25">
      <c r="A4510" s="10">
        <v>44322</v>
      </c>
      <c r="B4510">
        <v>5446</v>
      </c>
      <c r="C4510">
        <v>12567.86</v>
      </c>
      <c r="D4510">
        <v>0</v>
      </c>
      <c r="E4510">
        <v>0</v>
      </c>
      <c r="F4510">
        <v>0</v>
      </c>
      <c r="G4510">
        <v>11009.38486192</v>
      </c>
      <c r="H4510">
        <v>-11665.54199469</v>
      </c>
      <c r="I4510">
        <v>-10898.545914640001</v>
      </c>
      <c r="J4510">
        <v>0</v>
      </c>
      <c r="K4510">
        <v>7472.4530137800002</v>
      </c>
      <c r="L4510">
        <v>0</v>
      </c>
      <c r="M4510">
        <v>0</v>
      </c>
      <c r="N4510">
        <v>0</v>
      </c>
      <c r="O4510">
        <v>-3039.6099663700011</v>
      </c>
      <c r="P4510">
        <v>2535872</v>
      </c>
    </row>
    <row r="4511" spans="1:16" x14ac:dyDescent="0.25">
      <c r="A4511" s="10">
        <v>44323</v>
      </c>
      <c r="B4511">
        <v>-46488</v>
      </c>
      <c r="C4511">
        <v>8801.1651999999995</v>
      </c>
      <c r="D4511">
        <v>0</v>
      </c>
      <c r="E4511">
        <v>0</v>
      </c>
      <c r="F4511">
        <v>0</v>
      </c>
      <c r="G4511">
        <v>-53260.441933759997</v>
      </c>
      <c r="H4511">
        <v>-253.17643498800021</v>
      </c>
      <c r="I4511">
        <v>0</v>
      </c>
      <c r="J4511">
        <v>0</v>
      </c>
      <c r="K4511">
        <v>1990.9656540880001</v>
      </c>
      <c r="L4511">
        <v>0</v>
      </c>
      <c r="M4511">
        <v>0</v>
      </c>
      <c r="N4511">
        <v>0</v>
      </c>
      <c r="O4511">
        <v>-3766.512485339998</v>
      </c>
      <c r="P4511">
        <v>2489384</v>
      </c>
    </row>
    <row r="4512" spans="1:16" x14ac:dyDescent="0.25">
      <c r="A4512" s="10">
        <v>44326</v>
      </c>
      <c r="B4512">
        <v>13193</v>
      </c>
      <c r="C4512">
        <v>13093.107</v>
      </c>
      <c r="D4512">
        <v>0</v>
      </c>
      <c r="E4512">
        <v>0</v>
      </c>
      <c r="F4512">
        <v>0</v>
      </c>
      <c r="G4512">
        <v>13925.00631067</v>
      </c>
      <c r="H4512">
        <v>-14718.777164994</v>
      </c>
      <c r="I4512">
        <v>0</v>
      </c>
      <c r="J4512">
        <v>0</v>
      </c>
      <c r="K4512">
        <v>2015.2319148639999</v>
      </c>
      <c r="L4512">
        <v>0</v>
      </c>
      <c r="M4512">
        <v>0</v>
      </c>
      <c r="N4512">
        <v>0</v>
      </c>
      <c r="O4512">
        <v>-1121.5680605399989</v>
      </c>
      <c r="P4512">
        <v>2502577</v>
      </c>
    </row>
    <row r="4513" spans="1:16" x14ac:dyDescent="0.25">
      <c r="A4513" s="10">
        <v>44327</v>
      </c>
      <c r="B4513">
        <v>42442</v>
      </c>
      <c r="C4513">
        <v>12161.8135</v>
      </c>
      <c r="D4513">
        <v>0</v>
      </c>
      <c r="E4513">
        <v>0</v>
      </c>
      <c r="F4513">
        <v>0</v>
      </c>
      <c r="G4513">
        <v>531.03827867999996</v>
      </c>
      <c r="H4513">
        <v>7540.1976600510006</v>
      </c>
      <c r="I4513">
        <v>11055.200259859999</v>
      </c>
      <c r="J4513">
        <v>0</v>
      </c>
      <c r="K4513">
        <v>11235.110032659</v>
      </c>
      <c r="L4513">
        <v>0</v>
      </c>
      <c r="M4513">
        <v>0</v>
      </c>
      <c r="N4513">
        <v>0</v>
      </c>
      <c r="O4513">
        <v>-81.359731250006007</v>
      </c>
      <c r="P4513">
        <v>2545019</v>
      </c>
    </row>
    <row r="4514" spans="1:16" x14ac:dyDescent="0.25">
      <c r="A4514" s="10">
        <v>44328</v>
      </c>
      <c r="B4514">
        <v>-6313</v>
      </c>
      <c r="C4514">
        <v>21425.065399999999</v>
      </c>
      <c r="D4514">
        <v>0</v>
      </c>
      <c r="E4514">
        <v>0</v>
      </c>
      <c r="F4514">
        <v>0</v>
      </c>
      <c r="G4514">
        <v>283.41034920999903</v>
      </c>
      <c r="H4514">
        <v>-29138.027804950001</v>
      </c>
      <c r="I4514">
        <v>0</v>
      </c>
      <c r="J4514">
        <v>0</v>
      </c>
      <c r="K4514">
        <v>2145.8734052</v>
      </c>
      <c r="L4514">
        <v>0</v>
      </c>
      <c r="M4514">
        <v>0</v>
      </c>
      <c r="N4514">
        <v>0</v>
      </c>
      <c r="O4514">
        <v>-1029.3213494599991</v>
      </c>
      <c r="P4514">
        <v>2538706</v>
      </c>
    </row>
    <row r="4515" spans="1:16" x14ac:dyDescent="0.25">
      <c r="A4515" s="10">
        <v>44329</v>
      </c>
      <c r="B4515">
        <v>7717</v>
      </c>
      <c r="C4515">
        <v>10215.0558</v>
      </c>
      <c r="D4515">
        <v>0</v>
      </c>
      <c r="E4515">
        <v>0</v>
      </c>
      <c r="F4515">
        <v>0</v>
      </c>
      <c r="G4515">
        <v>5236.0545964499997</v>
      </c>
      <c r="H4515">
        <v>-53171.505044383986</v>
      </c>
      <c r="I4515">
        <v>36948.66256538</v>
      </c>
      <c r="J4515">
        <v>0</v>
      </c>
      <c r="K4515">
        <v>8385.2189298440007</v>
      </c>
      <c r="L4515">
        <v>0</v>
      </c>
      <c r="M4515">
        <v>0</v>
      </c>
      <c r="N4515">
        <v>0</v>
      </c>
      <c r="O4515">
        <v>103.5131527099948</v>
      </c>
      <c r="P4515">
        <v>2546423</v>
      </c>
    </row>
    <row r="4516" spans="1:16" x14ac:dyDescent="0.25">
      <c r="A4516" s="10">
        <v>44330</v>
      </c>
      <c r="B4516">
        <v>-20819</v>
      </c>
      <c r="C4516">
        <v>13024.54</v>
      </c>
      <c r="D4516">
        <v>0</v>
      </c>
      <c r="E4516">
        <v>0</v>
      </c>
      <c r="F4516">
        <v>0</v>
      </c>
      <c r="G4516">
        <v>21614.154837819999</v>
      </c>
      <c r="H4516">
        <v>-57402.837404994003</v>
      </c>
      <c r="I4516">
        <v>0</v>
      </c>
      <c r="J4516">
        <v>0</v>
      </c>
      <c r="K4516">
        <v>2004.075589564</v>
      </c>
      <c r="L4516">
        <v>0</v>
      </c>
      <c r="M4516">
        <v>0</v>
      </c>
      <c r="N4516">
        <v>0</v>
      </c>
      <c r="O4516">
        <v>-58.933022389992402</v>
      </c>
      <c r="P4516">
        <v>2525604</v>
      </c>
    </row>
    <row r="4517" spans="1:16" x14ac:dyDescent="0.25">
      <c r="A4517" s="10">
        <v>44333</v>
      </c>
      <c r="B4517">
        <v>-40061</v>
      </c>
      <c r="C4517">
        <v>18393.002</v>
      </c>
      <c r="D4517">
        <v>0</v>
      </c>
      <c r="E4517">
        <v>0</v>
      </c>
      <c r="F4517">
        <v>0</v>
      </c>
      <c r="G4517">
        <v>-15.646184370000009</v>
      </c>
      <c r="H4517">
        <v>-60253.805205007993</v>
      </c>
      <c r="I4517">
        <v>0</v>
      </c>
      <c r="J4517">
        <v>0</v>
      </c>
      <c r="K4517">
        <v>2195.8492127280001</v>
      </c>
      <c r="L4517">
        <v>0</v>
      </c>
      <c r="M4517">
        <v>0</v>
      </c>
      <c r="N4517">
        <v>0</v>
      </c>
      <c r="O4517">
        <v>-380.39982335000241</v>
      </c>
      <c r="P4517">
        <v>2485543</v>
      </c>
    </row>
    <row r="4518" spans="1:16" x14ac:dyDescent="0.25">
      <c r="A4518" s="10">
        <v>44334</v>
      </c>
      <c r="B4518">
        <v>20913</v>
      </c>
      <c r="C4518">
        <v>12601.415499999999</v>
      </c>
      <c r="D4518">
        <v>0</v>
      </c>
      <c r="E4518">
        <v>0</v>
      </c>
      <c r="F4518">
        <v>0</v>
      </c>
      <c r="G4518">
        <v>-285.35354090999999</v>
      </c>
      <c r="H4518">
        <v>-5844.0467249200001</v>
      </c>
      <c r="I4518">
        <v>5765.7808210899993</v>
      </c>
      <c r="J4518">
        <v>0</v>
      </c>
      <c r="K4518">
        <v>8570.1994603599996</v>
      </c>
      <c r="L4518">
        <v>0</v>
      </c>
      <c r="M4518">
        <v>0</v>
      </c>
      <c r="N4518">
        <v>0</v>
      </c>
      <c r="O4518">
        <v>105.0044843800024</v>
      </c>
      <c r="P4518">
        <v>2506456</v>
      </c>
    </row>
    <row r="4519" spans="1:16" x14ac:dyDescent="0.25">
      <c r="A4519" s="10">
        <v>44335</v>
      </c>
      <c r="B4519">
        <v>18633</v>
      </c>
      <c r="C4519">
        <v>4596.96</v>
      </c>
      <c r="D4519">
        <v>-6500</v>
      </c>
      <c r="E4519">
        <v>0</v>
      </c>
      <c r="F4519">
        <v>0</v>
      </c>
      <c r="G4519">
        <v>4275.2819551799976</v>
      </c>
      <c r="H4519">
        <v>13985.046495057</v>
      </c>
      <c r="I4519">
        <v>0</v>
      </c>
      <c r="J4519">
        <v>0</v>
      </c>
      <c r="K4519">
        <v>2406.164980343</v>
      </c>
      <c r="L4519">
        <v>0</v>
      </c>
      <c r="M4519">
        <v>0</v>
      </c>
      <c r="N4519">
        <v>0</v>
      </c>
      <c r="O4519">
        <v>-130.4534305799971</v>
      </c>
      <c r="P4519">
        <v>2525089</v>
      </c>
    </row>
    <row r="4520" spans="1:16" x14ac:dyDescent="0.25">
      <c r="A4520" s="10">
        <v>44336</v>
      </c>
      <c r="B4520">
        <v>-10712</v>
      </c>
      <c r="C4520">
        <v>5000.6659</v>
      </c>
      <c r="D4520">
        <v>0</v>
      </c>
      <c r="E4520">
        <v>0</v>
      </c>
      <c r="F4520">
        <v>0</v>
      </c>
      <c r="G4520">
        <v>159.45114866</v>
      </c>
      <c r="H4520">
        <v>-13755.919634981999</v>
      </c>
      <c r="I4520">
        <v>-7804.2743833200002</v>
      </c>
      <c r="J4520">
        <v>0</v>
      </c>
      <c r="K4520">
        <v>6931.2716927519996</v>
      </c>
      <c r="L4520">
        <v>0</v>
      </c>
      <c r="M4520">
        <v>0</v>
      </c>
      <c r="N4520">
        <v>0</v>
      </c>
      <c r="O4520">
        <v>-1243.194723109998</v>
      </c>
      <c r="P4520">
        <v>2514377</v>
      </c>
    </row>
    <row r="4521" spans="1:16" x14ac:dyDescent="0.25">
      <c r="A4521" s="10">
        <v>44337</v>
      </c>
      <c r="B4521">
        <v>-10547</v>
      </c>
      <c r="C4521">
        <v>4623.6864999999998</v>
      </c>
      <c r="D4521">
        <v>0</v>
      </c>
      <c r="E4521">
        <v>0</v>
      </c>
      <c r="F4521">
        <v>50000</v>
      </c>
      <c r="G4521">
        <v>5918.5357619000006</v>
      </c>
      <c r="H4521">
        <v>-71819.027189969012</v>
      </c>
      <c r="I4521">
        <v>0</v>
      </c>
      <c r="J4521">
        <v>0</v>
      </c>
      <c r="K4521">
        <v>2390.1341446189999</v>
      </c>
      <c r="L4521">
        <v>0</v>
      </c>
      <c r="M4521">
        <v>0</v>
      </c>
      <c r="N4521">
        <v>0</v>
      </c>
      <c r="O4521">
        <v>-1660.329216549982</v>
      </c>
      <c r="P4521">
        <v>2503830</v>
      </c>
    </row>
    <row r="4522" spans="1:16" x14ac:dyDescent="0.25">
      <c r="A4522" s="10">
        <v>44342</v>
      </c>
      <c r="B4522">
        <v>173521</v>
      </c>
      <c r="C4522">
        <v>13368.906499999999</v>
      </c>
      <c r="D4522">
        <v>0</v>
      </c>
      <c r="E4522">
        <v>0</v>
      </c>
      <c r="F4522">
        <v>0</v>
      </c>
      <c r="G4522">
        <v>922.40884968</v>
      </c>
      <c r="H4522">
        <v>126020.647530042</v>
      </c>
      <c r="I4522">
        <v>19717.057770750002</v>
      </c>
      <c r="J4522">
        <v>0</v>
      </c>
      <c r="K4522">
        <v>15586.587096288</v>
      </c>
      <c r="L4522">
        <v>0</v>
      </c>
      <c r="M4522">
        <v>0</v>
      </c>
      <c r="N4522">
        <v>0</v>
      </c>
      <c r="O4522">
        <v>-2094.6077467600121</v>
      </c>
      <c r="P4522">
        <v>2677351</v>
      </c>
    </row>
    <row r="4523" spans="1:16" x14ac:dyDescent="0.25">
      <c r="A4523" s="10">
        <v>44343</v>
      </c>
      <c r="B4523">
        <v>-13432</v>
      </c>
      <c r="C4523">
        <v>1890.2750000000001</v>
      </c>
      <c r="D4523">
        <v>0</v>
      </c>
      <c r="E4523">
        <v>0</v>
      </c>
      <c r="F4523">
        <v>0</v>
      </c>
      <c r="G4523">
        <v>-4105.4504739499998</v>
      </c>
      <c r="H4523">
        <v>-58448.338019968993</v>
      </c>
      <c r="I4523">
        <v>37851.215476190002</v>
      </c>
      <c r="J4523">
        <v>0</v>
      </c>
      <c r="K4523">
        <v>10930.685792808999</v>
      </c>
      <c r="L4523">
        <v>0</v>
      </c>
      <c r="M4523">
        <v>0</v>
      </c>
      <c r="N4523">
        <v>0</v>
      </c>
      <c r="O4523">
        <v>-1550.3877750800129</v>
      </c>
      <c r="P4523">
        <v>2663919</v>
      </c>
    </row>
    <row r="4524" spans="1:16" x14ac:dyDescent="0.25">
      <c r="A4524" s="10">
        <v>44344</v>
      </c>
      <c r="B4524">
        <v>-28471</v>
      </c>
      <c r="C4524">
        <v>8067.8181999999997</v>
      </c>
      <c r="D4524">
        <v>0</v>
      </c>
      <c r="E4524">
        <v>0</v>
      </c>
      <c r="F4524">
        <v>0</v>
      </c>
      <c r="G4524">
        <v>-63097.209547830003</v>
      </c>
      <c r="H4524">
        <v>24670.92856502</v>
      </c>
      <c r="I4524">
        <v>0</v>
      </c>
      <c r="J4524">
        <v>0</v>
      </c>
      <c r="K4524">
        <v>3138.68862524</v>
      </c>
      <c r="L4524">
        <v>0</v>
      </c>
      <c r="M4524">
        <v>0</v>
      </c>
      <c r="N4524">
        <v>0</v>
      </c>
      <c r="O4524">
        <v>-1251.2258424300021</v>
      </c>
      <c r="P4524">
        <v>2635448</v>
      </c>
    </row>
    <row r="4525" spans="1:16" x14ac:dyDescent="0.25">
      <c r="A4525" s="10">
        <v>44347</v>
      </c>
      <c r="B4525">
        <v>-118251</v>
      </c>
      <c r="C4525">
        <v>46.250000000000007</v>
      </c>
      <c r="D4525">
        <v>0</v>
      </c>
      <c r="E4525">
        <v>0</v>
      </c>
      <c r="F4525">
        <v>0</v>
      </c>
      <c r="G4525">
        <v>6161.0317784400004</v>
      </c>
      <c r="H4525">
        <v>-123858.80805113701</v>
      </c>
      <c r="I4525">
        <v>0</v>
      </c>
      <c r="J4525">
        <v>0</v>
      </c>
      <c r="K4525">
        <v>628.53453448699997</v>
      </c>
      <c r="L4525">
        <v>0</v>
      </c>
      <c r="M4525">
        <v>0</v>
      </c>
      <c r="N4525">
        <v>0</v>
      </c>
      <c r="O4525">
        <v>-1228.0082617900041</v>
      </c>
      <c r="P4525">
        <v>2517197</v>
      </c>
    </row>
    <row r="4526" spans="1:16" x14ac:dyDescent="0.25">
      <c r="A4526" s="10">
        <v>44348</v>
      </c>
      <c r="B4526">
        <v>-31844</v>
      </c>
      <c r="C4526">
        <v>3992.8609999999999</v>
      </c>
      <c r="D4526">
        <v>0</v>
      </c>
      <c r="E4526">
        <v>0</v>
      </c>
      <c r="F4526">
        <v>0</v>
      </c>
      <c r="G4526">
        <v>1628.4261178700001</v>
      </c>
      <c r="H4526">
        <v>-109557.621598778</v>
      </c>
      <c r="I4526">
        <v>62044.544799000003</v>
      </c>
      <c r="J4526">
        <v>0</v>
      </c>
      <c r="K4526">
        <v>9338.6443506180003</v>
      </c>
      <c r="L4526">
        <v>0</v>
      </c>
      <c r="M4526">
        <v>0</v>
      </c>
      <c r="N4526">
        <v>0</v>
      </c>
      <c r="O4526">
        <v>709.14533129000483</v>
      </c>
      <c r="P4526">
        <v>2485353</v>
      </c>
    </row>
    <row r="4527" spans="1:16" x14ac:dyDescent="0.25">
      <c r="A4527" s="10">
        <v>44349</v>
      </c>
      <c r="B4527">
        <v>179254</v>
      </c>
      <c r="C4527">
        <v>84.54</v>
      </c>
      <c r="D4527">
        <v>0</v>
      </c>
      <c r="E4527">
        <v>0</v>
      </c>
      <c r="F4527">
        <v>0</v>
      </c>
      <c r="G4527">
        <v>-605.39208027999996</v>
      </c>
      <c r="H4527">
        <v>175486.68792006301</v>
      </c>
      <c r="I4527">
        <v>0</v>
      </c>
      <c r="J4527">
        <v>0</v>
      </c>
      <c r="K4527">
        <v>4770.0170186369996</v>
      </c>
      <c r="L4527">
        <v>0</v>
      </c>
      <c r="M4527">
        <v>0</v>
      </c>
      <c r="N4527">
        <v>0</v>
      </c>
      <c r="O4527">
        <v>-481.85285842002492</v>
      </c>
      <c r="P4527">
        <v>2664607</v>
      </c>
    </row>
    <row r="4528" spans="1:16" x14ac:dyDescent="0.25">
      <c r="A4528" s="10">
        <v>44350</v>
      </c>
      <c r="B4528">
        <v>-28774</v>
      </c>
      <c r="C4528">
        <v>6209.4949999999999</v>
      </c>
      <c r="D4528">
        <v>0</v>
      </c>
      <c r="E4528">
        <v>0</v>
      </c>
      <c r="F4528">
        <v>0</v>
      </c>
      <c r="G4528">
        <v>-183.96689465</v>
      </c>
      <c r="H4528">
        <v>82982.402640082</v>
      </c>
      <c r="I4528">
        <v>-127110.82943165</v>
      </c>
      <c r="J4528">
        <v>0</v>
      </c>
      <c r="K4528">
        <v>9400.3232553580001</v>
      </c>
      <c r="L4528">
        <v>0</v>
      </c>
      <c r="M4528">
        <v>0</v>
      </c>
      <c r="N4528">
        <v>0</v>
      </c>
      <c r="O4528">
        <v>-71.424569140006497</v>
      </c>
      <c r="P4528">
        <v>2635833</v>
      </c>
    </row>
    <row r="4529" spans="1:16" x14ac:dyDescent="0.25">
      <c r="A4529" s="10">
        <v>44351</v>
      </c>
      <c r="B4529">
        <v>-26508</v>
      </c>
      <c r="C4529">
        <v>0</v>
      </c>
      <c r="D4529">
        <v>0</v>
      </c>
      <c r="E4529">
        <v>0</v>
      </c>
      <c r="F4529">
        <v>0</v>
      </c>
      <c r="G4529">
        <v>-4204.1601294900001</v>
      </c>
      <c r="H4529">
        <v>-23568.146234963999</v>
      </c>
      <c r="I4529">
        <v>0</v>
      </c>
      <c r="J4529">
        <v>0</v>
      </c>
      <c r="K4529">
        <v>1920.4030270139999</v>
      </c>
      <c r="L4529">
        <v>0</v>
      </c>
      <c r="M4529">
        <v>0</v>
      </c>
      <c r="N4529">
        <v>0</v>
      </c>
      <c r="O4529">
        <v>-656.09666256000128</v>
      </c>
      <c r="P4529">
        <v>2609325</v>
      </c>
    </row>
    <row r="4530" spans="1:16" x14ac:dyDescent="0.25">
      <c r="A4530" s="10">
        <v>44354</v>
      </c>
      <c r="B4530">
        <v>44533</v>
      </c>
      <c r="C4530">
        <v>4098.2772000000004</v>
      </c>
      <c r="D4530">
        <v>0</v>
      </c>
      <c r="E4530">
        <v>0</v>
      </c>
      <c r="F4530">
        <v>0</v>
      </c>
      <c r="G4530">
        <v>-7003.2434499199999</v>
      </c>
      <c r="H4530">
        <v>47448.062414963992</v>
      </c>
      <c r="I4530">
        <v>0</v>
      </c>
      <c r="J4530">
        <v>0</v>
      </c>
      <c r="K4530">
        <v>2058.6454828760002</v>
      </c>
      <c r="L4530">
        <v>0</v>
      </c>
      <c r="M4530">
        <v>0</v>
      </c>
      <c r="N4530">
        <v>0</v>
      </c>
      <c r="O4530">
        <v>-2068.7416479199892</v>
      </c>
      <c r="P4530">
        <v>2653858</v>
      </c>
    </row>
    <row r="4531" spans="1:16" x14ac:dyDescent="0.25">
      <c r="A4531" s="10">
        <v>44355</v>
      </c>
      <c r="B4531">
        <v>-53234</v>
      </c>
      <c r="C4531">
        <v>6850.2209999999995</v>
      </c>
      <c r="D4531">
        <v>0</v>
      </c>
      <c r="E4531">
        <v>0</v>
      </c>
      <c r="F4531">
        <v>0</v>
      </c>
      <c r="G4531">
        <v>10914.10853322</v>
      </c>
      <c r="H4531">
        <v>-119847.777524979</v>
      </c>
      <c r="I4531">
        <v>38853.168595969997</v>
      </c>
      <c r="J4531">
        <v>0</v>
      </c>
      <c r="K4531">
        <v>10063.312288609</v>
      </c>
      <c r="L4531">
        <v>0</v>
      </c>
      <c r="M4531">
        <v>0</v>
      </c>
      <c r="N4531">
        <v>0</v>
      </c>
      <c r="O4531">
        <v>-67.03289281999605</v>
      </c>
      <c r="P4531">
        <v>2600624</v>
      </c>
    </row>
    <row r="4532" spans="1:16" x14ac:dyDescent="0.25">
      <c r="A4532" s="10">
        <v>44356</v>
      </c>
      <c r="B4532">
        <v>45281</v>
      </c>
      <c r="C4532">
        <v>6415.56</v>
      </c>
      <c r="D4532">
        <v>-4000</v>
      </c>
      <c r="E4532">
        <v>0</v>
      </c>
      <c r="F4532">
        <v>0</v>
      </c>
      <c r="G4532">
        <v>63702.369189969999</v>
      </c>
      <c r="H4532">
        <v>-23886.037889964999</v>
      </c>
      <c r="I4532">
        <v>0</v>
      </c>
      <c r="J4532">
        <v>0</v>
      </c>
      <c r="K4532">
        <v>3344.3128269250001</v>
      </c>
      <c r="L4532">
        <v>0</v>
      </c>
      <c r="M4532">
        <v>0</v>
      </c>
      <c r="N4532">
        <v>0</v>
      </c>
      <c r="O4532">
        <v>-295.20412692999531</v>
      </c>
      <c r="P4532">
        <v>2645905</v>
      </c>
    </row>
    <row r="4533" spans="1:16" x14ac:dyDescent="0.25">
      <c r="A4533" s="10">
        <v>44357</v>
      </c>
      <c r="B4533">
        <v>11371</v>
      </c>
      <c r="C4533">
        <v>14.265000000000001</v>
      </c>
      <c r="D4533">
        <v>0</v>
      </c>
      <c r="E4533">
        <v>0</v>
      </c>
      <c r="F4533">
        <v>0</v>
      </c>
      <c r="G4533">
        <v>962.52343202999998</v>
      </c>
      <c r="H4533">
        <v>71693.094870058994</v>
      </c>
      <c r="I4533">
        <v>-58348.693652599992</v>
      </c>
      <c r="J4533">
        <v>0</v>
      </c>
      <c r="K4533">
        <v>8137.6698769809991</v>
      </c>
      <c r="L4533">
        <v>0</v>
      </c>
      <c r="M4533">
        <v>0</v>
      </c>
      <c r="N4533">
        <v>0</v>
      </c>
      <c r="O4533">
        <v>-11087.859526469991</v>
      </c>
      <c r="P4533">
        <v>2657276</v>
      </c>
    </row>
    <row r="4534" spans="1:16" x14ac:dyDescent="0.25">
      <c r="A4534" s="10">
        <v>44358</v>
      </c>
      <c r="B4534">
        <v>-41382</v>
      </c>
      <c r="C4534">
        <v>4918.2209999999995</v>
      </c>
      <c r="D4534">
        <v>0</v>
      </c>
      <c r="E4534">
        <v>-2200</v>
      </c>
      <c r="F4534">
        <v>0</v>
      </c>
      <c r="G4534">
        <v>-160530.01361443</v>
      </c>
      <c r="H4534">
        <v>102358.489320087</v>
      </c>
      <c r="I4534">
        <v>0</v>
      </c>
      <c r="J4534">
        <v>0</v>
      </c>
      <c r="K4534">
        <v>2094.8626093930002</v>
      </c>
      <c r="L4534">
        <v>0</v>
      </c>
      <c r="M4534">
        <v>0</v>
      </c>
      <c r="N4534">
        <v>0</v>
      </c>
      <c r="O4534">
        <v>11976.440684950019</v>
      </c>
      <c r="P4534">
        <v>2615894</v>
      </c>
    </row>
    <row r="4535" spans="1:16" x14ac:dyDescent="0.25">
      <c r="A4535" s="10">
        <v>44361</v>
      </c>
      <c r="B4535">
        <v>57700</v>
      </c>
      <c r="C4535">
        <v>7901.433</v>
      </c>
      <c r="D4535">
        <v>-16000</v>
      </c>
      <c r="E4535">
        <v>0</v>
      </c>
      <c r="F4535">
        <v>0</v>
      </c>
      <c r="G4535">
        <v>17450.23131286</v>
      </c>
      <c r="H4535">
        <v>46403.515699717012</v>
      </c>
      <c r="I4535">
        <v>0</v>
      </c>
      <c r="J4535">
        <v>0</v>
      </c>
      <c r="K4535">
        <v>1928.6017457630001</v>
      </c>
      <c r="L4535">
        <v>0</v>
      </c>
      <c r="M4535">
        <v>0</v>
      </c>
      <c r="N4535">
        <v>0</v>
      </c>
      <c r="O4535">
        <v>16.218241659997151</v>
      </c>
      <c r="P4535">
        <v>2673594</v>
      </c>
    </row>
    <row r="4536" spans="1:16" x14ac:dyDescent="0.25">
      <c r="A4536" s="10">
        <v>44362</v>
      </c>
      <c r="B4536">
        <v>43402</v>
      </c>
      <c r="C4536">
        <v>2362.944</v>
      </c>
      <c r="D4536">
        <v>0</v>
      </c>
      <c r="E4536">
        <v>0</v>
      </c>
      <c r="F4536">
        <v>0</v>
      </c>
      <c r="G4536">
        <v>1880.5300317399999</v>
      </c>
      <c r="H4536">
        <v>15755.532480063999</v>
      </c>
      <c r="I4536">
        <v>14575.12500004</v>
      </c>
      <c r="J4536">
        <v>0</v>
      </c>
      <c r="K4536">
        <v>8495.5519264160012</v>
      </c>
      <c r="L4536">
        <v>0</v>
      </c>
      <c r="M4536">
        <v>0</v>
      </c>
      <c r="N4536">
        <v>0</v>
      </c>
      <c r="O4536">
        <v>332.31656173999357</v>
      </c>
      <c r="P4536">
        <v>2716996</v>
      </c>
    </row>
    <row r="4537" spans="1:16" x14ac:dyDescent="0.25">
      <c r="A4537" s="10">
        <v>44363</v>
      </c>
      <c r="B4537">
        <v>-7387</v>
      </c>
      <c r="C4537">
        <v>8320.8860000000004</v>
      </c>
      <c r="D4537">
        <v>0</v>
      </c>
      <c r="E4537">
        <v>0</v>
      </c>
      <c r="F4537">
        <v>0</v>
      </c>
      <c r="G4537">
        <v>236.13974590999999</v>
      </c>
      <c r="H4537">
        <v>-18758.231234919</v>
      </c>
      <c r="I4537">
        <v>0</v>
      </c>
      <c r="J4537">
        <v>0</v>
      </c>
      <c r="K4537">
        <v>3214.5187321889998</v>
      </c>
      <c r="L4537">
        <v>0</v>
      </c>
      <c r="M4537">
        <v>0</v>
      </c>
      <c r="N4537">
        <v>0</v>
      </c>
      <c r="O4537">
        <v>-400.31324318000219</v>
      </c>
      <c r="P4537">
        <v>2709609</v>
      </c>
    </row>
    <row r="4538" spans="1:16" x14ac:dyDescent="0.25">
      <c r="A4538" s="10">
        <v>44364</v>
      </c>
      <c r="B4538">
        <v>10664</v>
      </c>
      <c r="C4538">
        <v>82.022000000000006</v>
      </c>
      <c r="D4538">
        <v>0</v>
      </c>
      <c r="E4538">
        <v>0</v>
      </c>
      <c r="F4538">
        <v>0</v>
      </c>
      <c r="G4538">
        <v>-7822.9111083999996</v>
      </c>
      <c r="H4538">
        <v>19362.094200104999</v>
      </c>
      <c r="I4538">
        <v>-7667.4997409900006</v>
      </c>
      <c r="J4538">
        <v>0</v>
      </c>
      <c r="K4538">
        <v>6889.4769068250007</v>
      </c>
      <c r="L4538">
        <v>0</v>
      </c>
      <c r="M4538">
        <v>0</v>
      </c>
      <c r="N4538">
        <v>0</v>
      </c>
      <c r="O4538">
        <v>-179.1822575400038</v>
      </c>
      <c r="P4538">
        <v>2720273</v>
      </c>
    </row>
    <row r="4539" spans="1:16" x14ac:dyDescent="0.25">
      <c r="A4539" s="10">
        <v>44365</v>
      </c>
      <c r="B4539">
        <v>20723</v>
      </c>
      <c r="C4539">
        <v>1785.905</v>
      </c>
      <c r="D4539">
        <v>0</v>
      </c>
      <c r="E4539">
        <v>2200</v>
      </c>
      <c r="F4539">
        <v>0</v>
      </c>
      <c r="G4539">
        <v>-15793.83696624</v>
      </c>
      <c r="H4539">
        <v>32060.269800114998</v>
      </c>
      <c r="I4539">
        <v>0</v>
      </c>
      <c r="J4539">
        <v>0</v>
      </c>
      <c r="K4539">
        <v>1835.0087485050001</v>
      </c>
      <c r="L4539">
        <v>0</v>
      </c>
      <c r="M4539">
        <v>0</v>
      </c>
      <c r="N4539">
        <v>0</v>
      </c>
      <c r="O4539">
        <v>-1364.3465823800029</v>
      </c>
      <c r="P4539">
        <v>2740996</v>
      </c>
    </row>
    <row r="4540" spans="1:16" x14ac:dyDescent="0.25">
      <c r="A4540" s="10">
        <v>44369</v>
      </c>
      <c r="B4540">
        <v>151150</v>
      </c>
      <c r="C4540">
        <v>3791.7579000000001</v>
      </c>
      <c r="D4540">
        <v>0</v>
      </c>
      <c r="E4540">
        <v>0</v>
      </c>
      <c r="F4540">
        <v>0</v>
      </c>
      <c r="G4540">
        <v>2137.0665262900002</v>
      </c>
      <c r="H4540">
        <v>98659.585315311007</v>
      </c>
      <c r="I4540">
        <v>37863.43337069</v>
      </c>
      <c r="J4540">
        <v>0</v>
      </c>
      <c r="K4540">
        <v>10454.967020018999</v>
      </c>
      <c r="L4540">
        <v>0</v>
      </c>
      <c r="M4540">
        <v>0</v>
      </c>
      <c r="N4540">
        <v>0</v>
      </c>
      <c r="O4540">
        <v>-1756.8101323099979</v>
      </c>
      <c r="P4540">
        <v>2892146</v>
      </c>
    </row>
    <row r="4541" spans="1:16" x14ac:dyDescent="0.25">
      <c r="A4541" s="10">
        <v>44370</v>
      </c>
      <c r="B4541">
        <v>-75846</v>
      </c>
      <c r="C4541">
        <v>0</v>
      </c>
      <c r="D4541">
        <v>0</v>
      </c>
      <c r="E4541">
        <v>0</v>
      </c>
      <c r="F4541">
        <v>0</v>
      </c>
      <c r="G4541">
        <v>1407.4939883</v>
      </c>
      <c r="H4541">
        <v>-79438.369814869002</v>
      </c>
      <c r="I4541">
        <v>0</v>
      </c>
      <c r="J4541">
        <v>0</v>
      </c>
      <c r="K4541">
        <v>3097.9739586290002</v>
      </c>
      <c r="L4541">
        <v>0</v>
      </c>
      <c r="M4541">
        <v>0</v>
      </c>
      <c r="N4541">
        <v>0</v>
      </c>
      <c r="O4541">
        <v>-913.09813205999671</v>
      </c>
      <c r="P4541">
        <v>2816300</v>
      </c>
    </row>
    <row r="4542" spans="1:16" x14ac:dyDescent="0.25">
      <c r="A4542" s="10">
        <v>44371</v>
      </c>
      <c r="B4542">
        <v>22999</v>
      </c>
      <c r="C4542">
        <v>2837.67</v>
      </c>
      <c r="D4542">
        <v>0</v>
      </c>
      <c r="E4542">
        <v>0</v>
      </c>
      <c r="F4542">
        <v>0</v>
      </c>
      <c r="G4542">
        <v>1552.38570448</v>
      </c>
      <c r="H4542">
        <v>2671.6891500420002</v>
      </c>
      <c r="I4542">
        <v>8758.0616948400002</v>
      </c>
      <c r="J4542">
        <v>0</v>
      </c>
      <c r="K4542">
        <v>9307.1677540979999</v>
      </c>
      <c r="L4542">
        <v>0</v>
      </c>
      <c r="M4542">
        <v>0</v>
      </c>
      <c r="N4542">
        <v>0</v>
      </c>
      <c r="O4542">
        <v>-2127.9743034600001</v>
      </c>
      <c r="P4542">
        <v>2839299</v>
      </c>
    </row>
    <row r="4543" spans="1:16" x14ac:dyDescent="0.25">
      <c r="A4543" s="10">
        <v>44372</v>
      </c>
      <c r="B4543">
        <v>30602</v>
      </c>
      <c r="C4543">
        <v>76.463999999999999</v>
      </c>
      <c r="D4543">
        <v>0</v>
      </c>
      <c r="E4543">
        <v>0</v>
      </c>
      <c r="F4543">
        <v>90000</v>
      </c>
      <c r="G4543">
        <v>-38251.651721659997</v>
      </c>
      <c r="H4543">
        <v>-21031.571969919001</v>
      </c>
      <c r="I4543">
        <v>0</v>
      </c>
      <c r="J4543">
        <v>0</v>
      </c>
      <c r="K4543">
        <v>1843.7841419189999</v>
      </c>
      <c r="L4543">
        <v>0</v>
      </c>
      <c r="M4543">
        <v>0</v>
      </c>
      <c r="N4543">
        <v>0</v>
      </c>
      <c r="O4543">
        <v>-2035.0244503400099</v>
      </c>
      <c r="P4543">
        <v>2869901</v>
      </c>
    </row>
    <row r="4544" spans="1:16" x14ac:dyDescent="0.25">
      <c r="A4544" s="10">
        <v>44375</v>
      </c>
      <c r="B4544">
        <v>-140553</v>
      </c>
      <c r="C4544">
        <v>-0.13</v>
      </c>
      <c r="D4544">
        <v>0</v>
      </c>
      <c r="E4544">
        <v>0</v>
      </c>
      <c r="F4544">
        <v>0</v>
      </c>
      <c r="G4544">
        <v>4961.302532859997</v>
      </c>
      <c r="H4544">
        <v>-142495.04366999</v>
      </c>
      <c r="I4544">
        <v>0</v>
      </c>
      <c r="J4544">
        <v>0</v>
      </c>
      <c r="K4544">
        <v>240.04425291999999</v>
      </c>
      <c r="L4544">
        <v>0</v>
      </c>
      <c r="M4544">
        <v>0</v>
      </c>
      <c r="N4544">
        <v>0</v>
      </c>
      <c r="O4544">
        <v>-3259.1731157899781</v>
      </c>
      <c r="P4544">
        <v>2729348</v>
      </c>
    </row>
    <row r="4545" spans="1:16" x14ac:dyDescent="0.25">
      <c r="A4545" s="10">
        <v>44376</v>
      </c>
      <c r="B4545">
        <v>-942</v>
      </c>
      <c r="C4545">
        <v>87.528000000000006</v>
      </c>
      <c r="D4545">
        <v>0</v>
      </c>
      <c r="E4545">
        <v>0</v>
      </c>
      <c r="F4545">
        <v>0</v>
      </c>
      <c r="G4545">
        <v>40455.428789730002</v>
      </c>
      <c r="H4545">
        <v>-44779.434119935999</v>
      </c>
      <c r="I4545">
        <v>-3850.4201050900001</v>
      </c>
      <c r="J4545">
        <v>0</v>
      </c>
      <c r="K4545">
        <v>10069.376030066</v>
      </c>
      <c r="L4545">
        <v>0</v>
      </c>
      <c r="M4545">
        <v>0</v>
      </c>
      <c r="N4545">
        <v>0</v>
      </c>
      <c r="O4545">
        <v>-2924.4785947700038</v>
      </c>
      <c r="P4545">
        <v>2728406</v>
      </c>
    </row>
    <row r="4546" spans="1:16" x14ac:dyDescent="0.25">
      <c r="A4546" s="10">
        <v>44377</v>
      </c>
      <c r="B4546">
        <v>7151</v>
      </c>
      <c r="C4546">
        <v>9428.33</v>
      </c>
      <c r="D4546">
        <v>0</v>
      </c>
      <c r="E4546">
        <v>0</v>
      </c>
      <c r="F4546">
        <v>0</v>
      </c>
      <c r="G4546">
        <v>65768.06638461999</v>
      </c>
      <c r="H4546">
        <v>-62179.762649682008</v>
      </c>
      <c r="I4546">
        <v>0</v>
      </c>
      <c r="J4546">
        <v>0</v>
      </c>
      <c r="K4546">
        <v>3416.8043137720001</v>
      </c>
      <c r="L4546">
        <v>0</v>
      </c>
      <c r="M4546">
        <v>0</v>
      </c>
      <c r="N4546">
        <v>0</v>
      </c>
      <c r="O4546">
        <v>-9282.4380487099806</v>
      </c>
      <c r="P4546">
        <v>2735557</v>
      </c>
    </row>
    <row r="4547" spans="1:16" x14ac:dyDescent="0.25">
      <c r="A4547" s="10">
        <v>44378</v>
      </c>
      <c r="B4547">
        <v>80522</v>
      </c>
      <c r="C4547">
        <v>7708.68</v>
      </c>
      <c r="D4547">
        <v>-5000</v>
      </c>
      <c r="E4547">
        <v>0</v>
      </c>
      <c r="F4547">
        <v>0</v>
      </c>
      <c r="G4547">
        <v>4856.3556291799996</v>
      </c>
      <c r="H4547">
        <v>-5110.0736702640006</v>
      </c>
      <c r="I4547">
        <v>68469.65698082</v>
      </c>
      <c r="J4547">
        <v>0</v>
      </c>
      <c r="K4547">
        <v>11992.352806744</v>
      </c>
      <c r="L4547">
        <v>0</v>
      </c>
      <c r="M4547">
        <v>0</v>
      </c>
      <c r="N4547">
        <v>0</v>
      </c>
      <c r="O4547">
        <v>-2394.971746479991</v>
      </c>
      <c r="P4547">
        <v>2816079</v>
      </c>
    </row>
    <row r="4548" spans="1:16" x14ac:dyDescent="0.25">
      <c r="A4548" s="10">
        <v>44379</v>
      </c>
      <c r="B4548">
        <v>-46188</v>
      </c>
      <c r="C4548">
        <v>18315.047999999999</v>
      </c>
      <c r="D4548">
        <v>0</v>
      </c>
      <c r="E4548">
        <v>0</v>
      </c>
      <c r="F4548">
        <v>0</v>
      </c>
      <c r="G4548">
        <v>-2354.2592844999999</v>
      </c>
      <c r="H4548">
        <v>-59153.646464956997</v>
      </c>
      <c r="I4548">
        <v>0</v>
      </c>
      <c r="J4548">
        <v>0</v>
      </c>
      <c r="K4548">
        <v>1727.168471537</v>
      </c>
      <c r="L4548">
        <v>0</v>
      </c>
      <c r="M4548">
        <v>0</v>
      </c>
      <c r="N4548">
        <v>0</v>
      </c>
      <c r="O4548">
        <v>-4722.3107220799939</v>
      </c>
      <c r="P4548">
        <v>2769891</v>
      </c>
    </row>
    <row r="4549" spans="1:16" x14ac:dyDescent="0.25">
      <c r="A4549" s="10">
        <v>44382</v>
      </c>
      <c r="B4549">
        <v>-7469</v>
      </c>
      <c r="C4549">
        <v>1006.74</v>
      </c>
      <c r="D4549">
        <v>0</v>
      </c>
      <c r="E4549">
        <v>0</v>
      </c>
      <c r="F4549">
        <v>0</v>
      </c>
      <c r="G4549">
        <v>7811.5219779299996</v>
      </c>
      <c r="H4549">
        <v>-15647.090759974</v>
      </c>
      <c r="I4549">
        <v>0</v>
      </c>
      <c r="J4549">
        <v>0</v>
      </c>
      <c r="K4549">
        <v>1370.2884362140001</v>
      </c>
      <c r="L4549">
        <v>0</v>
      </c>
      <c r="M4549">
        <v>0</v>
      </c>
      <c r="N4549">
        <v>0</v>
      </c>
      <c r="O4549">
        <v>-2010.4596541699991</v>
      </c>
      <c r="P4549">
        <v>2762422</v>
      </c>
    </row>
    <row r="4550" spans="1:16" x14ac:dyDescent="0.25">
      <c r="A4550" s="10">
        <v>44383</v>
      </c>
      <c r="B4550">
        <v>48048</v>
      </c>
      <c r="C4550">
        <v>5067.5235000000002</v>
      </c>
      <c r="D4550">
        <v>0</v>
      </c>
      <c r="E4550">
        <v>0</v>
      </c>
      <c r="F4550">
        <v>80000</v>
      </c>
      <c r="G4550">
        <v>-3863.3034081300002</v>
      </c>
      <c r="H4550">
        <v>37477.545885049003</v>
      </c>
      <c r="I4550">
        <v>-78655.560601420002</v>
      </c>
      <c r="J4550">
        <v>0</v>
      </c>
      <c r="K4550">
        <v>10336.222069501</v>
      </c>
      <c r="L4550">
        <v>0</v>
      </c>
      <c r="M4550">
        <v>0</v>
      </c>
      <c r="N4550">
        <v>0</v>
      </c>
      <c r="O4550">
        <v>-2314.4274449999939</v>
      </c>
      <c r="P4550">
        <v>2810470</v>
      </c>
    </row>
    <row r="4551" spans="1:16" x14ac:dyDescent="0.25">
      <c r="A4551" s="10">
        <v>44384</v>
      </c>
      <c r="B4551">
        <v>27707</v>
      </c>
      <c r="C4551">
        <v>3530.5920000000001</v>
      </c>
      <c r="D4551">
        <v>-14000</v>
      </c>
      <c r="E4551">
        <v>0</v>
      </c>
      <c r="F4551">
        <v>0</v>
      </c>
      <c r="G4551">
        <v>14552.94059781</v>
      </c>
      <c r="H4551">
        <v>24970.017825062001</v>
      </c>
      <c r="I4551">
        <v>0</v>
      </c>
      <c r="J4551">
        <v>0</v>
      </c>
      <c r="K4551">
        <v>3509.1647448580002</v>
      </c>
      <c r="L4551">
        <v>0</v>
      </c>
      <c r="M4551">
        <v>0</v>
      </c>
      <c r="N4551">
        <v>0</v>
      </c>
      <c r="O4551">
        <v>-4855.7151677299989</v>
      </c>
      <c r="P4551">
        <v>2838177</v>
      </c>
    </row>
    <row r="4552" spans="1:16" x14ac:dyDescent="0.25">
      <c r="A4552" s="10">
        <v>44385</v>
      </c>
      <c r="B4552">
        <v>-67609</v>
      </c>
      <c r="C4552">
        <v>182.34100000000001</v>
      </c>
      <c r="D4552">
        <v>0</v>
      </c>
      <c r="E4552">
        <v>0</v>
      </c>
      <c r="F4552">
        <v>0</v>
      </c>
      <c r="G4552">
        <v>-46612.416109190002</v>
      </c>
      <c r="H4552">
        <v>-23023.751309940999</v>
      </c>
      <c r="I4552">
        <v>-5108.5138160699998</v>
      </c>
      <c r="J4552">
        <v>0</v>
      </c>
      <c r="K4552">
        <v>9910.8555883209992</v>
      </c>
      <c r="L4552">
        <v>0</v>
      </c>
      <c r="M4552">
        <v>0</v>
      </c>
      <c r="N4552">
        <v>0</v>
      </c>
      <c r="O4552">
        <v>-2957.5153531199981</v>
      </c>
      <c r="P4552">
        <v>2770568</v>
      </c>
    </row>
    <row r="4553" spans="1:16" x14ac:dyDescent="0.25">
      <c r="A4553" s="10">
        <v>44389</v>
      </c>
      <c r="B4553">
        <v>205479</v>
      </c>
      <c r="C4553">
        <v>18665.789799999999</v>
      </c>
      <c r="D4553">
        <v>0</v>
      </c>
      <c r="E4553">
        <v>0</v>
      </c>
      <c r="F4553">
        <v>0</v>
      </c>
      <c r="G4553">
        <v>30939.914459420001</v>
      </c>
      <c r="H4553">
        <v>154314.75388509</v>
      </c>
      <c r="I4553">
        <v>0</v>
      </c>
      <c r="J4553">
        <v>0</v>
      </c>
      <c r="K4553">
        <v>4579.6688913500002</v>
      </c>
      <c r="L4553">
        <v>0</v>
      </c>
      <c r="M4553">
        <v>0</v>
      </c>
      <c r="N4553">
        <v>0</v>
      </c>
      <c r="O4553">
        <v>-3021.1270358600009</v>
      </c>
      <c r="P4553">
        <v>2976047</v>
      </c>
    </row>
    <row r="4554" spans="1:16" x14ac:dyDescent="0.25">
      <c r="A4554" s="10">
        <v>44390</v>
      </c>
      <c r="B4554">
        <v>-33819</v>
      </c>
      <c r="C4554">
        <v>20156.357</v>
      </c>
      <c r="D4554">
        <v>0</v>
      </c>
      <c r="E4554">
        <v>0</v>
      </c>
      <c r="F4554">
        <v>0</v>
      </c>
      <c r="G4554">
        <v>736.70493487000101</v>
      </c>
      <c r="H4554">
        <v>-63538.102619971003</v>
      </c>
      <c r="I4554">
        <v>2339.7391261199991</v>
      </c>
      <c r="J4554">
        <v>0</v>
      </c>
      <c r="K4554">
        <v>8357.5765141110005</v>
      </c>
      <c r="L4554">
        <v>0</v>
      </c>
      <c r="M4554">
        <v>0</v>
      </c>
      <c r="N4554">
        <v>0</v>
      </c>
      <c r="O4554">
        <v>-1871.274955130008</v>
      </c>
      <c r="P4554">
        <v>2942228</v>
      </c>
    </row>
    <row r="4555" spans="1:16" x14ac:dyDescent="0.25">
      <c r="A4555" s="10">
        <v>44391</v>
      </c>
      <c r="B4555">
        <v>37880</v>
      </c>
      <c r="C4555">
        <v>1056.0401999999999</v>
      </c>
      <c r="D4555">
        <v>0</v>
      </c>
      <c r="E4555">
        <v>0</v>
      </c>
      <c r="F4555">
        <v>0</v>
      </c>
      <c r="G4555">
        <v>686.10466757000006</v>
      </c>
      <c r="H4555">
        <v>32973.716385081003</v>
      </c>
      <c r="I4555">
        <v>0</v>
      </c>
      <c r="J4555">
        <v>0</v>
      </c>
      <c r="K4555">
        <v>3296.158779199</v>
      </c>
      <c r="L4555">
        <v>0</v>
      </c>
      <c r="M4555">
        <v>0</v>
      </c>
      <c r="N4555">
        <v>0</v>
      </c>
      <c r="O4555">
        <v>-132.02003184999921</v>
      </c>
      <c r="P4555">
        <v>2980108</v>
      </c>
    </row>
    <row r="4556" spans="1:16" x14ac:dyDescent="0.25">
      <c r="A4556" s="10">
        <v>44392</v>
      </c>
      <c r="B4556">
        <v>50866</v>
      </c>
      <c r="C4556">
        <v>10118.136</v>
      </c>
      <c r="D4556">
        <v>-12000</v>
      </c>
      <c r="E4556">
        <v>0</v>
      </c>
      <c r="F4556">
        <v>50000</v>
      </c>
      <c r="G4556">
        <v>-25388.91134409</v>
      </c>
      <c r="H4556">
        <v>22246.731405053</v>
      </c>
      <c r="I4556">
        <v>-1303.0965529299999</v>
      </c>
      <c r="J4556">
        <v>0</v>
      </c>
      <c r="K4556">
        <v>8116.9713354469995</v>
      </c>
      <c r="L4556">
        <v>0</v>
      </c>
      <c r="M4556">
        <v>0</v>
      </c>
      <c r="N4556">
        <v>0</v>
      </c>
      <c r="O4556">
        <v>-923.83084347999829</v>
      </c>
      <c r="P4556">
        <v>3030974</v>
      </c>
    </row>
    <row r="4557" spans="1:16" x14ac:dyDescent="0.25">
      <c r="A4557" s="10">
        <v>44393</v>
      </c>
      <c r="B4557">
        <v>-182296</v>
      </c>
      <c r="C4557">
        <v>1518.8972000000001</v>
      </c>
      <c r="D4557">
        <v>0</v>
      </c>
      <c r="E4557">
        <v>0</v>
      </c>
      <c r="F4557">
        <v>0</v>
      </c>
      <c r="G4557">
        <v>396.83759606000001</v>
      </c>
      <c r="H4557">
        <v>-182901.82779000301</v>
      </c>
      <c r="I4557">
        <v>0</v>
      </c>
      <c r="J4557">
        <v>0</v>
      </c>
      <c r="K4557">
        <v>94.981337592999992</v>
      </c>
      <c r="L4557">
        <v>0</v>
      </c>
      <c r="M4557">
        <v>0</v>
      </c>
      <c r="N4557">
        <v>0</v>
      </c>
      <c r="O4557">
        <v>-1404.8883436500039</v>
      </c>
      <c r="P4557">
        <v>2848678</v>
      </c>
    </row>
    <row r="4558" spans="1:16" x14ac:dyDescent="0.25">
      <c r="A4558" s="10">
        <v>44396</v>
      </c>
      <c r="B4558">
        <v>64230</v>
      </c>
      <c r="C4558">
        <v>6186.8609999999999</v>
      </c>
      <c r="D4558">
        <v>0</v>
      </c>
      <c r="E4558">
        <v>0</v>
      </c>
      <c r="F4558">
        <v>0</v>
      </c>
      <c r="G4558">
        <v>1327.90864898</v>
      </c>
      <c r="H4558">
        <v>55795.88853004</v>
      </c>
      <c r="I4558">
        <v>0</v>
      </c>
      <c r="J4558">
        <v>0</v>
      </c>
      <c r="K4558">
        <v>2648.2386759699998</v>
      </c>
      <c r="L4558">
        <v>0</v>
      </c>
      <c r="M4558">
        <v>0</v>
      </c>
      <c r="N4558">
        <v>0</v>
      </c>
      <c r="O4558">
        <v>-1728.8968549900021</v>
      </c>
      <c r="P4558">
        <v>2912908</v>
      </c>
    </row>
    <row r="4559" spans="1:16" x14ac:dyDescent="0.25">
      <c r="A4559" s="10">
        <v>44397</v>
      </c>
      <c r="B4559">
        <v>72</v>
      </c>
      <c r="C4559">
        <v>2610.5219999999999</v>
      </c>
      <c r="D4559">
        <v>0</v>
      </c>
      <c r="E4559">
        <v>0</v>
      </c>
      <c r="F4559">
        <v>0</v>
      </c>
      <c r="G4559">
        <v>820.72489405999897</v>
      </c>
      <c r="H4559">
        <v>-19349.850780010001</v>
      </c>
      <c r="I4559">
        <v>10171.629658510001</v>
      </c>
      <c r="J4559">
        <v>0</v>
      </c>
      <c r="K4559">
        <v>8745.6424113899993</v>
      </c>
      <c r="L4559">
        <v>0</v>
      </c>
      <c r="M4559">
        <v>0</v>
      </c>
      <c r="N4559">
        <v>0</v>
      </c>
      <c r="O4559">
        <v>-2926.6681839500011</v>
      </c>
      <c r="P4559">
        <v>2912980</v>
      </c>
    </row>
    <row r="4560" spans="1:16" x14ac:dyDescent="0.25">
      <c r="A4560" s="10">
        <v>44398</v>
      </c>
      <c r="B4560">
        <v>-21138</v>
      </c>
      <c r="C4560">
        <v>3208.788</v>
      </c>
      <c r="D4560">
        <v>0</v>
      </c>
      <c r="E4560">
        <v>0</v>
      </c>
      <c r="F4560">
        <v>0</v>
      </c>
      <c r="G4560">
        <v>1848.8549998599999</v>
      </c>
      <c r="H4560">
        <v>-25391.104019999999</v>
      </c>
      <c r="I4560">
        <v>0</v>
      </c>
      <c r="J4560">
        <v>0</v>
      </c>
      <c r="K4560">
        <v>2933.8871107199998</v>
      </c>
      <c r="L4560">
        <v>0</v>
      </c>
      <c r="M4560">
        <v>0</v>
      </c>
      <c r="N4560">
        <v>0</v>
      </c>
      <c r="O4560">
        <v>-3738.4260905800002</v>
      </c>
      <c r="P4560">
        <v>2891842</v>
      </c>
    </row>
    <row r="4561" spans="1:16" x14ac:dyDescent="0.25">
      <c r="A4561" s="10">
        <v>44399</v>
      </c>
      <c r="B4561">
        <v>65571</v>
      </c>
      <c r="C4561">
        <v>281.71100000000001</v>
      </c>
      <c r="D4561">
        <v>0</v>
      </c>
      <c r="E4561">
        <v>0</v>
      </c>
      <c r="F4561">
        <v>50000</v>
      </c>
      <c r="G4561">
        <v>-7860.0373795699979</v>
      </c>
      <c r="H4561">
        <v>4014.9672299899999</v>
      </c>
      <c r="I4561">
        <v>14586.60304211</v>
      </c>
      <c r="J4561">
        <v>0</v>
      </c>
      <c r="K4561">
        <v>9467.4864163499988</v>
      </c>
      <c r="L4561">
        <v>0</v>
      </c>
      <c r="M4561">
        <v>0</v>
      </c>
      <c r="N4561">
        <v>0</v>
      </c>
      <c r="O4561">
        <v>-4919.7303088800109</v>
      </c>
      <c r="P4561">
        <v>2957413</v>
      </c>
    </row>
    <row r="4562" spans="1:16" x14ac:dyDescent="0.25">
      <c r="A4562" s="10">
        <v>44400</v>
      </c>
      <c r="B4562">
        <v>-56019</v>
      </c>
      <c r="C4562">
        <v>1783.77</v>
      </c>
      <c r="D4562">
        <v>0</v>
      </c>
      <c r="E4562">
        <v>0</v>
      </c>
      <c r="F4562">
        <v>0</v>
      </c>
      <c r="G4562">
        <v>1155.2906782299999</v>
      </c>
      <c r="H4562">
        <v>-57624.530760039997</v>
      </c>
      <c r="I4562">
        <v>0</v>
      </c>
      <c r="J4562">
        <v>0</v>
      </c>
      <c r="K4562">
        <v>1768.5938495299999</v>
      </c>
      <c r="L4562">
        <v>0</v>
      </c>
      <c r="M4562">
        <v>0</v>
      </c>
      <c r="N4562">
        <v>0</v>
      </c>
      <c r="O4562">
        <v>-3102.1237677199902</v>
      </c>
      <c r="P4562">
        <v>2901394</v>
      </c>
    </row>
    <row r="4563" spans="1:16" x14ac:dyDescent="0.25">
      <c r="A4563" s="10">
        <v>44403</v>
      </c>
      <c r="B4563">
        <v>-34139</v>
      </c>
      <c r="C4563">
        <v>-0.48</v>
      </c>
      <c r="D4563">
        <v>-50000</v>
      </c>
      <c r="E4563">
        <v>0</v>
      </c>
      <c r="F4563">
        <v>0</v>
      </c>
      <c r="G4563">
        <v>52756.733218349997</v>
      </c>
      <c r="H4563">
        <v>-33948.817335020001</v>
      </c>
      <c r="I4563">
        <v>0</v>
      </c>
      <c r="J4563">
        <v>0</v>
      </c>
      <c r="K4563">
        <v>2392.1753396300001</v>
      </c>
      <c r="L4563">
        <v>0</v>
      </c>
      <c r="M4563">
        <v>0</v>
      </c>
      <c r="N4563">
        <v>0</v>
      </c>
      <c r="O4563">
        <v>-5338.611222959993</v>
      </c>
      <c r="P4563">
        <v>2867255</v>
      </c>
    </row>
    <row r="4564" spans="1:16" x14ac:dyDescent="0.25">
      <c r="A4564" s="10">
        <v>44404</v>
      </c>
      <c r="B4564">
        <v>-65674</v>
      </c>
      <c r="C4564">
        <v>-6714.2965000000004</v>
      </c>
      <c r="D4564">
        <v>0</v>
      </c>
      <c r="E4564">
        <v>0</v>
      </c>
      <c r="F4564">
        <v>0</v>
      </c>
      <c r="G4564">
        <v>1880.4621868700001</v>
      </c>
      <c r="H4564">
        <v>-39565.923525020007</v>
      </c>
      <c r="I4564">
        <v>-27412.814437370002</v>
      </c>
      <c r="J4564">
        <v>0</v>
      </c>
      <c r="K4564">
        <v>10492.462395549999</v>
      </c>
      <c r="L4564">
        <v>0</v>
      </c>
      <c r="M4564">
        <v>0</v>
      </c>
      <c r="N4564">
        <v>0</v>
      </c>
      <c r="O4564">
        <v>-4353.8901200299879</v>
      </c>
      <c r="P4564">
        <v>2801581</v>
      </c>
    </row>
    <row r="4565" spans="1:16" x14ac:dyDescent="0.25">
      <c r="A4565" s="10">
        <v>44405</v>
      </c>
      <c r="B4565">
        <v>-37106</v>
      </c>
      <c r="C4565">
        <v>-8358.9150000000009</v>
      </c>
      <c r="D4565">
        <v>0</v>
      </c>
      <c r="E4565">
        <v>0</v>
      </c>
      <c r="F4565">
        <v>0</v>
      </c>
      <c r="G4565">
        <v>-42.701508599998498</v>
      </c>
      <c r="H4565">
        <v>-26069.739300040001</v>
      </c>
      <c r="I4565">
        <v>0</v>
      </c>
      <c r="J4565">
        <v>0</v>
      </c>
      <c r="K4565">
        <v>3054.86010889</v>
      </c>
      <c r="L4565">
        <v>0</v>
      </c>
      <c r="M4565">
        <v>0</v>
      </c>
      <c r="N4565">
        <v>0</v>
      </c>
      <c r="O4565">
        <v>-5689.5043002499988</v>
      </c>
      <c r="P4565">
        <v>2764475</v>
      </c>
    </row>
    <row r="4566" spans="1:16" x14ac:dyDescent="0.25">
      <c r="A4566" s="10">
        <v>44406</v>
      </c>
      <c r="B4566">
        <v>45259</v>
      </c>
      <c r="C4566">
        <v>-6844.7420000000002</v>
      </c>
      <c r="D4566">
        <v>0</v>
      </c>
      <c r="E4566">
        <v>0</v>
      </c>
      <c r="F4566">
        <v>0</v>
      </c>
      <c r="G4566">
        <v>122.92742646000001</v>
      </c>
      <c r="H4566">
        <v>26640.370124969999</v>
      </c>
      <c r="I4566">
        <v>20776.935380139999</v>
      </c>
      <c r="J4566">
        <v>0</v>
      </c>
      <c r="K4566">
        <v>10127.759595</v>
      </c>
      <c r="L4566">
        <v>0</v>
      </c>
      <c r="M4566">
        <v>0</v>
      </c>
      <c r="N4566">
        <v>0</v>
      </c>
      <c r="O4566">
        <v>-5564.250526570002</v>
      </c>
      <c r="P4566">
        <v>2809734</v>
      </c>
    </row>
    <row r="4567" spans="1:16" x14ac:dyDescent="0.25">
      <c r="A4567" s="10">
        <v>44407</v>
      </c>
      <c r="B4567">
        <v>-26656</v>
      </c>
      <c r="C4567">
        <v>-11113.106</v>
      </c>
      <c r="D4567">
        <v>0</v>
      </c>
      <c r="E4567">
        <v>0</v>
      </c>
      <c r="F4567">
        <v>0</v>
      </c>
      <c r="G4567">
        <v>11334.647814100001</v>
      </c>
      <c r="H4567">
        <v>-24449.24190017</v>
      </c>
      <c r="I4567">
        <v>0</v>
      </c>
      <c r="J4567">
        <v>0</v>
      </c>
      <c r="K4567">
        <v>2396.4771287399999</v>
      </c>
      <c r="L4567">
        <v>0</v>
      </c>
      <c r="M4567">
        <v>0</v>
      </c>
      <c r="N4567">
        <v>0</v>
      </c>
      <c r="O4567">
        <v>-4824.7770426699972</v>
      </c>
      <c r="P4567">
        <v>2783078</v>
      </c>
    </row>
    <row r="4568" spans="1:16" x14ac:dyDescent="0.25">
      <c r="A4568" s="10">
        <v>44410</v>
      </c>
      <c r="B4568">
        <v>165962</v>
      </c>
      <c r="C4568">
        <v>96.77</v>
      </c>
      <c r="D4568">
        <v>-40000</v>
      </c>
      <c r="E4568">
        <v>0</v>
      </c>
      <c r="F4568">
        <v>40000</v>
      </c>
      <c r="G4568">
        <v>40587.651661069998</v>
      </c>
      <c r="H4568">
        <v>127785.45576008</v>
      </c>
      <c r="I4568">
        <v>0</v>
      </c>
      <c r="J4568">
        <v>0</v>
      </c>
      <c r="K4568">
        <v>2642.8244005900001</v>
      </c>
      <c r="L4568">
        <v>0</v>
      </c>
      <c r="M4568">
        <v>0</v>
      </c>
      <c r="N4568">
        <v>0</v>
      </c>
      <c r="O4568">
        <v>-5150.7018217399891</v>
      </c>
      <c r="P4568">
        <v>2949040</v>
      </c>
    </row>
    <row r="4569" spans="1:16" x14ac:dyDescent="0.25">
      <c r="A4569" s="10">
        <v>44411</v>
      </c>
      <c r="B4569">
        <v>67423</v>
      </c>
      <c r="C4569">
        <v>6610.8209999999999</v>
      </c>
      <c r="D4569">
        <v>0</v>
      </c>
      <c r="E4569">
        <v>0</v>
      </c>
      <c r="F4569">
        <v>0</v>
      </c>
      <c r="G4569">
        <v>-2021.9735183299999</v>
      </c>
      <c r="H4569">
        <v>34765.191089990003</v>
      </c>
      <c r="I4569">
        <v>20355.060601500001</v>
      </c>
      <c r="J4569">
        <v>0</v>
      </c>
      <c r="K4569">
        <v>12819.289293239999</v>
      </c>
      <c r="L4569">
        <v>0</v>
      </c>
      <c r="M4569">
        <v>0</v>
      </c>
      <c r="N4569">
        <v>0</v>
      </c>
      <c r="O4569">
        <v>-5105.388466400007</v>
      </c>
      <c r="P4569">
        <v>3016463</v>
      </c>
    </row>
    <row r="4570" spans="1:16" x14ac:dyDescent="0.25">
      <c r="A4570" s="10">
        <v>44412</v>
      </c>
      <c r="B4570">
        <v>-16334</v>
      </c>
      <c r="C4570">
        <v>4357.3500000000004</v>
      </c>
      <c r="D4570">
        <v>0</v>
      </c>
      <c r="E4570">
        <v>0</v>
      </c>
      <c r="F4570">
        <v>0</v>
      </c>
      <c r="G4570">
        <v>-10033.5234805</v>
      </c>
      <c r="H4570">
        <v>-7520.0834699999996</v>
      </c>
      <c r="I4570">
        <v>0</v>
      </c>
      <c r="J4570">
        <v>0</v>
      </c>
      <c r="K4570">
        <v>2902.6604058799999</v>
      </c>
      <c r="L4570">
        <v>0</v>
      </c>
      <c r="M4570">
        <v>0</v>
      </c>
      <c r="N4570">
        <v>0</v>
      </c>
      <c r="O4570">
        <v>-6040.4034553799993</v>
      </c>
      <c r="P4570">
        <v>3000129</v>
      </c>
    </row>
    <row r="4571" spans="1:16" x14ac:dyDescent="0.25">
      <c r="A4571" s="10">
        <v>44413</v>
      </c>
      <c r="B4571">
        <v>-27770</v>
      </c>
      <c r="C4571">
        <v>0</v>
      </c>
      <c r="D4571">
        <v>0</v>
      </c>
      <c r="E4571">
        <v>0</v>
      </c>
      <c r="F4571">
        <v>120000</v>
      </c>
      <c r="G4571">
        <v>-44217.533882809999</v>
      </c>
      <c r="H4571">
        <v>-55362.121650020003</v>
      </c>
      <c r="I4571">
        <v>-52048.019063719999</v>
      </c>
      <c r="J4571">
        <v>0</v>
      </c>
      <c r="K4571">
        <v>9679.310667400001</v>
      </c>
      <c r="L4571">
        <v>0</v>
      </c>
      <c r="M4571">
        <v>0</v>
      </c>
      <c r="N4571">
        <v>0</v>
      </c>
      <c r="O4571">
        <v>-5821.6360708499997</v>
      </c>
      <c r="P4571">
        <v>2972359</v>
      </c>
    </row>
    <row r="4572" spans="1:16" x14ac:dyDescent="0.25">
      <c r="A4572" s="10">
        <v>44414</v>
      </c>
      <c r="B4572">
        <v>-20989</v>
      </c>
      <c r="C4572">
        <v>0</v>
      </c>
      <c r="D4572">
        <v>0</v>
      </c>
      <c r="E4572">
        <v>0</v>
      </c>
      <c r="F4572">
        <v>0</v>
      </c>
      <c r="G4572">
        <v>51061.012250489999</v>
      </c>
      <c r="H4572">
        <v>-70935.314625009996</v>
      </c>
      <c r="I4572">
        <v>0</v>
      </c>
      <c r="J4572">
        <v>0</v>
      </c>
      <c r="K4572">
        <v>2403.8592341100002</v>
      </c>
      <c r="L4572">
        <v>0</v>
      </c>
      <c r="M4572">
        <v>0</v>
      </c>
      <c r="N4572">
        <v>0</v>
      </c>
      <c r="O4572">
        <v>-3518.556859590004</v>
      </c>
      <c r="P4572">
        <v>2951370</v>
      </c>
    </row>
    <row r="4573" spans="1:16" x14ac:dyDescent="0.25">
      <c r="A4573" s="10">
        <v>44417</v>
      </c>
      <c r="B4573">
        <v>-9515</v>
      </c>
      <c r="C4573">
        <v>0</v>
      </c>
      <c r="D4573">
        <v>0</v>
      </c>
      <c r="E4573">
        <v>0</v>
      </c>
      <c r="F4573">
        <v>0</v>
      </c>
      <c r="G4573">
        <v>6232.5674142099997</v>
      </c>
      <c r="H4573">
        <v>-15317.392950060001</v>
      </c>
      <c r="I4573">
        <v>0</v>
      </c>
      <c r="J4573">
        <v>0</v>
      </c>
      <c r="K4573">
        <v>2153.8430870500001</v>
      </c>
      <c r="L4573">
        <v>0</v>
      </c>
      <c r="M4573">
        <v>0</v>
      </c>
      <c r="N4573">
        <v>0</v>
      </c>
      <c r="O4573">
        <v>-2584.0175511999992</v>
      </c>
      <c r="P4573">
        <v>2941855</v>
      </c>
    </row>
    <row r="4574" spans="1:16" x14ac:dyDescent="0.25">
      <c r="A4574" s="10">
        <v>44418</v>
      </c>
      <c r="B4574">
        <v>-2003</v>
      </c>
      <c r="C4574">
        <v>86.659800000000004</v>
      </c>
      <c r="D4574">
        <v>0</v>
      </c>
      <c r="E4574">
        <v>0</v>
      </c>
      <c r="F4574">
        <v>0</v>
      </c>
      <c r="G4574">
        <v>871.78856966000001</v>
      </c>
      <c r="H4574">
        <v>29143.279153849999</v>
      </c>
      <c r="I4574">
        <v>-38213.605507519998</v>
      </c>
      <c r="J4574">
        <v>0</v>
      </c>
      <c r="K4574">
        <v>8506.19276679</v>
      </c>
      <c r="L4574">
        <v>0</v>
      </c>
      <c r="M4574">
        <v>0</v>
      </c>
      <c r="N4574">
        <v>0</v>
      </c>
      <c r="O4574">
        <v>-2397.3147827799989</v>
      </c>
      <c r="P4574">
        <v>2939852</v>
      </c>
    </row>
    <row r="4575" spans="1:16" x14ac:dyDescent="0.25">
      <c r="A4575" s="10">
        <v>44419</v>
      </c>
      <c r="B4575">
        <v>24384</v>
      </c>
      <c r="C4575">
        <v>37.436</v>
      </c>
      <c r="D4575">
        <v>0</v>
      </c>
      <c r="E4575">
        <v>0</v>
      </c>
      <c r="F4575">
        <v>40000</v>
      </c>
      <c r="G4575">
        <v>-2701.6824085599992</v>
      </c>
      <c r="H4575">
        <v>-14318.206214219999</v>
      </c>
      <c r="I4575">
        <v>0</v>
      </c>
      <c r="J4575">
        <v>0</v>
      </c>
      <c r="K4575">
        <v>2923.4147296199999</v>
      </c>
      <c r="L4575">
        <v>0</v>
      </c>
      <c r="M4575">
        <v>0</v>
      </c>
      <c r="N4575">
        <v>0</v>
      </c>
      <c r="O4575">
        <v>-1556.9621068400011</v>
      </c>
      <c r="P4575">
        <v>2964236</v>
      </c>
    </row>
    <row r="4576" spans="1:16" x14ac:dyDescent="0.25">
      <c r="A4576" s="10">
        <v>44420</v>
      </c>
      <c r="B4576">
        <v>-22066</v>
      </c>
      <c r="C4576">
        <v>1046.655</v>
      </c>
      <c r="D4576">
        <v>0</v>
      </c>
      <c r="E4576">
        <v>0</v>
      </c>
      <c r="F4576">
        <v>0</v>
      </c>
      <c r="G4576">
        <v>430.77013889000102</v>
      </c>
      <c r="H4576">
        <v>2828.6672849800002</v>
      </c>
      <c r="I4576">
        <v>-32285.986849550001</v>
      </c>
      <c r="J4576">
        <v>0</v>
      </c>
      <c r="K4576">
        <v>7979.4702646100004</v>
      </c>
      <c r="L4576">
        <v>0</v>
      </c>
      <c r="M4576">
        <v>0</v>
      </c>
      <c r="N4576">
        <v>0</v>
      </c>
      <c r="O4576">
        <v>-2065.575838929999</v>
      </c>
      <c r="P4576">
        <v>2942170</v>
      </c>
    </row>
    <row r="4577" spans="1:16" x14ac:dyDescent="0.25">
      <c r="A4577" s="10">
        <v>44421</v>
      </c>
      <c r="B4577">
        <v>-12167</v>
      </c>
      <c r="C4577">
        <v>4951.6850000000004</v>
      </c>
      <c r="D4577">
        <v>0</v>
      </c>
      <c r="E4577">
        <v>0</v>
      </c>
      <c r="F4577">
        <v>0</v>
      </c>
      <c r="G4577">
        <v>2907.2538705900001</v>
      </c>
      <c r="H4577">
        <v>-20205.578385000001</v>
      </c>
      <c r="I4577">
        <v>0</v>
      </c>
      <c r="J4577">
        <v>0</v>
      </c>
      <c r="K4577">
        <v>2838.2369973</v>
      </c>
      <c r="L4577">
        <v>0</v>
      </c>
      <c r="M4577">
        <v>0</v>
      </c>
      <c r="N4577">
        <v>0</v>
      </c>
      <c r="O4577">
        <v>-2658.5974828900021</v>
      </c>
      <c r="P4577">
        <v>2930003</v>
      </c>
    </row>
    <row r="4578" spans="1:16" x14ac:dyDescent="0.25">
      <c r="A4578" s="10">
        <v>44425</v>
      </c>
      <c r="B4578">
        <v>59908</v>
      </c>
      <c r="C4578">
        <v>0</v>
      </c>
      <c r="D4578">
        <v>0</v>
      </c>
      <c r="E4578">
        <v>0</v>
      </c>
      <c r="F4578">
        <v>0</v>
      </c>
      <c r="G4578">
        <v>-2601.772192540001</v>
      </c>
      <c r="H4578">
        <v>33709.155735269997</v>
      </c>
      <c r="I4578">
        <v>19433.500000010001</v>
      </c>
      <c r="J4578">
        <v>0</v>
      </c>
      <c r="K4578">
        <v>10697.828257360001</v>
      </c>
      <c r="L4578">
        <v>0</v>
      </c>
      <c r="M4578">
        <v>0</v>
      </c>
      <c r="N4578">
        <v>0</v>
      </c>
      <c r="O4578">
        <v>-1330.7118001000049</v>
      </c>
      <c r="P4578">
        <v>2989911</v>
      </c>
    </row>
    <row r="4579" spans="1:16" x14ac:dyDescent="0.25">
      <c r="A4579" s="10">
        <v>44426</v>
      </c>
      <c r="B4579">
        <v>3584</v>
      </c>
      <c r="C4579">
        <v>2577.125</v>
      </c>
      <c r="D4579">
        <v>0</v>
      </c>
      <c r="E4579">
        <v>0</v>
      </c>
      <c r="F4579">
        <v>0</v>
      </c>
      <c r="G4579">
        <v>1733.98271716</v>
      </c>
      <c r="H4579">
        <v>-3561.0987051400002</v>
      </c>
      <c r="I4579">
        <v>0</v>
      </c>
      <c r="J4579">
        <v>0</v>
      </c>
      <c r="K4579">
        <v>2996.13812087</v>
      </c>
      <c r="L4579">
        <v>0</v>
      </c>
      <c r="M4579">
        <v>0</v>
      </c>
      <c r="N4579">
        <v>0</v>
      </c>
      <c r="O4579">
        <v>-162.14713289000019</v>
      </c>
      <c r="P4579">
        <v>2993495</v>
      </c>
    </row>
    <row r="4580" spans="1:16" x14ac:dyDescent="0.25">
      <c r="A4580" s="10">
        <v>44427</v>
      </c>
      <c r="B4580">
        <v>-18816</v>
      </c>
      <c r="C4580">
        <v>4782.0600000000004</v>
      </c>
      <c r="D4580">
        <v>0</v>
      </c>
      <c r="E4580">
        <v>0</v>
      </c>
      <c r="F4580">
        <v>0</v>
      </c>
      <c r="G4580">
        <v>-6862.7155870400011</v>
      </c>
      <c r="H4580">
        <v>-31001.638689920001</v>
      </c>
      <c r="I4580">
        <v>6084.8481492700002</v>
      </c>
      <c r="J4580">
        <v>0</v>
      </c>
      <c r="K4580">
        <v>9401.4893910900009</v>
      </c>
      <c r="L4580">
        <v>0</v>
      </c>
      <c r="M4580">
        <v>0</v>
      </c>
      <c r="N4580">
        <v>0</v>
      </c>
      <c r="O4580">
        <v>-1220.0432634000099</v>
      </c>
      <c r="P4580">
        <v>2974679</v>
      </c>
    </row>
    <row r="4581" spans="1:16" x14ac:dyDescent="0.25">
      <c r="A4581" s="10">
        <v>44428</v>
      </c>
      <c r="B4581">
        <v>2223</v>
      </c>
      <c r="C4581">
        <v>2841.444</v>
      </c>
      <c r="D4581">
        <v>0</v>
      </c>
      <c r="E4581">
        <v>0</v>
      </c>
      <c r="F4581">
        <v>0</v>
      </c>
      <c r="G4581">
        <v>-94462.296530580003</v>
      </c>
      <c r="H4581">
        <v>90889.02836995</v>
      </c>
      <c r="I4581">
        <v>0</v>
      </c>
      <c r="J4581">
        <v>0</v>
      </c>
      <c r="K4581">
        <v>3067.80615988</v>
      </c>
      <c r="L4581">
        <v>0</v>
      </c>
      <c r="M4581">
        <v>0</v>
      </c>
      <c r="N4581">
        <v>0</v>
      </c>
      <c r="O4581">
        <v>-112.981999249997</v>
      </c>
      <c r="P4581">
        <v>2976902</v>
      </c>
    </row>
    <row r="4582" spans="1:16" x14ac:dyDescent="0.25">
      <c r="A4582" s="10">
        <v>44431</v>
      </c>
      <c r="B4582">
        <v>-180051</v>
      </c>
      <c r="C4582">
        <v>6178.1074000000008</v>
      </c>
      <c r="D4582">
        <v>-12000</v>
      </c>
      <c r="E4582">
        <v>0</v>
      </c>
      <c r="F4582">
        <v>0</v>
      </c>
      <c r="G4582">
        <v>70050.378128850003</v>
      </c>
      <c r="H4582">
        <v>-241712.42733666999</v>
      </c>
      <c r="I4582">
        <v>0</v>
      </c>
      <c r="J4582">
        <v>0</v>
      </c>
      <c r="K4582">
        <v>292.13998113999997</v>
      </c>
      <c r="L4582">
        <v>0</v>
      </c>
      <c r="M4582">
        <v>0</v>
      </c>
      <c r="N4582">
        <v>0</v>
      </c>
      <c r="O4582">
        <v>-2859.1981733200369</v>
      </c>
      <c r="P4582">
        <v>2796851</v>
      </c>
    </row>
    <row r="4583" spans="1:16" x14ac:dyDescent="0.25">
      <c r="A4583" s="10">
        <v>44432</v>
      </c>
      <c r="B4583">
        <v>56605</v>
      </c>
      <c r="C4583">
        <v>675.20900000000006</v>
      </c>
      <c r="D4583">
        <v>0</v>
      </c>
      <c r="E4583">
        <v>0</v>
      </c>
      <c r="F4583">
        <v>0</v>
      </c>
      <c r="G4583">
        <v>1672.2897370999999</v>
      </c>
      <c r="H4583">
        <v>63478.500895840007</v>
      </c>
      <c r="I4583">
        <v>-20171.151201979999</v>
      </c>
      <c r="J4583">
        <v>0</v>
      </c>
      <c r="K4583">
        <v>12727.922417350001</v>
      </c>
      <c r="L4583">
        <v>0</v>
      </c>
      <c r="M4583">
        <v>0</v>
      </c>
      <c r="N4583">
        <v>0</v>
      </c>
      <c r="O4583">
        <v>-1777.7708483100071</v>
      </c>
      <c r="P4583">
        <v>2853456</v>
      </c>
    </row>
    <row r="4584" spans="1:16" x14ac:dyDescent="0.25">
      <c r="A4584" s="10">
        <v>44433</v>
      </c>
      <c r="B4584">
        <v>-446</v>
      </c>
      <c r="C4584">
        <v>-0.46</v>
      </c>
      <c r="D4584">
        <v>0</v>
      </c>
      <c r="E4584">
        <v>0</v>
      </c>
      <c r="F4584">
        <v>0</v>
      </c>
      <c r="G4584">
        <v>1050.53291614</v>
      </c>
      <c r="H4584">
        <v>-1901.6654850100001</v>
      </c>
      <c r="I4584">
        <v>0</v>
      </c>
      <c r="J4584">
        <v>0</v>
      </c>
      <c r="K4584">
        <v>3008.1639147300002</v>
      </c>
      <c r="L4584">
        <v>0</v>
      </c>
      <c r="M4584">
        <v>0</v>
      </c>
      <c r="N4584">
        <v>0</v>
      </c>
      <c r="O4584">
        <v>-2602.5713458599998</v>
      </c>
      <c r="P4584">
        <v>2853010</v>
      </c>
    </row>
    <row r="4585" spans="1:16" x14ac:dyDescent="0.25">
      <c r="A4585" s="10">
        <v>44434</v>
      </c>
      <c r="B4585">
        <v>15536</v>
      </c>
      <c r="C4585">
        <v>-15070.955</v>
      </c>
      <c r="D4585">
        <v>0</v>
      </c>
      <c r="E4585">
        <v>0</v>
      </c>
      <c r="F4585">
        <v>0</v>
      </c>
      <c r="G4585">
        <v>771.98492377000002</v>
      </c>
      <c r="H4585">
        <v>-9082.8685801200008</v>
      </c>
      <c r="I4585">
        <v>31268.785363200001</v>
      </c>
      <c r="J4585">
        <v>0</v>
      </c>
      <c r="K4585">
        <v>10140.534128290001</v>
      </c>
      <c r="L4585">
        <v>0</v>
      </c>
      <c r="M4585">
        <v>0</v>
      </c>
      <c r="N4585">
        <v>0</v>
      </c>
      <c r="O4585">
        <v>-2491.4808351399988</v>
      </c>
      <c r="P4585">
        <v>2868546</v>
      </c>
    </row>
    <row r="4586" spans="1:16" x14ac:dyDescent="0.25">
      <c r="A4586" s="10">
        <v>44435</v>
      </c>
      <c r="B4586">
        <v>29124</v>
      </c>
      <c r="C4586">
        <v>-0.92500000000000004</v>
      </c>
      <c r="D4586">
        <v>0</v>
      </c>
      <c r="E4586">
        <v>0</v>
      </c>
      <c r="F4586">
        <v>0</v>
      </c>
      <c r="G4586">
        <v>1106.90327738</v>
      </c>
      <c r="H4586">
        <v>28271.805839979999</v>
      </c>
      <c r="I4586">
        <v>0</v>
      </c>
      <c r="J4586">
        <v>0</v>
      </c>
      <c r="K4586">
        <v>2080.2892798399998</v>
      </c>
      <c r="L4586">
        <v>0</v>
      </c>
      <c r="M4586">
        <v>0</v>
      </c>
      <c r="N4586">
        <v>0</v>
      </c>
      <c r="O4586">
        <v>-2334.073397199998</v>
      </c>
      <c r="P4586">
        <v>2897670</v>
      </c>
    </row>
    <row r="4587" spans="1:16" x14ac:dyDescent="0.25">
      <c r="A4587" s="10">
        <v>44438</v>
      </c>
      <c r="B4587">
        <v>-40154</v>
      </c>
      <c r="C4587">
        <v>-5765.65</v>
      </c>
      <c r="D4587">
        <v>0</v>
      </c>
      <c r="E4587">
        <v>0</v>
      </c>
      <c r="F4587">
        <v>0</v>
      </c>
      <c r="G4587">
        <v>1824.0863154000001</v>
      </c>
      <c r="H4587">
        <v>-36297.465124260001</v>
      </c>
      <c r="I4587">
        <v>0</v>
      </c>
      <c r="J4587">
        <v>0</v>
      </c>
      <c r="K4587">
        <v>1878.7621019400001</v>
      </c>
      <c r="L4587">
        <v>0</v>
      </c>
      <c r="M4587">
        <v>0</v>
      </c>
      <c r="N4587">
        <v>0</v>
      </c>
      <c r="O4587">
        <v>-1793.7332930800039</v>
      </c>
      <c r="P4587">
        <v>2857516</v>
      </c>
    </row>
    <row r="4588" spans="1:16" x14ac:dyDescent="0.25">
      <c r="A4588" s="10">
        <v>44439</v>
      </c>
      <c r="B4588">
        <v>9316</v>
      </c>
      <c r="C4588">
        <v>-13487.4756</v>
      </c>
      <c r="D4588">
        <v>0</v>
      </c>
      <c r="E4588">
        <v>0</v>
      </c>
      <c r="F4588">
        <v>0</v>
      </c>
      <c r="G4588">
        <v>19364.68328248</v>
      </c>
      <c r="H4588">
        <v>14191.006848929999</v>
      </c>
      <c r="I4588">
        <v>-19592.77576602</v>
      </c>
      <c r="J4588">
        <v>0</v>
      </c>
      <c r="K4588">
        <v>13428.38903977</v>
      </c>
      <c r="L4588">
        <v>0</v>
      </c>
      <c r="M4588">
        <v>0</v>
      </c>
      <c r="N4588">
        <v>0</v>
      </c>
      <c r="O4588">
        <v>-4587.8278051600046</v>
      </c>
      <c r="P4588">
        <v>2866832</v>
      </c>
    </row>
    <row r="4589" spans="1:16" x14ac:dyDescent="0.25">
      <c r="A4589" s="10">
        <v>44440</v>
      </c>
      <c r="B4589">
        <v>83125</v>
      </c>
      <c r="C4589">
        <v>-8707.17</v>
      </c>
      <c r="D4589">
        <v>0</v>
      </c>
      <c r="E4589">
        <v>0</v>
      </c>
      <c r="F4589">
        <v>0</v>
      </c>
      <c r="G4589">
        <v>-237.71976866</v>
      </c>
      <c r="H4589">
        <v>91825.204196050006</v>
      </c>
      <c r="I4589">
        <v>0</v>
      </c>
      <c r="J4589">
        <v>0</v>
      </c>
      <c r="K4589">
        <v>3080.39234622</v>
      </c>
      <c r="L4589">
        <v>0</v>
      </c>
      <c r="M4589">
        <v>0</v>
      </c>
      <c r="N4589">
        <v>0</v>
      </c>
      <c r="O4589">
        <v>-2835.7067736100139</v>
      </c>
      <c r="P4589">
        <v>2949957</v>
      </c>
    </row>
    <row r="4590" spans="1:16" x14ac:dyDescent="0.25">
      <c r="A4590" s="10">
        <v>44441</v>
      </c>
      <c r="B4590">
        <v>29492</v>
      </c>
      <c r="C4590">
        <v>-7484.7550000000001</v>
      </c>
      <c r="D4590">
        <v>0</v>
      </c>
      <c r="E4590">
        <v>0</v>
      </c>
      <c r="F4590">
        <v>0</v>
      </c>
      <c r="G4590">
        <v>6666.3018456</v>
      </c>
      <c r="H4590">
        <v>4167.1354499900008</v>
      </c>
      <c r="I4590">
        <v>17555.935050190001</v>
      </c>
      <c r="J4590">
        <v>0</v>
      </c>
      <c r="K4590">
        <v>11749.10673263</v>
      </c>
      <c r="L4590">
        <v>0</v>
      </c>
      <c r="M4590">
        <v>0</v>
      </c>
      <c r="N4590">
        <v>0</v>
      </c>
      <c r="O4590">
        <v>-3161.724078409999</v>
      </c>
      <c r="P4590">
        <v>2979449</v>
      </c>
    </row>
    <row r="4591" spans="1:16" x14ac:dyDescent="0.25">
      <c r="A4591" s="10">
        <v>44442</v>
      </c>
      <c r="B4591">
        <v>-34145</v>
      </c>
      <c r="C4591">
        <v>-2.15</v>
      </c>
      <c r="D4591">
        <v>0</v>
      </c>
      <c r="E4591">
        <v>0</v>
      </c>
      <c r="F4591">
        <v>60000</v>
      </c>
      <c r="G4591">
        <v>-2149.9856365999999</v>
      </c>
      <c r="H4591">
        <v>-89967.711015010005</v>
      </c>
      <c r="I4591">
        <v>0</v>
      </c>
      <c r="J4591">
        <v>0</v>
      </c>
      <c r="K4591">
        <v>2122.30970957</v>
      </c>
      <c r="L4591">
        <v>0</v>
      </c>
      <c r="M4591">
        <v>0</v>
      </c>
      <c r="N4591">
        <v>0</v>
      </c>
      <c r="O4591">
        <v>-4147.4630579599907</v>
      </c>
      <c r="P4591">
        <v>2945304</v>
      </c>
    </row>
    <row r="4592" spans="1:16" x14ac:dyDescent="0.25">
      <c r="A4592" s="10">
        <v>44445</v>
      </c>
      <c r="B4592">
        <v>-39806</v>
      </c>
      <c r="C4592">
        <v>-5902.7025000000003</v>
      </c>
      <c r="D4592">
        <v>0</v>
      </c>
      <c r="E4592">
        <v>0</v>
      </c>
      <c r="F4592">
        <v>0</v>
      </c>
      <c r="G4592">
        <v>-7200.4421552200001</v>
      </c>
      <c r="H4592">
        <v>-25142.300235039998</v>
      </c>
      <c r="I4592">
        <v>0</v>
      </c>
      <c r="J4592">
        <v>0</v>
      </c>
      <c r="K4592">
        <v>1939.9077595399999</v>
      </c>
      <c r="L4592">
        <v>0</v>
      </c>
      <c r="M4592">
        <v>0</v>
      </c>
      <c r="N4592">
        <v>0</v>
      </c>
      <c r="O4592">
        <v>-3500.4628692799961</v>
      </c>
      <c r="P4592">
        <v>2905498</v>
      </c>
    </row>
    <row r="4593" spans="1:16" x14ac:dyDescent="0.25">
      <c r="A4593" s="10">
        <v>44446</v>
      </c>
      <c r="B4593">
        <v>12158</v>
      </c>
      <c r="C4593">
        <v>-9094.6679999999997</v>
      </c>
      <c r="D4593">
        <v>0</v>
      </c>
      <c r="E4593">
        <v>0</v>
      </c>
      <c r="F4593">
        <v>0</v>
      </c>
      <c r="G4593">
        <v>9215.1317865100009</v>
      </c>
      <c r="H4593">
        <v>32743.714994990001</v>
      </c>
      <c r="I4593">
        <v>-27954.089750669998</v>
      </c>
      <c r="J4593">
        <v>0</v>
      </c>
      <c r="K4593">
        <v>10514.7715933</v>
      </c>
      <c r="L4593">
        <v>0</v>
      </c>
      <c r="M4593">
        <v>0</v>
      </c>
      <c r="N4593">
        <v>0</v>
      </c>
      <c r="O4593">
        <v>-3266.8606241300058</v>
      </c>
      <c r="P4593">
        <v>2917656</v>
      </c>
    </row>
    <row r="4594" spans="1:16" x14ac:dyDescent="0.25">
      <c r="A4594" s="10">
        <v>44447</v>
      </c>
      <c r="B4594">
        <v>42273</v>
      </c>
      <c r="C4594">
        <v>-9669.9860000000008</v>
      </c>
      <c r="D4594">
        <v>0</v>
      </c>
      <c r="E4594">
        <v>0</v>
      </c>
      <c r="F4594">
        <v>80000</v>
      </c>
      <c r="G4594">
        <v>282.17540824000002</v>
      </c>
      <c r="H4594">
        <v>-28391.616450009999</v>
      </c>
      <c r="I4594">
        <v>0</v>
      </c>
      <c r="J4594">
        <v>0</v>
      </c>
      <c r="K4594">
        <v>2994.0700071400001</v>
      </c>
      <c r="L4594">
        <v>0</v>
      </c>
      <c r="M4594">
        <v>0</v>
      </c>
      <c r="N4594">
        <v>0</v>
      </c>
      <c r="O4594">
        <v>-2941.6429653699961</v>
      </c>
      <c r="P4594">
        <v>2959929</v>
      </c>
    </row>
    <row r="4595" spans="1:16" x14ac:dyDescent="0.25">
      <c r="A4595" s="10">
        <v>44448</v>
      </c>
      <c r="B4595">
        <v>12688</v>
      </c>
      <c r="C4595">
        <v>-9203.5589999999993</v>
      </c>
      <c r="D4595">
        <v>0</v>
      </c>
      <c r="E4595">
        <v>0</v>
      </c>
      <c r="F4595">
        <v>0</v>
      </c>
      <c r="G4595">
        <v>1052.8352365000001</v>
      </c>
      <c r="H4595">
        <v>-7541.9467200199997</v>
      </c>
      <c r="I4595">
        <v>23552.079653370001</v>
      </c>
      <c r="J4595">
        <v>0</v>
      </c>
      <c r="K4595">
        <v>8962.6721558699992</v>
      </c>
      <c r="L4595">
        <v>0</v>
      </c>
      <c r="M4595">
        <v>0</v>
      </c>
      <c r="N4595">
        <v>0</v>
      </c>
      <c r="O4595">
        <v>-4134.0813257200016</v>
      </c>
      <c r="P4595">
        <v>2972617</v>
      </c>
    </row>
    <row r="4596" spans="1:16" x14ac:dyDescent="0.25">
      <c r="A4596" s="10">
        <v>44449</v>
      </c>
      <c r="B4596">
        <v>-666</v>
      </c>
      <c r="C4596">
        <v>735.49</v>
      </c>
      <c r="D4596">
        <v>0</v>
      </c>
      <c r="E4596">
        <v>0</v>
      </c>
      <c r="F4596">
        <v>0</v>
      </c>
      <c r="G4596">
        <v>-1077.6193870899999</v>
      </c>
      <c r="H4596">
        <v>70.836929970000256</v>
      </c>
      <c r="I4596">
        <v>0</v>
      </c>
      <c r="J4596">
        <v>0</v>
      </c>
      <c r="K4596">
        <v>2746.2655284500001</v>
      </c>
      <c r="L4596">
        <v>0</v>
      </c>
      <c r="M4596">
        <v>0</v>
      </c>
      <c r="N4596">
        <v>0</v>
      </c>
      <c r="O4596">
        <v>-3140.97307133</v>
      </c>
      <c r="P4596">
        <v>2971951</v>
      </c>
    </row>
    <row r="4597" spans="1:16" x14ac:dyDescent="0.25">
      <c r="A4597" s="10">
        <v>44452</v>
      </c>
      <c r="B4597">
        <v>-46083</v>
      </c>
      <c r="C4597">
        <v>1525.124</v>
      </c>
      <c r="D4597">
        <v>0</v>
      </c>
      <c r="E4597">
        <v>0</v>
      </c>
      <c r="F4597">
        <v>0</v>
      </c>
      <c r="G4597">
        <v>-7318.1627019300067</v>
      </c>
      <c r="H4597">
        <v>-47360.609415070001</v>
      </c>
      <c r="I4597">
        <v>0</v>
      </c>
      <c r="J4597">
        <v>0</v>
      </c>
      <c r="K4597">
        <v>2264.4483943</v>
      </c>
      <c r="L4597">
        <v>0</v>
      </c>
      <c r="M4597">
        <v>0</v>
      </c>
      <c r="N4597">
        <v>0</v>
      </c>
      <c r="O4597">
        <v>4806.1997227000029</v>
      </c>
      <c r="P4597">
        <v>2925868</v>
      </c>
    </row>
    <row r="4598" spans="1:16" x14ac:dyDescent="0.25">
      <c r="A4598" s="10">
        <v>44453</v>
      </c>
      <c r="B4598">
        <v>-65324</v>
      </c>
      <c r="C4598">
        <v>4459.3549999999996</v>
      </c>
      <c r="D4598">
        <v>-15000</v>
      </c>
      <c r="E4598">
        <v>0</v>
      </c>
      <c r="F4598">
        <v>0</v>
      </c>
      <c r="G4598">
        <v>817.77073957000005</v>
      </c>
      <c r="H4598">
        <v>25363.11905999</v>
      </c>
      <c r="I4598">
        <v>-87193.839086270003</v>
      </c>
      <c r="J4598">
        <v>0</v>
      </c>
      <c r="K4598">
        <v>8432.7891677400003</v>
      </c>
      <c r="L4598">
        <v>0</v>
      </c>
      <c r="M4598">
        <v>0</v>
      </c>
      <c r="N4598">
        <v>0</v>
      </c>
      <c r="O4598">
        <v>-2203.194881029995</v>
      </c>
      <c r="P4598">
        <v>2860544</v>
      </c>
    </row>
    <row r="4599" spans="1:16" x14ac:dyDescent="0.25">
      <c r="A4599" s="10">
        <v>44454</v>
      </c>
      <c r="B4599">
        <v>50033</v>
      </c>
      <c r="C4599">
        <v>1525.6320000000001</v>
      </c>
      <c r="D4599">
        <v>0</v>
      </c>
      <c r="E4599">
        <v>0</v>
      </c>
      <c r="F4599">
        <v>60000</v>
      </c>
      <c r="G4599">
        <v>585.33034405999751</v>
      </c>
      <c r="H4599">
        <v>-11877.43532635</v>
      </c>
      <c r="I4599">
        <v>-90.000000579999991</v>
      </c>
      <c r="J4599">
        <v>0</v>
      </c>
      <c r="K4599">
        <v>3142.5975887200002</v>
      </c>
      <c r="L4599">
        <v>0</v>
      </c>
      <c r="M4599">
        <v>0</v>
      </c>
      <c r="N4599">
        <v>0</v>
      </c>
      <c r="O4599">
        <v>-3253.1246058499892</v>
      </c>
      <c r="P4599">
        <v>2910577</v>
      </c>
    </row>
    <row r="4600" spans="1:16" x14ac:dyDescent="0.25">
      <c r="A4600" s="10">
        <v>44455</v>
      </c>
      <c r="B4600">
        <v>-21618</v>
      </c>
      <c r="C4600">
        <v>-0.02</v>
      </c>
      <c r="D4600">
        <v>0</v>
      </c>
      <c r="E4600">
        <v>0</v>
      </c>
      <c r="F4600">
        <v>0</v>
      </c>
      <c r="G4600">
        <v>-6488.0166850899986</v>
      </c>
      <c r="H4600">
        <v>-48309.334649529999</v>
      </c>
      <c r="I4600">
        <v>24785.769837060001</v>
      </c>
      <c r="J4600">
        <v>0</v>
      </c>
      <c r="K4600">
        <v>9298.7794092200002</v>
      </c>
      <c r="L4600">
        <v>0</v>
      </c>
      <c r="M4600">
        <v>0</v>
      </c>
      <c r="N4600">
        <v>0</v>
      </c>
      <c r="O4600">
        <v>-905.17791166000097</v>
      </c>
      <c r="P4600">
        <v>2888959</v>
      </c>
    </row>
    <row r="4601" spans="1:16" x14ac:dyDescent="0.25">
      <c r="A4601" s="10">
        <v>44456</v>
      </c>
      <c r="B4601">
        <v>55182</v>
      </c>
      <c r="C4601">
        <v>-14276.5524</v>
      </c>
      <c r="D4601">
        <v>0</v>
      </c>
      <c r="E4601">
        <v>0</v>
      </c>
      <c r="F4601">
        <v>0</v>
      </c>
      <c r="G4601">
        <v>1707.3183312799999</v>
      </c>
      <c r="H4601">
        <v>66175.685099969996</v>
      </c>
      <c r="I4601">
        <v>0</v>
      </c>
      <c r="J4601">
        <v>0</v>
      </c>
      <c r="K4601">
        <v>2610.2455527900001</v>
      </c>
      <c r="L4601">
        <v>0</v>
      </c>
      <c r="M4601">
        <v>0</v>
      </c>
      <c r="N4601">
        <v>0</v>
      </c>
      <c r="O4601">
        <v>-1034.696584039993</v>
      </c>
      <c r="P4601">
        <v>2944141</v>
      </c>
    </row>
    <row r="4602" spans="1:16" x14ac:dyDescent="0.25">
      <c r="A4602" s="10">
        <v>44459</v>
      </c>
      <c r="B4602">
        <v>-68655</v>
      </c>
      <c r="C4602">
        <v>-9367.36</v>
      </c>
      <c r="D4602">
        <v>420400.65621125</v>
      </c>
      <c r="E4602">
        <v>0</v>
      </c>
      <c r="F4602">
        <v>0</v>
      </c>
      <c r="G4602">
        <v>-442851.86598996999</v>
      </c>
      <c r="H4602">
        <v>-36278.127990039997</v>
      </c>
      <c r="I4602">
        <v>0</v>
      </c>
      <c r="J4602">
        <v>0</v>
      </c>
      <c r="K4602">
        <v>2573.25948079</v>
      </c>
      <c r="L4602">
        <v>0</v>
      </c>
      <c r="M4602">
        <v>0</v>
      </c>
      <c r="N4602">
        <v>0</v>
      </c>
      <c r="O4602">
        <v>-3131.5617120299721</v>
      </c>
      <c r="P4602">
        <v>2875486</v>
      </c>
    </row>
    <row r="4603" spans="1:16" x14ac:dyDescent="0.25">
      <c r="A4603" s="10">
        <v>44460</v>
      </c>
      <c r="B4603">
        <v>-3645</v>
      </c>
      <c r="C4603">
        <v>-3833.9324999999999</v>
      </c>
      <c r="D4603">
        <v>0</v>
      </c>
      <c r="E4603">
        <v>0</v>
      </c>
      <c r="F4603">
        <v>0</v>
      </c>
      <c r="G4603">
        <v>1493.24724393</v>
      </c>
      <c r="H4603">
        <v>32803.620299970004</v>
      </c>
      <c r="I4603">
        <v>-44017.879391180002</v>
      </c>
      <c r="J4603">
        <v>0</v>
      </c>
      <c r="K4603">
        <v>12239.54167337</v>
      </c>
      <c r="L4603">
        <v>0</v>
      </c>
      <c r="M4603">
        <v>0</v>
      </c>
      <c r="N4603">
        <v>0</v>
      </c>
      <c r="O4603">
        <v>-2329.5973260899991</v>
      </c>
      <c r="P4603">
        <v>2871841</v>
      </c>
    </row>
    <row r="4604" spans="1:16" x14ac:dyDescent="0.25">
      <c r="A4604" s="10">
        <v>44461</v>
      </c>
      <c r="B4604">
        <v>18762</v>
      </c>
      <c r="C4604">
        <v>-83.088999999999999</v>
      </c>
      <c r="D4604">
        <v>0</v>
      </c>
      <c r="E4604">
        <v>0</v>
      </c>
      <c r="F4604">
        <v>50000</v>
      </c>
      <c r="G4604">
        <v>925.10068967999996</v>
      </c>
      <c r="H4604">
        <v>-32695.31226418</v>
      </c>
      <c r="I4604">
        <v>0</v>
      </c>
      <c r="J4604">
        <v>0</v>
      </c>
      <c r="K4604">
        <v>3185.75026389</v>
      </c>
      <c r="L4604">
        <v>0</v>
      </c>
      <c r="M4604">
        <v>0</v>
      </c>
      <c r="N4604">
        <v>0</v>
      </c>
      <c r="O4604">
        <v>-2570.44968939</v>
      </c>
      <c r="P4604">
        <v>2890603</v>
      </c>
    </row>
    <row r="4605" spans="1:16" x14ac:dyDescent="0.25">
      <c r="A4605" s="10">
        <v>44462</v>
      </c>
      <c r="B4605">
        <v>57184</v>
      </c>
      <c r="C4605">
        <v>-0.16</v>
      </c>
      <c r="D4605">
        <v>0</v>
      </c>
      <c r="E4605">
        <v>-427400.65621099999</v>
      </c>
      <c r="F4605">
        <v>0</v>
      </c>
      <c r="G4605">
        <v>428491.46052642999</v>
      </c>
      <c r="H4605">
        <v>21519.996974990001</v>
      </c>
      <c r="I4605">
        <v>26975.303684179991</v>
      </c>
      <c r="J4605">
        <v>0</v>
      </c>
      <c r="K4605">
        <v>9402.3365335599992</v>
      </c>
      <c r="L4605">
        <v>0</v>
      </c>
      <c r="M4605">
        <v>0</v>
      </c>
      <c r="N4605">
        <v>0</v>
      </c>
      <c r="O4605">
        <v>-1804.281508160042</v>
      </c>
      <c r="P4605">
        <v>2947787</v>
      </c>
    </row>
    <row r="4606" spans="1:16" x14ac:dyDescent="0.25">
      <c r="A4606" s="10">
        <v>44463</v>
      </c>
      <c r="B4606">
        <v>13446</v>
      </c>
      <c r="C4606">
        <v>371.29840000000002</v>
      </c>
      <c r="D4606">
        <v>0</v>
      </c>
      <c r="E4606">
        <v>0</v>
      </c>
      <c r="F4606">
        <v>0</v>
      </c>
      <c r="G4606">
        <v>1131.1946429300001</v>
      </c>
      <c r="H4606">
        <v>12530.265839989999</v>
      </c>
      <c r="I4606">
        <v>0</v>
      </c>
      <c r="J4606">
        <v>0</v>
      </c>
      <c r="K4606">
        <v>2266.2790790899999</v>
      </c>
      <c r="L4606">
        <v>0</v>
      </c>
      <c r="M4606">
        <v>0</v>
      </c>
      <c r="N4606">
        <v>0</v>
      </c>
      <c r="O4606">
        <v>-2853.0379620100011</v>
      </c>
      <c r="P4606">
        <v>2961233</v>
      </c>
    </row>
    <row r="4607" spans="1:16" x14ac:dyDescent="0.25">
      <c r="A4607" s="10">
        <v>44466</v>
      </c>
      <c r="B4607">
        <v>-18251</v>
      </c>
      <c r="C4607">
        <v>1005.6643</v>
      </c>
      <c r="D4607">
        <v>0</v>
      </c>
      <c r="E4607">
        <v>0</v>
      </c>
      <c r="F4607">
        <v>0</v>
      </c>
      <c r="G4607">
        <v>8286.669589510002</v>
      </c>
      <c r="H4607">
        <v>-26350.026165070001</v>
      </c>
      <c r="I4607">
        <v>0</v>
      </c>
      <c r="J4607">
        <v>0</v>
      </c>
      <c r="K4607">
        <v>2829.3941273400001</v>
      </c>
      <c r="L4607">
        <v>0</v>
      </c>
      <c r="M4607">
        <v>0</v>
      </c>
      <c r="N4607">
        <v>0</v>
      </c>
      <c r="O4607">
        <v>-4022.7018517800011</v>
      </c>
      <c r="P4607">
        <v>2942982</v>
      </c>
    </row>
    <row r="4608" spans="1:16" x14ac:dyDescent="0.25">
      <c r="A4608" s="10">
        <v>44467</v>
      </c>
      <c r="B4608">
        <v>21533</v>
      </c>
      <c r="C4608">
        <v>-4.6900000000000004</v>
      </c>
      <c r="D4608">
        <v>-9500</v>
      </c>
      <c r="E4608">
        <v>0</v>
      </c>
      <c r="F4608">
        <v>0</v>
      </c>
      <c r="G4608">
        <v>9730.8749609000006</v>
      </c>
      <c r="H4608">
        <v>-17637.958305020002</v>
      </c>
      <c r="I4608">
        <v>29309.525765980001</v>
      </c>
      <c r="J4608">
        <v>0</v>
      </c>
      <c r="K4608">
        <v>13044.34587994</v>
      </c>
      <c r="L4608">
        <v>0</v>
      </c>
      <c r="M4608">
        <v>0</v>
      </c>
      <c r="N4608">
        <v>0</v>
      </c>
      <c r="O4608">
        <v>-3409.0983018000011</v>
      </c>
      <c r="P4608">
        <v>2964515</v>
      </c>
    </row>
    <row r="4609" spans="1:16" x14ac:dyDescent="0.25">
      <c r="A4609" s="10">
        <v>44468</v>
      </c>
      <c r="B4609">
        <v>-20144</v>
      </c>
      <c r="C4609">
        <v>-6517.73</v>
      </c>
      <c r="D4609">
        <v>0</v>
      </c>
      <c r="E4609">
        <v>0</v>
      </c>
      <c r="F4609">
        <v>0</v>
      </c>
      <c r="G4609">
        <v>-1320.8452200900001</v>
      </c>
      <c r="H4609">
        <v>-10216.69672502</v>
      </c>
      <c r="I4609">
        <v>0</v>
      </c>
      <c r="J4609">
        <v>0</v>
      </c>
      <c r="K4609">
        <v>3363.3978629100002</v>
      </c>
      <c r="L4609">
        <v>0</v>
      </c>
      <c r="M4609">
        <v>0</v>
      </c>
      <c r="N4609">
        <v>0</v>
      </c>
      <c r="O4609">
        <v>-5452.1259178000018</v>
      </c>
      <c r="P4609">
        <v>2944371</v>
      </c>
    </row>
    <row r="4610" spans="1:16" x14ac:dyDescent="0.25">
      <c r="A4610" s="10">
        <v>44469</v>
      </c>
      <c r="B4610">
        <v>-4034</v>
      </c>
      <c r="C4610">
        <v>-19644.519400000001</v>
      </c>
      <c r="D4610">
        <v>0</v>
      </c>
      <c r="E4610">
        <v>0</v>
      </c>
      <c r="F4610">
        <v>0</v>
      </c>
      <c r="G4610">
        <v>-19282.987055599999</v>
      </c>
      <c r="H4610">
        <v>-84652.798098080006</v>
      </c>
      <c r="I4610">
        <v>115011.2540381</v>
      </c>
      <c r="J4610">
        <v>0</v>
      </c>
      <c r="K4610">
        <v>11372.06513732</v>
      </c>
      <c r="L4610">
        <v>0</v>
      </c>
      <c r="M4610">
        <v>0</v>
      </c>
      <c r="N4610">
        <v>0</v>
      </c>
      <c r="O4610">
        <v>-6837.0146217399979</v>
      </c>
      <c r="P4610">
        <v>2940337</v>
      </c>
    </row>
    <row r="4611" spans="1:16" x14ac:dyDescent="0.25">
      <c r="A4611" s="10">
        <v>44470</v>
      </c>
      <c r="B4611">
        <v>2701</v>
      </c>
      <c r="C4611">
        <v>-5780.9250000000002</v>
      </c>
      <c r="D4611">
        <v>0</v>
      </c>
      <c r="E4611">
        <v>150000</v>
      </c>
      <c r="F4611">
        <v>0</v>
      </c>
      <c r="G4611">
        <v>-149905.96398716001</v>
      </c>
      <c r="H4611">
        <v>16428.089208019999</v>
      </c>
      <c r="I4611">
        <v>0</v>
      </c>
      <c r="J4611">
        <v>0</v>
      </c>
      <c r="K4611">
        <v>2184.00447257</v>
      </c>
      <c r="L4611">
        <v>0</v>
      </c>
      <c r="M4611">
        <v>0</v>
      </c>
      <c r="N4611">
        <v>0</v>
      </c>
      <c r="O4611">
        <v>-10224.20469343002</v>
      </c>
      <c r="P4611">
        <v>2943038</v>
      </c>
    </row>
    <row r="4612" spans="1:16" x14ac:dyDescent="0.25">
      <c r="A4612" s="10">
        <v>44473</v>
      </c>
      <c r="B4612">
        <v>94019</v>
      </c>
      <c r="C4612">
        <v>-5415.7503999999999</v>
      </c>
      <c r="D4612">
        <v>0</v>
      </c>
      <c r="E4612">
        <v>0</v>
      </c>
      <c r="F4612">
        <v>0</v>
      </c>
      <c r="G4612">
        <v>162927.78933437</v>
      </c>
      <c r="H4612">
        <v>-60031.674585009998</v>
      </c>
      <c r="I4612">
        <v>0</v>
      </c>
      <c r="J4612">
        <v>0</v>
      </c>
      <c r="K4612">
        <v>3035.08659029</v>
      </c>
      <c r="L4612">
        <v>0</v>
      </c>
      <c r="M4612">
        <v>0</v>
      </c>
      <c r="N4612">
        <v>0</v>
      </c>
      <c r="O4612">
        <v>-6496.4509396499934</v>
      </c>
      <c r="P4612">
        <v>3037057</v>
      </c>
    </row>
    <row r="4613" spans="1:16" x14ac:dyDescent="0.25">
      <c r="A4613" s="10">
        <v>44474</v>
      </c>
      <c r="B4613">
        <v>37698</v>
      </c>
      <c r="C4613">
        <v>-10388.299999999999</v>
      </c>
      <c r="D4613">
        <v>0</v>
      </c>
      <c r="E4613">
        <v>0</v>
      </c>
      <c r="F4613">
        <v>0</v>
      </c>
      <c r="G4613">
        <v>-3599.7258804399999</v>
      </c>
      <c r="H4613">
        <v>11798.284229970001</v>
      </c>
      <c r="I4613">
        <v>34677.706132109997</v>
      </c>
      <c r="J4613">
        <v>0</v>
      </c>
      <c r="K4613">
        <v>10957.750603889999</v>
      </c>
      <c r="L4613">
        <v>0</v>
      </c>
      <c r="M4613">
        <v>0</v>
      </c>
      <c r="N4613">
        <v>0</v>
      </c>
      <c r="O4613">
        <v>-5747.7150855299988</v>
      </c>
      <c r="P4613">
        <v>3074755</v>
      </c>
    </row>
    <row r="4614" spans="1:16" x14ac:dyDescent="0.25">
      <c r="A4614" s="10">
        <v>44475</v>
      </c>
      <c r="B4614">
        <v>-1824</v>
      </c>
      <c r="C4614">
        <v>9979.9979999999996</v>
      </c>
      <c r="D4614">
        <v>0</v>
      </c>
      <c r="E4614">
        <v>0</v>
      </c>
      <c r="F4614">
        <v>0</v>
      </c>
      <c r="G4614">
        <v>163.20796458999999</v>
      </c>
      <c r="H4614">
        <v>-7874.2681200400002</v>
      </c>
      <c r="I4614">
        <v>0</v>
      </c>
      <c r="J4614">
        <v>0</v>
      </c>
      <c r="K4614">
        <v>3090.9277747199999</v>
      </c>
      <c r="L4614">
        <v>0</v>
      </c>
      <c r="M4614">
        <v>0</v>
      </c>
      <c r="N4614">
        <v>0</v>
      </c>
      <c r="O4614">
        <v>-7183.86561927</v>
      </c>
      <c r="P4614">
        <v>3072931</v>
      </c>
    </row>
    <row r="4615" spans="1:16" x14ac:dyDescent="0.25">
      <c r="A4615" s="10">
        <v>44476</v>
      </c>
      <c r="B4615">
        <v>-154456</v>
      </c>
      <c r="C4615">
        <v>7024.44</v>
      </c>
      <c r="D4615">
        <v>0</v>
      </c>
      <c r="E4615">
        <v>-75000</v>
      </c>
      <c r="F4615">
        <v>0</v>
      </c>
      <c r="G4615">
        <v>-33304.359831250003</v>
      </c>
      <c r="H4615">
        <v>86153.011154940003</v>
      </c>
      <c r="I4615">
        <v>-143646.80822789</v>
      </c>
      <c r="J4615">
        <v>0</v>
      </c>
      <c r="K4615">
        <v>8683.2769377299992</v>
      </c>
      <c r="L4615">
        <v>0</v>
      </c>
      <c r="M4615">
        <v>0</v>
      </c>
      <c r="N4615">
        <v>0</v>
      </c>
      <c r="O4615">
        <v>-4365.5600335299969</v>
      </c>
      <c r="P4615">
        <v>2918475</v>
      </c>
    </row>
    <row r="4616" spans="1:16" x14ac:dyDescent="0.25">
      <c r="A4616" s="10">
        <v>44481</v>
      </c>
      <c r="B4616">
        <v>296596</v>
      </c>
      <c r="C4616">
        <v>9899.0789999999997</v>
      </c>
      <c r="D4616">
        <v>-21000</v>
      </c>
      <c r="E4616">
        <v>0</v>
      </c>
      <c r="F4616">
        <v>0</v>
      </c>
      <c r="G4616">
        <v>21796.929923840002</v>
      </c>
      <c r="H4616">
        <v>345455.09153999999</v>
      </c>
      <c r="I4616">
        <v>-77631.653924069993</v>
      </c>
      <c r="J4616">
        <v>0</v>
      </c>
      <c r="K4616">
        <v>18669.36277593</v>
      </c>
      <c r="L4616">
        <v>0</v>
      </c>
      <c r="M4616">
        <v>0</v>
      </c>
      <c r="N4616">
        <v>0</v>
      </c>
      <c r="O4616">
        <v>-592.80931569996756</v>
      </c>
      <c r="P4616">
        <v>3215071</v>
      </c>
    </row>
    <row r="4617" spans="1:16" x14ac:dyDescent="0.25">
      <c r="A4617" s="10">
        <v>44482</v>
      </c>
      <c r="B4617">
        <v>-35971</v>
      </c>
      <c r="C4617">
        <v>12190.219833519999</v>
      </c>
      <c r="D4617">
        <v>0</v>
      </c>
      <c r="E4617">
        <v>0</v>
      </c>
      <c r="F4617">
        <v>17712.332040000008</v>
      </c>
      <c r="G4617">
        <v>-16906.999471620002</v>
      </c>
      <c r="H4617">
        <v>-49355.849610019999</v>
      </c>
      <c r="I4617">
        <v>0</v>
      </c>
      <c r="J4617">
        <v>0</v>
      </c>
      <c r="K4617">
        <v>3284.4270850900002</v>
      </c>
      <c r="L4617">
        <v>0</v>
      </c>
      <c r="M4617">
        <v>0</v>
      </c>
      <c r="N4617">
        <v>0</v>
      </c>
      <c r="O4617">
        <v>-2895.1298769700079</v>
      </c>
      <c r="P4617">
        <v>3179100</v>
      </c>
    </row>
    <row r="4618" spans="1:16" x14ac:dyDescent="0.25">
      <c r="A4618" s="10">
        <v>44483</v>
      </c>
      <c r="B4618">
        <v>-842</v>
      </c>
      <c r="C4618">
        <v>10673.497499999999</v>
      </c>
      <c r="D4618">
        <v>0</v>
      </c>
      <c r="E4618">
        <v>0</v>
      </c>
      <c r="F4618">
        <v>0</v>
      </c>
      <c r="G4618">
        <v>18343.009513429999</v>
      </c>
      <c r="H4618">
        <v>-65829.371220009998</v>
      </c>
      <c r="I4618">
        <v>29150.25</v>
      </c>
      <c r="J4618">
        <v>0</v>
      </c>
      <c r="K4618">
        <v>8752.7295535899993</v>
      </c>
      <c r="L4618">
        <v>0</v>
      </c>
      <c r="M4618">
        <v>0</v>
      </c>
      <c r="N4618">
        <v>0</v>
      </c>
      <c r="O4618">
        <v>-1932.115347010011</v>
      </c>
      <c r="P4618">
        <v>3178258</v>
      </c>
    </row>
    <row r="4619" spans="1:16" x14ac:dyDescent="0.25">
      <c r="A4619" s="10">
        <v>44484</v>
      </c>
      <c r="B4619">
        <v>-101026</v>
      </c>
      <c r="C4619">
        <v>3124.17</v>
      </c>
      <c r="D4619">
        <v>0</v>
      </c>
      <c r="E4619">
        <v>70000</v>
      </c>
      <c r="F4619">
        <v>0</v>
      </c>
      <c r="G4619">
        <v>923.16136263000101</v>
      </c>
      <c r="H4619">
        <v>-173489.26140002999</v>
      </c>
      <c r="I4619">
        <v>0</v>
      </c>
      <c r="J4619">
        <v>0</v>
      </c>
      <c r="K4619">
        <v>183.1312782</v>
      </c>
      <c r="L4619">
        <v>0</v>
      </c>
      <c r="M4619">
        <v>0</v>
      </c>
      <c r="N4619">
        <v>0</v>
      </c>
      <c r="O4619">
        <v>-1767.2012408000301</v>
      </c>
      <c r="P4619">
        <v>3077232</v>
      </c>
    </row>
    <row r="4620" spans="1:16" x14ac:dyDescent="0.25">
      <c r="A4620" s="10">
        <v>44487</v>
      </c>
      <c r="B4620">
        <v>-153669</v>
      </c>
      <c r="C4620">
        <v>11664.225</v>
      </c>
      <c r="D4620">
        <v>0</v>
      </c>
      <c r="E4620">
        <v>0</v>
      </c>
      <c r="F4620">
        <v>0</v>
      </c>
      <c r="G4620">
        <v>-40017.193968480002</v>
      </c>
      <c r="H4620">
        <v>-124999.63375512</v>
      </c>
      <c r="I4620">
        <v>0</v>
      </c>
      <c r="J4620">
        <v>0</v>
      </c>
      <c r="K4620">
        <v>377.12532107999999</v>
      </c>
      <c r="L4620">
        <v>0</v>
      </c>
      <c r="M4620">
        <v>0</v>
      </c>
      <c r="N4620">
        <v>0</v>
      </c>
      <c r="O4620">
        <v>-693.52259748001234</v>
      </c>
      <c r="P4620">
        <v>2923563</v>
      </c>
    </row>
    <row r="4621" spans="1:16" x14ac:dyDescent="0.25">
      <c r="A4621" s="10">
        <v>44488</v>
      </c>
      <c r="B4621">
        <v>135089</v>
      </c>
      <c r="C4621">
        <v>6304.5569999999998</v>
      </c>
      <c r="D4621">
        <v>0</v>
      </c>
      <c r="E4621">
        <v>0</v>
      </c>
      <c r="F4621">
        <v>0</v>
      </c>
      <c r="G4621">
        <v>-4122.6557718200002</v>
      </c>
      <c r="H4621">
        <v>149881.32405</v>
      </c>
      <c r="I4621">
        <v>-32656.39312868</v>
      </c>
      <c r="J4621">
        <v>0</v>
      </c>
      <c r="K4621">
        <v>16021.185486570001</v>
      </c>
      <c r="L4621">
        <v>0</v>
      </c>
      <c r="M4621">
        <v>0</v>
      </c>
      <c r="N4621">
        <v>0</v>
      </c>
      <c r="O4621">
        <v>-339.01763607002789</v>
      </c>
      <c r="P4621">
        <v>3058652</v>
      </c>
    </row>
    <row r="4622" spans="1:16" x14ac:dyDescent="0.25">
      <c r="A4622" s="10">
        <v>44489</v>
      </c>
      <c r="B4622">
        <v>-52018</v>
      </c>
      <c r="C4622">
        <v>54.631500000000003</v>
      </c>
      <c r="D4622">
        <v>0</v>
      </c>
      <c r="E4622">
        <v>0</v>
      </c>
      <c r="F4622">
        <v>0</v>
      </c>
      <c r="G4622">
        <v>1053.3666139500001</v>
      </c>
      <c r="H4622">
        <v>-55065.655980030002</v>
      </c>
      <c r="I4622">
        <v>0</v>
      </c>
      <c r="J4622">
        <v>0</v>
      </c>
      <c r="K4622">
        <v>3325.8953809599998</v>
      </c>
      <c r="L4622">
        <v>0</v>
      </c>
      <c r="M4622">
        <v>0</v>
      </c>
      <c r="N4622">
        <v>0</v>
      </c>
      <c r="O4622">
        <v>-1386.2375148799979</v>
      </c>
      <c r="P4622">
        <v>3006634</v>
      </c>
    </row>
    <row r="4623" spans="1:16" x14ac:dyDescent="0.25">
      <c r="A4623" s="10">
        <v>44490</v>
      </c>
      <c r="B4623">
        <v>-33698</v>
      </c>
      <c r="C4623">
        <v>198.72</v>
      </c>
      <c r="D4623">
        <v>0</v>
      </c>
      <c r="E4623">
        <v>0</v>
      </c>
      <c r="F4623">
        <v>0</v>
      </c>
      <c r="G4623">
        <v>1261.5248275399999</v>
      </c>
      <c r="H4623">
        <v>-24037.33158002</v>
      </c>
      <c r="I4623">
        <v>-18408.895175090001</v>
      </c>
      <c r="J4623">
        <v>0</v>
      </c>
      <c r="K4623">
        <v>8558.0497368799988</v>
      </c>
      <c r="L4623">
        <v>0</v>
      </c>
      <c r="M4623">
        <v>0</v>
      </c>
      <c r="N4623">
        <v>0</v>
      </c>
      <c r="O4623">
        <v>-1270.06780931</v>
      </c>
      <c r="P4623">
        <v>2972936</v>
      </c>
    </row>
    <row r="4624" spans="1:16" x14ac:dyDescent="0.25">
      <c r="A4624" s="10">
        <v>44491</v>
      </c>
      <c r="B4624">
        <v>-7295</v>
      </c>
      <c r="C4624">
        <v>450.2276</v>
      </c>
      <c r="D4624">
        <v>0</v>
      </c>
      <c r="E4624">
        <v>95000</v>
      </c>
      <c r="F4624">
        <v>0</v>
      </c>
      <c r="G4624">
        <v>-93894.655827969997</v>
      </c>
      <c r="H4624">
        <v>-7949.4777000499998</v>
      </c>
      <c r="I4624">
        <v>0</v>
      </c>
      <c r="J4624">
        <v>0</v>
      </c>
      <c r="K4624">
        <v>1778.06551264</v>
      </c>
      <c r="L4624">
        <v>0</v>
      </c>
      <c r="M4624">
        <v>0</v>
      </c>
      <c r="N4624">
        <v>0</v>
      </c>
      <c r="O4624">
        <v>-2679.159584619998</v>
      </c>
      <c r="P4624">
        <v>2965641</v>
      </c>
    </row>
    <row r="4625" spans="1:16" x14ac:dyDescent="0.25">
      <c r="A4625" s="10">
        <v>44494</v>
      </c>
      <c r="B4625">
        <v>-47114</v>
      </c>
      <c r="C4625">
        <v>2387.42</v>
      </c>
      <c r="D4625">
        <v>0</v>
      </c>
      <c r="E4625">
        <v>0</v>
      </c>
      <c r="F4625">
        <v>0</v>
      </c>
      <c r="G4625">
        <v>902.362591150002</v>
      </c>
      <c r="H4625">
        <v>-50578.005285040002</v>
      </c>
      <c r="I4625">
        <v>0</v>
      </c>
      <c r="J4625">
        <v>0</v>
      </c>
      <c r="K4625">
        <v>1821.9271634700001</v>
      </c>
      <c r="L4625">
        <v>0</v>
      </c>
      <c r="M4625">
        <v>0</v>
      </c>
      <c r="N4625">
        <v>0</v>
      </c>
      <c r="O4625">
        <v>-1647.70446958</v>
      </c>
      <c r="P4625">
        <v>2918527</v>
      </c>
    </row>
    <row r="4626" spans="1:16" x14ac:dyDescent="0.25">
      <c r="A4626" s="10">
        <v>44495</v>
      </c>
      <c r="B4626">
        <v>21259</v>
      </c>
      <c r="C4626">
        <v>2089.67</v>
      </c>
      <c r="D4626">
        <v>0</v>
      </c>
      <c r="E4626">
        <v>0</v>
      </c>
      <c r="F4626">
        <v>0</v>
      </c>
      <c r="G4626">
        <v>1504.13358765</v>
      </c>
      <c r="H4626">
        <v>-24027.711749999999</v>
      </c>
      <c r="I4626">
        <v>29150.250000019991</v>
      </c>
      <c r="J4626">
        <v>0</v>
      </c>
      <c r="K4626">
        <v>13640.19562364</v>
      </c>
      <c r="L4626">
        <v>0</v>
      </c>
      <c r="M4626">
        <v>0</v>
      </c>
      <c r="N4626">
        <v>0</v>
      </c>
      <c r="O4626">
        <v>-1097.5374613099921</v>
      </c>
      <c r="P4626">
        <v>2939786</v>
      </c>
    </row>
    <row r="4627" spans="1:16" x14ac:dyDescent="0.25">
      <c r="A4627" s="10">
        <v>44496</v>
      </c>
      <c r="B4627">
        <v>109256</v>
      </c>
      <c r="C4627">
        <v>59.199999999999932</v>
      </c>
      <c r="D4627">
        <v>0</v>
      </c>
      <c r="E4627">
        <v>0</v>
      </c>
      <c r="F4627">
        <v>0</v>
      </c>
      <c r="G4627">
        <v>2570.47475927</v>
      </c>
      <c r="H4627">
        <v>107237.05492492999</v>
      </c>
      <c r="I4627">
        <v>0</v>
      </c>
      <c r="J4627">
        <v>0</v>
      </c>
      <c r="K4627">
        <v>3765.0770751599998</v>
      </c>
      <c r="L4627">
        <v>0</v>
      </c>
      <c r="M4627">
        <v>0</v>
      </c>
      <c r="N4627">
        <v>0</v>
      </c>
      <c r="O4627">
        <v>-4375.806759359999</v>
      </c>
      <c r="P4627">
        <v>3049042</v>
      </c>
    </row>
    <row r="4628" spans="1:16" x14ac:dyDescent="0.25">
      <c r="A4628" s="10">
        <v>44497</v>
      </c>
      <c r="B4628">
        <v>35458</v>
      </c>
      <c r="C4628">
        <v>-4332.9840000000004</v>
      </c>
      <c r="D4628">
        <v>0</v>
      </c>
      <c r="E4628">
        <v>0</v>
      </c>
      <c r="F4628">
        <v>0</v>
      </c>
      <c r="G4628">
        <v>94889.040356810001</v>
      </c>
      <c r="H4628">
        <v>-106151.76319506</v>
      </c>
      <c r="I4628">
        <v>47236.306448820003</v>
      </c>
      <c r="J4628">
        <v>0</v>
      </c>
      <c r="K4628">
        <v>7833.4270891300002</v>
      </c>
      <c r="L4628">
        <v>0</v>
      </c>
      <c r="M4628">
        <v>0</v>
      </c>
      <c r="N4628">
        <v>0</v>
      </c>
      <c r="O4628">
        <v>-4016.026699700014</v>
      </c>
      <c r="P4628">
        <v>3084500</v>
      </c>
    </row>
    <row r="4629" spans="1:16" x14ac:dyDescent="0.25">
      <c r="A4629" s="10">
        <v>44498</v>
      </c>
      <c r="B4629">
        <v>-75211</v>
      </c>
      <c r="C4629">
        <v>-29798.7847</v>
      </c>
      <c r="D4629">
        <v>0</v>
      </c>
      <c r="E4629">
        <v>95000</v>
      </c>
      <c r="F4629">
        <v>0</v>
      </c>
      <c r="G4629">
        <v>-57021.231946280001</v>
      </c>
      <c r="H4629">
        <v>-81235.698281030011</v>
      </c>
      <c r="I4629">
        <v>0</v>
      </c>
      <c r="J4629">
        <v>0</v>
      </c>
      <c r="K4629">
        <v>2070.3722234000002</v>
      </c>
      <c r="L4629">
        <v>0</v>
      </c>
      <c r="M4629">
        <v>0</v>
      </c>
      <c r="N4629">
        <v>0</v>
      </c>
      <c r="O4629">
        <v>-4225.6572960899794</v>
      </c>
      <c r="P4629">
        <v>3009289</v>
      </c>
    </row>
    <row r="4630" spans="1:16" x14ac:dyDescent="0.25">
      <c r="A4630" s="10">
        <v>44501</v>
      </c>
      <c r="B4630">
        <v>21207</v>
      </c>
      <c r="C4630">
        <v>-2164.85</v>
      </c>
      <c r="D4630">
        <v>0</v>
      </c>
      <c r="E4630">
        <v>0</v>
      </c>
      <c r="F4630">
        <v>0</v>
      </c>
      <c r="G4630">
        <v>-2350.3145928399999</v>
      </c>
      <c r="H4630">
        <v>26937.005110940001</v>
      </c>
      <c r="I4630">
        <v>0</v>
      </c>
      <c r="J4630">
        <v>0</v>
      </c>
      <c r="K4630">
        <v>2342.8177131100001</v>
      </c>
      <c r="L4630">
        <v>0</v>
      </c>
      <c r="M4630">
        <v>0</v>
      </c>
      <c r="N4630">
        <v>0</v>
      </c>
      <c r="O4630">
        <v>-3557.6582312099999</v>
      </c>
      <c r="P4630">
        <v>3030496</v>
      </c>
    </row>
    <row r="4631" spans="1:16" x14ac:dyDescent="0.25">
      <c r="A4631" s="10">
        <v>44502</v>
      </c>
      <c r="B4631">
        <v>4988</v>
      </c>
      <c r="C4631">
        <v>-4240.7969999999996</v>
      </c>
      <c r="D4631">
        <v>0</v>
      </c>
      <c r="E4631">
        <v>0</v>
      </c>
      <c r="F4631">
        <v>0</v>
      </c>
      <c r="G4631">
        <v>-4937.1827168700001</v>
      </c>
      <c r="H4631">
        <v>36031.073264990002</v>
      </c>
      <c r="I4631">
        <v>-44183.891744989996</v>
      </c>
      <c r="J4631">
        <v>0</v>
      </c>
      <c r="K4631">
        <v>11336.347516649999</v>
      </c>
      <c r="L4631">
        <v>0</v>
      </c>
      <c r="M4631">
        <v>0</v>
      </c>
      <c r="N4631">
        <v>0</v>
      </c>
      <c r="O4631">
        <v>10982.450680219999</v>
      </c>
      <c r="P4631">
        <v>3035484</v>
      </c>
    </row>
    <row r="4632" spans="1:16" x14ac:dyDescent="0.25">
      <c r="A4632" s="10">
        <v>44503</v>
      </c>
      <c r="B4632">
        <v>33363</v>
      </c>
      <c r="C4632">
        <v>-8841.6949999999997</v>
      </c>
      <c r="D4632">
        <v>0</v>
      </c>
      <c r="E4632">
        <v>0</v>
      </c>
      <c r="F4632">
        <v>0</v>
      </c>
      <c r="G4632">
        <v>96677.110670869995</v>
      </c>
      <c r="H4632">
        <v>-51340.15818002</v>
      </c>
      <c r="I4632">
        <v>0</v>
      </c>
      <c r="J4632">
        <v>0</v>
      </c>
      <c r="K4632">
        <v>3161.9313924399999</v>
      </c>
      <c r="L4632">
        <v>0</v>
      </c>
      <c r="M4632">
        <v>0</v>
      </c>
      <c r="N4632">
        <v>0</v>
      </c>
      <c r="O4632">
        <v>-6294.1888832899931</v>
      </c>
      <c r="P4632">
        <v>3068847</v>
      </c>
    </row>
    <row r="4633" spans="1:16" x14ac:dyDescent="0.25">
      <c r="A4633" s="10">
        <v>44504</v>
      </c>
      <c r="B4633">
        <v>29136</v>
      </c>
      <c r="C4633">
        <v>-7970.5780000000004</v>
      </c>
      <c r="D4633">
        <v>0</v>
      </c>
      <c r="E4633">
        <v>0</v>
      </c>
      <c r="F4633">
        <v>0</v>
      </c>
      <c r="G4633">
        <v>84.977659790000004</v>
      </c>
      <c r="H4633">
        <v>-12791.75031003</v>
      </c>
      <c r="I4633">
        <v>43515.868034309999</v>
      </c>
      <c r="J4633">
        <v>0</v>
      </c>
      <c r="K4633">
        <v>12877.060876850001</v>
      </c>
      <c r="L4633">
        <v>0</v>
      </c>
      <c r="M4633">
        <v>0</v>
      </c>
      <c r="N4633">
        <v>0</v>
      </c>
      <c r="O4633">
        <v>-6579.578260919996</v>
      </c>
      <c r="P4633">
        <v>3097983</v>
      </c>
    </row>
    <row r="4634" spans="1:16" x14ac:dyDescent="0.25">
      <c r="A4634" s="10">
        <v>44505</v>
      </c>
      <c r="B4634">
        <v>-42021</v>
      </c>
      <c r="C4634">
        <v>20676.195</v>
      </c>
      <c r="D4634">
        <v>0</v>
      </c>
      <c r="E4634">
        <v>50000</v>
      </c>
      <c r="F4634">
        <v>0</v>
      </c>
      <c r="G4634">
        <v>-49000.059381120009</v>
      </c>
      <c r="H4634">
        <v>-59344.294005010001</v>
      </c>
      <c r="I4634">
        <v>0</v>
      </c>
      <c r="J4634">
        <v>0</v>
      </c>
      <c r="K4634">
        <v>2491.1909380400002</v>
      </c>
      <c r="L4634">
        <v>0</v>
      </c>
      <c r="M4634">
        <v>0</v>
      </c>
      <c r="N4634">
        <v>0</v>
      </c>
      <c r="O4634">
        <v>-6844.0325519100006</v>
      </c>
      <c r="P4634">
        <v>3055962</v>
      </c>
    </row>
    <row r="4635" spans="1:16" x14ac:dyDescent="0.25">
      <c r="A4635" s="10">
        <v>44508</v>
      </c>
      <c r="B4635">
        <v>-29141</v>
      </c>
      <c r="C4635">
        <v>10.8482</v>
      </c>
      <c r="D4635">
        <v>0</v>
      </c>
      <c r="E4635">
        <v>0</v>
      </c>
      <c r="F4635">
        <v>0</v>
      </c>
      <c r="G4635">
        <v>-79886.045444489981</v>
      </c>
      <c r="H4635">
        <v>55977.790769959996</v>
      </c>
      <c r="I4635">
        <v>0</v>
      </c>
      <c r="J4635">
        <v>0</v>
      </c>
      <c r="K4635">
        <v>2665.84565449</v>
      </c>
      <c r="L4635">
        <v>0</v>
      </c>
      <c r="M4635">
        <v>0</v>
      </c>
      <c r="N4635">
        <v>0</v>
      </c>
      <c r="O4635">
        <v>-7909.4391799600226</v>
      </c>
      <c r="P4635">
        <v>3026821</v>
      </c>
    </row>
    <row r="4636" spans="1:16" x14ac:dyDescent="0.25">
      <c r="A4636" s="10">
        <v>44509</v>
      </c>
      <c r="B4636">
        <v>146041</v>
      </c>
      <c r="C4636">
        <v>-11153.909</v>
      </c>
      <c r="D4636">
        <v>0</v>
      </c>
      <c r="E4636">
        <v>0</v>
      </c>
      <c r="F4636">
        <v>0</v>
      </c>
      <c r="G4636">
        <v>10768.78307272999</v>
      </c>
      <c r="H4636">
        <v>40054.348529989998</v>
      </c>
      <c r="I4636">
        <v>98354.021282890011</v>
      </c>
      <c r="J4636">
        <v>0</v>
      </c>
      <c r="K4636">
        <v>14147.935004860001</v>
      </c>
      <c r="L4636">
        <v>0</v>
      </c>
      <c r="M4636">
        <v>0</v>
      </c>
      <c r="N4636">
        <v>0</v>
      </c>
      <c r="O4636">
        <v>-6130.1788904700079</v>
      </c>
      <c r="P4636">
        <v>3172862</v>
      </c>
    </row>
    <row r="4637" spans="1:16" x14ac:dyDescent="0.25">
      <c r="A4637" s="10">
        <v>44510</v>
      </c>
      <c r="B4637">
        <v>83131</v>
      </c>
      <c r="C4637">
        <v>-18332.467000000001</v>
      </c>
      <c r="D4637">
        <v>0</v>
      </c>
      <c r="E4637">
        <v>0</v>
      </c>
      <c r="F4637">
        <v>0</v>
      </c>
      <c r="G4637">
        <v>52538.515464600001</v>
      </c>
      <c r="H4637">
        <v>53998.292114960001</v>
      </c>
      <c r="I4637">
        <v>0</v>
      </c>
      <c r="J4637">
        <v>0</v>
      </c>
      <c r="K4637">
        <v>3502.5596055300002</v>
      </c>
      <c r="L4637">
        <v>0</v>
      </c>
      <c r="M4637">
        <v>0</v>
      </c>
      <c r="N4637">
        <v>0</v>
      </c>
      <c r="O4637">
        <v>-8575.9001850899949</v>
      </c>
      <c r="P4637">
        <v>3255993</v>
      </c>
    </row>
    <row r="4638" spans="1:16" x14ac:dyDescent="0.25">
      <c r="A4638" s="10">
        <v>44511</v>
      </c>
      <c r="B4638">
        <v>88451</v>
      </c>
      <c r="C4638">
        <v>-4056.2449999999999</v>
      </c>
      <c r="D4638">
        <v>0</v>
      </c>
      <c r="E4638">
        <v>0</v>
      </c>
      <c r="F4638">
        <v>0</v>
      </c>
      <c r="G4638">
        <v>1506.9897256100001</v>
      </c>
      <c r="H4638">
        <v>104996.94632998</v>
      </c>
      <c r="I4638">
        <v>-16500.81830006</v>
      </c>
      <c r="J4638">
        <v>0</v>
      </c>
      <c r="K4638">
        <v>8250.8339647499997</v>
      </c>
      <c r="L4638">
        <v>0</v>
      </c>
      <c r="M4638">
        <v>0</v>
      </c>
      <c r="N4638">
        <v>0</v>
      </c>
      <c r="O4638">
        <v>-5746.7067202799954</v>
      </c>
      <c r="P4638">
        <v>3344444</v>
      </c>
    </row>
    <row r="4639" spans="1:16" x14ac:dyDescent="0.25">
      <c r="A4639" s="10">
        <v>44512</v>
      </c>
      <c r="B4639">
        <v>-43613</v>
      </c>
      <c r="C4639">
        <v>-30030.085999999999</v>
      </c>
      <c r="D4639">
        <v>0</v>
      </c>
      <c r="E4639">
        <v>0</v>
      </c>
      <c r="F4639">
        <v>0</v>
      </c>
      <c r="G4639">
        <v>2618.6803351100011</v>
      </c>
      <c r="H4639">
        <v>-13291.106940019999</v>
      </c>
      <c r="I4639">
        <v>0</v>
      </c>
      <c r="J4639">
        <v>0</v>
      </c>
      <c r="K4639">
        <v>2691.34681142</v>
      </c>
      <c r="L4639">
        <v>0</v>
      </c>
      <c r="M4639">
        <v>0</v>
      </c>
      <c r="N4639">
        <v>0</v>
      </c>
      <c r="O4639">
        <v>-5601.8342065100014</v>
      </c>
      <c r="P4639">
        <v>3300831</v>
      </c>
    </row>
    <row r="4640" spans="1:16" x14ac:dyDescent="0.25">
      <c r="A4640" s="10">
        <v>44515</v>
      </c>
      <c r="B4640">
        <v>-33707</v>
      </c>
      <c r="C4640">
        <v>-3770.72</v>
      </c>
      <c r="D4640">
        <v>0</v>
      </c>
      <c r="E4640">
        <v>0</v>
      </c>
      <c r="F4640">
        <v>0</v>
      </c>
      <c r="G4640">
        <v>52194.407277539998</v>
      </c>
      <c r="H4640">
        <v>-73439.094015049996</v>
      </c>
      <c r="I4640">
        <v>0</v>
      </c>
      <c r="J4640">
        <v>0</v>
      </c>
      <c r="K4640">
        <v>2436.7627006299999</v>
      </c>
      <c r="L4640">
        <v>0</v>
      </c>
      <c r="M4640">
        <v>0</v>
      </c>
      <c r="N4640">
        <v>0</v>
      </c>
      <c r="O4640">
        <v>-11128.355963120001</v>
      </c>
      <c r="P4640">
        <v>3267124</v>
      </c>
    </row>
    <row r="4641" spans="1:16" x14ac:dyDescent="0.25">
      <c r="A4641" s="10">
        <v>44516</v>
      </c>
      <c r="B4641">
        <v>-78689</v>
      </c>
      <c r="C4641">
        <v>4964.8995000000004</v>
      </c>
      <c r="D4641">
        <v>0</v>
      </c>
      <c r="E4641">
        <v>0</v>
      </c>
      <c r="F4641">
        <v>0</v>
      </c>
      <c r="G4641">
        <v>-3.71415227</v>
      </c>
      <c r="H4641">
        <v>-50034.047625009996</v>
      </c>
      <c r="I4641">
        <v>-35660.755751019999</v>
      </c>
      <c r="J4641">
        <v>0</v>
      </c>
      <c r="K4641">
        <v>15066.29390239</v>
      </c>
      <c r="L4641">
        <v>0</v>
      </c>
      <c r="M4641">
        <v>0</v>
      </c>
      <c r="N4641">
        <v>0</v>
      </c>
      <c r="O4641">
        <v>-13021.67587409</v>
      </c>
      <c r="P4641">
        <v>3188435</v>
      </c>
    </row>
    <row r="4642" spans="1:16" x14ac:dyDescent="0.25">
      <c r="A4642" s="10">
        <v>44517</v>
      </c>
      <c r="B4642">
        <v>2284</v>
      </c>
      <c r="C4642">
        <v>40.469000000000001</v>
      </c>
      <c r="D4642">
        <v>0</v>
      </c>
      <c r="E4642">
        <v>0</v>
      </c>
      <c r="F4642">
        <v>0</v>
      </c>
      <c r="G4642">
        <v>2343.0262358099999</v>
      </c>
      <c r="H4642">
        <v>3165.798599960001</v>
      </c>
      <c r="I4642">
        <v>0</v>
      </c>
      <c r="J4642">
        <v>0</v>
      </c>
      <c r="K4642">
        <v>3189.8858158100002</v>
      </c>
      <c r="L4642">
        <v>0</v>
      </c>
      <c r="M4642">
        <v>0</v>
      </c>
      <c r="N4642">
        <v>0</v>
      </c>
      <c r="O4642">
        <v>-6455.1796515800024</v>
      </c>
      <c r="P4642">
        <v>3190719</v>
      </c>
    </row>
    <row r="4643" spans="1:16" x14ac:dyDescent="0.25">
      <c r="A4643" s="10">
        <v>44518</v>
      </c>
      <c r="B4643">
        <v>-84119</v>
      </c>
      <c r="C4643">
        <v>-7939.51</v>
      </c>
      <c r="D4643">
        <v>0</v>
      </c>
      <c r="E4643">
        <v>0</v>
      </c>
      <c r="F4643">
        <v>0</v>
      </c>
      <c r="G4643">
        <v>39.339287150001503</v>
      </c>
      <c r="H4643">
        <v>-121460.84811002</v>
      </c>
      <c r="I4643">
        <v>30300.591490899998</v>
      </c>
      <c r="J4643">
        <v>0</v>
      </c>
      <c r="K4643">
        <v>8669.5421182999999</v>
      </c>
      <c r="L4643">
        <v>0</v>
      </c>
      <c r="M4643">
        <v>0</v>
      </c>
      <c r="N4643">
        <v>0</v>
      </c>
      <c r="O4643">
        <v>6271.8852136700152</v>
      </c>
      <c r="P4643">
        <v>3106600</v>
      </c>
    </row>
    <row r="4644" spans="1:16" x14ac:dyDescent="0.25">
      <c r="A4644" s="10">
        <v>44519</v>
      </c>
      <c r="B4644">
        <v>-46903</v>
      </c>
      <c r="C4644">
        <v>-5905.5024000000003</v>
      </c>
      <c r="D4644">
        <v>0</v>
      </c>
      <c r="E4644">
        <v>0</v>
      </c>
      <c r="F4644">
        <v>0</v>
      </c>
      <c r="G4644">
        <v>7.9298513699999944</v>
      </c>
      <c r="H4644">
        <v>-43232.39055004</v>
      </c>
      <c r="I4644">
        <v>0</v>
      </c>
      <c r="J4644">
        <v>0</v>
      </c>
      <c r="K4644">
        <v>2816.8302100599999</v>
      </c>
      <c r="L4644">
        <v>0</v>
      </c>
      <c r="M4644">
        <v>0</v>
      </c>
      <c r="N4644">
        <v>0</v>
      </c>
      <c r="O4644">
        <v>-589.86711138999817</v>
      </c>
      <c r="P4644">
        <v>3059697</v>
      </c>
    </row>
    <row r="4645" spans="1:16" x14ac:dyDescent="0.25">
      <c r="A4645" s="10">
        <v>44523</v>
      </c>
      <c r="B4645">
        <v>87860</v>
      </c>
      <c r="C4645">
        <v>2025.5508</v>
      </c>
      <c r="D4645">
        <v>0</v>
      </c>
      <c r="E4645">
        <v>0</v>
      </c>
      <c r="F4645">
        <v>0</v>
      </c>
      <c r="G4645">
        <v>-88453.442570119994</v>
      </c>
      <c r="H4645">
        <v>216199.99480499999</v>
      </c>
      <c r="I4645">
        <v>-57816.302357060013</v>
      </c>
      <c r="J4645">
        <v>0</v>
      </c>
      <c r="K4645">
        <v>15425.0585412</v>
      </c>
      <c r="L4645">
        <v>0</v>
      </c>
      <c r="M4645">
        <v>0</v>
      </c>
      <c r="N4645">
        <v>0</v>
      </c>
      <c r="O4645">
        <v>479.14078098002938</v>
      </c>
      <c r="P4645">
        <v>3147557</v>
      </c>
    </row>
    <row r="4646" spans="1:16" x14ac:dyDescent="0.25">
      <c r="A4646" s="10">
        <v>44524</v>
      </c>
      <c r="B4646">
        <v>16050</v>
      </c>
      <c r="C4646">
        <v>12991.898999999999</v>
      </c>
      <c r="D4646">
        <v>0</v>
      </c>
      <c r="E4646">
        <v>80000</v>
      </c>
      <c r="F4646">
        <v>0</v>
      </c>
      <c r="G4646">
        <v>-82179.548309079983</v>
      </c>
      <c r="H4646">
        <v>4244.9686199799999</v>
      </c>
      <c r="I4646">
        <v>0</v>
      </c>
      <c r="J4646">
        <v>0</v>
      </c>
      <c r="K4646">
        <v>3284.934624</v>
      </c>
      <c r="L4646">
        <v>0</v>
      </c>
      <c r="M4646">
        <v>0</v>
      </c>
      <c r="N4646">
        <v>0</v>
      </c>
      <c r="O4646">
        <v>-2292.253934900029</v>
      </c>
      <c r="P4646">
        <v>3163607</v>
      </c>
    </row>
    <row r="4647" spans="1:16" x14ac:dyDescent="0.25">
      <c r="A4647" s="10">
        <v>44525</v>
      </c>
      <c r="B4647">
        <v>49931</v>
      </c>
      <c r="C4647">
        <v>0.85</v>
      </c>
      <c r="D4647">
        <v>0</v>
      </c>
      <c r="E4647">
        <v>0</v>
      </c>
      <c r="F4647">
        <v>0</v>
      </c>
      <c r="G4647">
        <v>2517.64239357</v>
      </c>
      <c r="H4647">
        <v>7442.2502999500002</v>
      </c>
      <c r="I4647">
        <v>34187.939006380002</v>
      </c>
      <c r="J4647">
        <v>0</v>
      </c>
      <c r="K4647">
        <v>7379.1503774499997</v>
      </c>
      <c r="L4647">
        <v>0</v>
      </c>
      <c r="M4647">
        <v>0</v>
      </c>
      <c r="N4647">
        <v>0</v>
      </c>
      <c r="O4647">
        <v>-1596.832077350002</v>
      </c>
      <c r="P4647">
        <v>3213538</v>
      </c>
    </row>
    <row r="4648" spans="1:16" x14ac:dyDescent="0.25">
      <c r="A4648" s="10">
        <v>44526</v>
      </c>
      <c r="B4648">
        <v>-29299</v>
      </c>
      <c r="C4648">
        <v>-5602.1239999999998</v>
      </c>
      <c r="D4648">
        <v>0</v>
      </c>
      <c r="E4648">
        <v>0</v>
      </c>
      <c r="F4648">
        <v>0</v>
      </c>
      <c r="G4648">
        <v>80169.391157499995</v>
      </c>
      <c r="H4648">
        <v>-107934.055335</v>
      </c>
      <c r="I4648">
        <v>0</v>
      </c>
      <c r="J4648">
        <v>0</v>
      </c>
      <c r="K4648">
        <v>3329.2326892900001</v>
      </c>
      <c r="L4648">
        <v>0</v>
      </c>
      <c r="M4648">
        <v>0</v>
      </c>
      <c r="N4648">
        <v>0</v>
      </c>
      <c r="O4648">
        <v>738.55548821001139</v>
      </c>
      <c r="P4648">
        <v>3184239</v>
      </c>
    </row>
    <row r="4649" spans="1:16" x14ac:dyDescent="0.25">
      <c r="A4649" s="10">
        <v>44529</v>
      </c>
      <c r="B4649">
        <v>-49920</v>
      </c>
      <c r="C4649">
        <v>-7327.665</v>
      </c>
      <c r="D4649">
        <v>0</v>
      </c>
      <c r="E4649">
        <v>0</v>
      </c>
      <c r="F4649">
        <v>0</v>
      </c>
      <c r="G4649">
        <v>4732.4899560800004</v>
      </c>
      <c r="H4649">
        <v>-48543.848505119997</v>
      </c>
      <c r="I4649">
        <v>0</v>
      </c>
      <c r="J4649">
        <v>0</v>
      </c>
      <c r="K4649">
        <v>860.39836208999998</v>
      </c>
      <c r="L4649">
        <v>0</v>
      </c>
      <c r="M4649">
        <v>0</v>
      </c>
      <c r="N4649">
        <v>0</v>
      </c>
      <c r="O4649">
        <v>358.62518694999738</v>
      </c>
      <c r="P4649">
        <v>3134319</v>
      </c>
    </row>
    <row r="4650" spans="1:16" x14ac:dyDescent="0.25">
      <c r="A4650" s="10">
        <v>44530</v>
      </c>
      <c r="B4650">
        <v>1823</v>
      </c>
      <c r="C4650">
        <v>-13641.195</v>
      </c>
      <c r="D4650">
        <v>0</v>
      </c>
      <c r="E4650">
        <v>0</v>
      </c>
      <c r="F4650">
        <v>0</v>
      </c>
      <c r="G4650">
        <v>4772.6559643899982</v>
      </c>
      <c r="H4650">
        <v>149732.46593127999</v>
      </c>
      <c r="I4650">
        <v>-153057.55874789</v>
      </c>
      <c r="J4650">
        <v>0</v>
      </c>
      <c r="K4650">
        <v>12851.616725260001</v>
      </c>
      <c r="L4650">
        <v>0</v>
      </c>
      <c r="M4650">
        <v>0</v>
      </c>
      <c r="N4650">
        <v>0</v>
      </c>
      <c r="O4650">
        <v>1165.015126960008</v>
      </c>
      <c r="P4650">
        <v>3136142</v>
      </c>
    </row>
    <row r="4651" spans="1:16" x14ac:dyDescent="0.25">
      <c r="A4651" s="10">
        <v>44531</v>
      </c>
      <c r="B4651">
        <v>126913</v>
      </c>
      <c r="C4651">
        <v>692.6</v>
      </c>
      <c r="D4651">
        <v>0</v>
      </c>
      <c r="E4651">
        <v>0</v>
      </c>
      <c r="F4651">
        <v>0</v>
      </c>
      <c r="G4651">
        <v>44.712440020000003</v>
      </c>
      <c r="H4651">
        <v>126248.65061365999</v>
      </c>
      <c r="I4651">
        <v>0</v>
      </c>
      <c r="J4651">
        <v>0</v>
      </c>
      <c r="K4651">
        <v>3259.12289809</v>
      </c>
      <c r="L4651">
        <v>0</v>
      </c>
      <c r="M4651">
        <v>0</v>
      </c>
      <c r="N4651">
        <v>0</v>
      </c>
      <c r="O4651">
        <v>-3332.085951770001</v>
      </c>
      <c r="P4651">
        <v>3263055</v>
      </c>
    </row>
    <row r="4652" spans="1:16" x14ac:dyDescent="0.25">
      <c r="A4652" s="10">
        <v>44532</v>
      </c>
      <c r="B4652">
        <v>36726</v>
      </c>
      <c r="C4652">
        <v>-7736.9494999999997</v>
      </c>
      <c r="D4652">
        <v>0</v>
      </c>
      <c r="E4652">
        <v>0</v>
      </c>
      <c r="F4652">
        <v>0</v>
      </c>
      <c r="G4652">
        <v>-39.836068520000097</v>
      </c>
      <c r="H4652">
        <v>51311.735954969998</v>
      </c>
      <c r="I4652">
        <v>-14638.42886057</v>
      </c>
      <c r="J4652">
        <v>0</v>
      </c>
      <c r="K4652">
        <v>11776.06091708</v>
      </c>
      <c r="L4652">
        <v>0</v>
      </c>
      <c r="M4652">
        <v>0</v>
      </c>
      <c r="N4652">
        <v>0</v>
      </c>
      <c r="O4652">
        <v>-3946.5824429599961</v>
      </c>
      <c r="P4652">
        <v>3299781</v>
      </c>
    </row>
    <row r="4653" spans="1:16" x14ac:dyDescent="0.25">
      <c r="A4653" s="10">
        <v>44533</v>
      </c>
      <c r="B4653">
        <v>1497</v>
      </c>
      <c r="C4653">
        <v>-17412.144700000001</v>
      </c>
      <c r="D4653">
        <v>0</v>
      </c>
      <c r="E4653">
        <v>0</v>
      </c>
      <c r="F4653">
        <v>0</v>
      </c>
      <c r="G4653">
        <v>79898.120114129997</v>
      </c>
      <c r="H4653">
        <v>-61759.745865019999</v>
      </c>
      <c r="I4653">
        <v>0</v>
      </c>
      <c r="J4653">
        <v>0</v>
      </c>
      <c r="K4653">
        <v>2803.79308227</v>
      </c>
      <c r="L4653">
        <v>0</v>
      </c>
      <c r="M4653">
        <v>0</v>
      </c>
      <c r="N4653">
        <v>0</v>
      </c>
      <c r="O4653">
        <v>-2033.0226313799981</v>
      </c>
      <c r="P4653">
        <v>3301278</v>
      </c>
    </row>
    <row r="4654" spans="1:16" x14ac:dyDescent="0.25">
      <c r="A4654" s="10">
        <v>44536</v>
      </c>
      <c r="B4654">
        <v>-87133</v>
      </c>
      <c r="C4654">
        <v>2801.4524000000001</v>
      </c>
      <c r="D4654">
        <v>0</v>
      </c>
      <c r="E4654">
        <v>120000.0000000001</v>
      </c>
      <c r="F4654">
        <v>0</v>
      </c>
      <c r="G4654">
        <v>-119816.9682107</v>
      </c>
      <c r="H4654">
        <v>-87529.084110030002</v>
      </c>
      <c r="I4654">
        <v>0</v>
      </c>
      <c r="J4654">
        <v>0</v>
      </c>
      <c r="K4654">
        <v>1632.13244594</v>
      </c>
      <c r="L4654">
        <v>0</v>
      </c>
      <c r="M4654">
        <v>0</v>
      </c>
      <c r="N4654">
        <v>0</v>
      </c>
      <c r="O4654">
        <v>-4220.5325252101165</v>
      </c>
      <c r="P4654">
        <v>3214145</v>
      </c>
    </row>
    <row r="4655" spans="1:16" x14ac:dyDescent="0.25">
      <c r="A4655" s="10">
        <v>44537</v>
      </c>
      <c r="B4655">
        <v>43287</v>
      </c>
      <c r="C4655">
        <v>-5012.29</v>
      </c>
      <c r="D4655">
        <v>0</v>
      </c>
      <c r="E4655">
        <v>0</v>
      </c>
      <c r="F4655">
        <v>0</v>
      </c>
      <c r="G4655">
        <v>123136.69402466</v>
      </c>
      <c r="H4655">
        <v>-96846.326730009998</v>
      </c>
      <c r="I4655">
        <v>15779.90893781</v>
      </c>
      <c r="J4655">
        <v>0</v>
      </c>
      <c r="K4655">
        <v>10580.279540789999</v>
      </c>
      <c r="L4655">
        <v>0</v>
      </c>
      <c r="M4655">
        <v>0</v>
      </c>
      <c r="N4655">
        <v>0</v>
      </c>
      <c r="O4655">
        <v>-4351.2657732500011</v>
      </c>
      <c r="P4655">
        <v>3257432</v>
      </c>
    </row>
    <row r="4656" spans="1:16" x14ac:dyDescent="0.25">
      <c r="A4656" s="10">
        <v>44539</v>
      </c>
      <c r="B4656">
        <v>134610</v>
      </c>
      <c r="C4656">
        <v>-9818.0290000000005</v>
      </c>
      <c r="D4656">
        <v>0</v>
      </c>
      <c r="E4656">
        <v>0</v>
      </c>
      <c r="F4656">
        <v>0</v>
      </c>
      <c r="G4656">
        <v>20.161988630001101</v>
      </c>
      <c r="H4656">
        <v>133377.63115497999</v>
      </c>
      <c r="I4656">
        <v>326.12104248000111</v>
      </c>
      <c r="J4656">
        <v>0</v>
      </c>
      <c r="K4656">
        <v>11797.41015521</v>
      </c>
      <c r="L4656">
        <v>0</v>
      </c>
      <c r="M4656">
        <v>0</v>
      </c>
      <c r="N4656">
        <v>0</v>
      </c>
      <c r="O4656">
        <v>-1093.295341299963</v>
      </c>
      <c r="P4656">
        <v>3392042</v>
      </c>
    </row>
    <row r="4657" spans="1:16" x14ac:dyDescent="0.25">
      <c r="A4657" s="10">
        <v>44540</v>
      </c>
      <c r="B4657">
        <v>-16010</v>
      </c>
      <c r="C4657">
        <v>-2493.2800000000002</v>
      </c>
      <c r="D4657">
        <v>0</v>
      </c>
      <c r="E4657">
        <v>130000</v>
      </c>
      <c r="F4657">
        <v>0</v>
      </c>
      <c r="G4657">
        <v>-129613.80002469</v>
      </c>
      <c r="H4657">
        <v>-15188.39977505</v>
      </c>
      <c r="I4657">
        <v>0</v>
      </c>
      <c r="J4657">
        <v>0</v>
      </c>
      <c r="K4657">
        <v>3218.9881197099999</v>
      </c>
      <c r="L4657">
        <v>0</v>
      </c>
      <c r="M4657">
        <v>0</v>
      </c>
      <c r="N4657">
        <v>0</v>
      </c>
      <c r="O4657">
        <v>-1933.508319970013</v>
      </c>
      <c r="P4657">
        <v>3376032</v>
      </c>
    </row>
    <row r="4658" spans="1:16" x14ac:dyDescent="0.25">
      <c r="A4658" s="10">
        <v>44543</v>
      </c>
      <c r="B4658">
        <v>13525</v>
      </c>
      <c r="C4658">
        <v>308.01560000000001</v>
      </c>
      <c r="D4658">
        <v>0</v>
      </c>
      <c r="E4658">
        <v>0</v>
      </c>
      <c r="F4658">
        <v>0</v>
      </c>
      <c r="G4658">
        <v>-310.83957582999398</v>
      </c>
      <c r="H4658">
        <v>11010.332699930001</v>
      </c>
      <c r="I4658">
        <v>0</v>
      </c>
      <c r="J4658">
        <v>0</v>
      </c>
      <c r="K4658">
        <v>2571.3744134600001</v>
      </c>
      <c r="L4658">
        <v>0</v>
      </c>
      <c r="M4658">
        <v>0</v>
      </c>
      <c r="N4658">
        <v>0</v>
      </c>
      <c r="O4658">
        <v>-53.883137560005707</v>
      </c>
      <c r="P4658">
        <v>3389557</v>
      </c>
    </row>
    <row r="4659" spans="1:16" x14ac:dyDescent="0.25">
      <c r="A4659" s="10">
        <v>44544</v>
      </c>
      <c r="B4659">
        <v>34182</v>
      </c>
      <c r="C4659">
        <v>98.22</v>
      </c>
      <c r="D4659">
        <v>0</v>
      </c>
      <c r="E4659">
        <v>0</v>
      </c>
      <c r="F4659">
        <v>0</v>
      </c>
      <c r="G4659">
        <v>573.68882172000008</v>
      </c>
      <c r="H4659">
        <v>-128921.02627502001</v>
      </c>
      <c r="I4659">
        <v>146073.59156584999</v>
      </c>
      <c r="J4659">
        <v>0</v>
      </c>
      <c r="K4659">
        <v>16485.125881309999</v>
      </c>
      <c r="L4659">
        <v>0</v>
      </c>
      <c r="M4659">
        <v>0</v>
      </c>
      <c r="N4659">
        <v>0</v>
      </c>
      <c r="O4659">
        <v>-127.5999938599853</v>
      </c>
      <c r="P4659">
        <v>3423739</v>
      </c>
    </row>
    <row r="4660" spans="1:16" x14ac:dyDescent="0.25">
      <c r="A4660" s="10">
        <v>44545</v>
      </c>
      <c r="B4660">
        <v>-226575</v>
      </c>
      <c r="C4660">
        <v>1166.69</v>
      </c>
      <c r="D4660">
        <v>0</v>
      </c>
      <c r="E4660">
        <v>0</v>
      </c>
      <c r="F4660">
        <v>0</v>
      </c>
      <c r="G4660">
        <v>-106062.24883288</v>
      </c>
      <c r="H4660">
        <v>-119648.38468503</v>
      </c>
      <c r="I4660">
        <v>0</v>
      </c>
      <c r="J4660">
        <v>0</v>
      </c>
      <c r="K4660">
        <v>164.10917251000001</v>
      </c>
      <c r="L4660">
        <v>0</v>
      </c>
      <c r="M4660">
        <v>0</v>
      </c>
      <c r="N4660">
        <v>0</v>
      </c>
      <c r="O4660">
        <v>-2195.1656545999872</v>
      </c>
      <c r="P4660">
        <v>3197164</v>
      </c>
    </row>
    <row r="4661" spans="1:16" x14ac:dyDescent="0.25">
      <c r="A4661" s="10">
        <v>44546</v>
      </c>
      <c r="B4661">
        <v>124094</v>
      </c>
      <c r="C4661">
        <v>50.36</v>
      </c>
      <c r="D4661">
        <v>0</v>
      </c>
      <c r="E4661">
        <v>0</v>
      </c>
      <c r="F4661">
        <v>0</v>
      </c>
      <c r="G4661">
        <v>130975.79072797</v>
      </c>
      <c r="H4661">
        <v>-37742.965740009997</v>
      </c>
      <c r="I4661">
        <v>21641.167300429999</v>
      </c>
      <c r="J4661">
        <v>0</v>
      </c>
      <c r="K4661">
        <v>9718.44384894</v>
      </c>
      <c r="L4661">
        <v>0</v>
      </c>
      <c r="M4661">
        <v>0</v>
      </c>
      <c r="N4661">
        <v>0</v>
      </c>
      <c r="O4661">
        <v>-548.79613733000588</v>
      </c>
      <c r="P4661">
        <v>3321258</v>
      </c>
    </row>
    <row r="4662" spans="1:16" x14ac:dyDescent="0.25">
      <c r="A4662" s="10">
        <v>44547</v>
      </c>
      <c r="B4662">
        <v>91986</v>
      </c>
      <c r="C4662">
        <v>205.65</v>
      </c>
      <c r="D4662">
        <v>0</v>
      </c>
      <c r="E4662">
        <v>95000</v>
      </c>
      <c r="F4662">
        <v>0</v>
      </c>
      <c r="G4662">
        <v>5729.683699109989</v>
      </c>
      <c r="H4662">
        <v>-10378.48477501</v>
      </c>
      <c r="I4662">
        <v>0</v>
      </c>
      <c r="J4662">
        <v>0</v>
      </c>
      <c r="K4662">
        <v>3520.2391459199998</v>
      </c>
      <c r="L4662">
        <v>0</v>
      </c>
      <c r="M4662">
        <v>0</v>
      </c>
      <c r="N4662">
        <v>0</v>
      </c>
      <c r="O4662">
        <v>-2091.0880700199782</v>
      </c>
      <c r="P4662">
        <v>3413244</v>
      </c>
    </row>
    <row r="4663" spans="1:16" x14ac:dyDescent="0.25">
      <c r="A4663" s="10">
        <v>44550</v>
      </c>
      <c r="B4663">
        <v>-19276</v>
      </c>
      <c r="C4663">
        <v>383.85599999999999</v>
      </c>
      <c r="D4663">
        <v>0</v>
      </c>
      <c r="E4663">
        <v>0</v>
      </c>
      <c r="F4663">
        <v>0</v>
      </c>
      <c r="G4663">
        <v>96171.224705780012</v>
      </c>
      <c r="H4663">
        <v>-118026.13153514</v>
      </c>
      <c r="I4663">
        <v>0</v>
      </c>
      <c r="J4663">
        <v>0</v>
      </c>
      <c r="K4663">
        <v>2746.9624450800002</v>
      </c>
      <c r="L4663">
        <v>0</v>
      </c>
      <c r="M4663">
        <v>0</v>
      </c>
      <c r="N4663">
        <v>0</v>
      </c>
      <c r="O4663">
        <v>-551.91161572001511</v>
      </c>
      <c r="P4663">
        <v>3393968</v>
      </c>
    </row>
    <row r="4664" spans="1:16" x14ac:dyDescent="0.25">
      <c r="A4664" s="10">
        <v>44551</v>
      </c>
      <c r="B4664">
        <v>11203</v>
      </c>
      <c r="C4664">
        <v>89.125500000000002</v>
      </c>
      <c r="D4664">
        <v>0</v>
      </c>
      <c r="E4664">
        <v>0</v>
      </c>
      <c r="F4664">
        <v>0</v>
      </c>
      <c r="G4664">
        <v>-425.90143805999799</v>
      </c>
      <c r="H4664">
        <v>-41457.094650010004</v>
      </c>
      <c r="I4664">
        <v>38655.697715119997</v>
      </c>
      <c r="J4664">
        <v>0</v>
      </c>
      <c r="K4664">
        <v>14248.385284620001</v>
      </c>
      <c r="L4664">
        <v>0</v>
      </c>
      <c r="M4664">
        <v>0</v>
      </c>
      <c r="N4664">
        <v>0</v>
      </c>
      <c r="O4664">
        <v>92.787588329998471</v>
      </c>
      <c r="P4664">
        <v>3405171</v>
      </c>
    </row>
    <row r="4665" spans="1:16" x14ac:dyDescent="0.25">
      <c r="A4665" s="10">
        <v>44552</v>
      </c>
      <c r="B4665">
        <v>-89558</v>
      </c>
      <c r="C4665">
        <v>341.17649999999998</v>
      </c>
      <c r="D4665">
        <v>0</v>
      </c>
      <c r="E4665">
        <v>0</v>
      </c>
      <c r="F4665">
        <v>0</v>
      </c>
      <c r="G4665">
        <v>282.37131512000298</v>
      </c>
      <c r="H4665">
        <v>-92280.405600030019</v>
      </c>
      <c r="I4665">
        <v>0</v>
      </c>
      <c r="J4665">
        <v>0</v>
      </c>
      <c r="K4665">
        <v>1890.4769998199999</v>
      </c>
      <c r="L4665">
        <v>0</v>
      </c>
      <c r="M4665">
        <v>0</v>
      </c>
      <c r="N4665">
        <v>0</v>
      </c>
      <c r="O4665">
        <v>208.38078509000479</v>
      </c>
      <c r="P4665">
        <v>3315613</v>
      </c>
    </row>
    <row r="4666" spans="1:16" x14ac:dyDescent="0.25">
      <c r="A4666" s="10">
        <v>44553</v>
      </c>
      <c r="B4666">
        <v>174170</v>
      </c>
      <c r="C4666">
        <v>867.3</v>
      </c>
      <c r="D4666">
        <v>0</v>
      </c>
      <c r="E4666">
        <v>136816</v>
      </c>
      <c r="F4666">
        <v>0</v>
      </c>
      <c r="G4666">
        <v>8506.5659764500087</v>
      </c>
      <c r="H4666">
        <v>73300.481010000221</v>
      </c>
      <c r="I4666">
        <v>-50529.163447089959</v>
      </c>
      <c r="J4666">
        <v>0</v>
      </c>
      <c r="K4666">
        <v>6783.3272291599997</v>
      </c>
      <c r="L4666">
        <v>0</v>
      </c>
      <c r="M4666">
        <v>0</v>
      </c>
      <c r="N4666">
        <v>0</v>
      </c>
      <c r="O4666">
        <v>-1574.510768520267</v>
      </c>
      <c r="P4666">
        <v>3489783</v>
      </c>
    </row>
    <row r="4667" spans="1:16" x14ac:dyDescent="0.25">
      <c r="A4667" s="10">
        <v>44557</v>
      </c>
      <c r="B4667">
        <v>126</v>
      </c>
      <c r="C4667">
        <v>2747.8719999999998</v>
      </c>
      <c r="D4667">
        <v>0</v>
      </c>
      <c r="E4667">
        <v>0</v>
      </c>
      <c r="F4667">
        <v>0</v>
      </c>
      <c r="G4667">
        <v>-8.282022009997462</v>
      </c>
      <c r="H4667">
        <v>-10313.769555000121</v>
      </c>
      <c r="I4667">
        <v>0</v>
      </c>
      <c r="J4667">
        <v>0</v>
      </c>
      <c r="K4667">
        <v>8633.6340617199985</v>
      </c>
      <c r="L4667">
        <v>0</v>
      </c>
      <c r="M4667">
        <v>0</v>
      </c>
      <c r="N4667">
        <v>0</v>
      </c>
      <c r="O4667">
        <v>-933.45448470987867</v>
      </c>
      <c r="P4667">
        <v>3489909</v>
      </c>
    </row>
    <row r="4668" spans="1:16" x14ac:dyDescent="0.25">
      <c r="A4668" s="10">
        <v>44558</v>
      </c>
      <c r="B4668">
        <v>48825</v>
      </c>
      <c r="C4668">
        <v>447.28500000000003</v>
      </c>
      <c r="D4668">
        <v>0</v>
      </c>
      <c r="E4668">
        <v>0</v>
      </c>
      <c r="F4668">
        <v>0</v>
      </c>
      <c r="G4668">
        <v>91.93266659999999</v>
      </c>
      <c r="H4668">
        <v>-97286.652585009986</v>
      </c>
      <c r="I4668">
        <v>131329.41961858</v>
      </c>
      <c r="J4668">
        <v>0</v>
      </c>
      <c r="K4668">
        <v>17064.755775270001</v>
      </c>
      <c r="L4668">
        <v>0</v>
      </c>
      <c r="M4668">
        <v>0</v>
      </c>
      <c r="N4668">
        <v>0</v>
      </c>
      <c r="O4668">
        <v>-2821.7404754400118</v>
      </c>
      <c r="P4668">
        <v>3538734</v>
      </c>
    </row>
    <row r="4669" spans="1:16" x14ac:dyDescent="0.25">
      <c r="A4669" s="10">
        <v>44559</v>
      </c>
      <c r="B4669">
        <v>-7728</v>
      </c>
      <c r="C4669">
        <v>-4796.6239999999998</v>
      </c>
      <c r="D4669">
        <v>0</v>
      </c>
      <c r="E4669">
        <v>0</v>
      </c>
      <c r="F4669">
        <v>0</v>
      </c>
      <c r="G4669">
        <v>412.34210488000008</v>
      </c>
      <c r="H4669">
        <v>-5728.1715000000004</v>
      </c>
      <c r="I4669">
        <v>0</v>
      </c>
      <c r="J4669">
        <v>0</v>
      </c>
      <c r="K4669">
        <v>2890.10807905</v>
      </c>
      <c r="L4669">
        <v>0</v>
      </c>
      <c r="M4669">
        <v>0</v>
      </c>
      <c r="N4669">
        <v>0</v>
      </c>
      <c r="O4669">
        <v>-505.65468393000077</v>
      </c>
      <c r="P4669">
        <v>3531006</v>
      </c>
    </row>
    <row r="4670" spans="1:16" x14ac:dyDescent="0.25">
      <c r="A4670" s="10">
        <v>44560</v>
      </c>
      <c r="B4670">
        <v>123030</v>
      </c>
      <c r="C4670">
        <v>-11254.76</v>
      </c>
      <c r="D4670">
        <v>0</v>
      </c>
      <c r="E4670">
        <v>203184</v>
      </c>
      <c r="F4670">
        <v>0</v>
      </c>
      <c r="G4670">
        <v>-6051.933207080001</v>
      </c>
      <c r="H4670">
        <v>-201149.94638529001</v>
      </c>
      <c r="I4670">
        <v>127578.57121921</v>
      </c>
      <c r="J4670">
        <v>0</v>
      </c>
      <c r="K4670">
        <v>13135.145991969999</v>
      </c>
      <c r="L4670">
        <v>0</v>
      </c>
      <c r="M4670">
        <v>0</v>
      </c>
      <c r="N4670">
        <v>0</v>
      </c>
      <c r="O4670">
        <v>-2411.077618809984</v>
      </c>
      <c r="P4670">
        <v>3654036</v>
      </c>
    </row>
    <row r="4671" spans="1:16" x14ac:dyDescent="0.25">
      <c r="A4671" s="10">
        <v>44564</v>
      </c>
      <c r="B4671">
        <v>268661.29999999981</v>
      </c>
      <c r="C4671">
        <v>485.98</v>
      </c>
      <c r="D4671">
        <v>0</v>
      </c>
      <c r="E4671">
        <v>0</v>
      </c>
      <c r="F4671">
        <v>0</v>
      </c>
      <c r="G4671">
        <v>-66090.236402009992</v>
      </c>
      <c r="H4671">
        <v>330615.36758513999</v>
      </c>
      <c r="I4671">
        <v>0</v>
      </c>
      <c r="J4671">
        <v>0</v>
      </c>
      <c r="K4671">
        <v>6104.3512553800001</v>
      </c>
      <c r="L4671">
        <v>0</v>
      </c>
      <c r="M4671">
        <v>0</v>
      </c>
      <c r="N4671">
        <v>0</v>
      </c>
      <c r="O4671">
        <v>-2454.16243851016</v>
      </c>
      <c r="P4671">
        <v>3922697.3</v>
      </c>
    </row>
    <row r="4672" spans="1:16" x14ac:dyDescent="0.25">
      <c r="A4672" s="10">
        <v>44565</v>
      </c>
      <c r="B4672">
        <v>-71399.299999999814</v>
      </c>
      <c r="C4672">
        <v>72.453000000000003</v>
      </c>
      <c r="D4672">
        <v>0</v>
      </c>
      <c r="E4672">
        <v>0</v>
      </c>
      <c r="F4672">
        <v>0</v>
      </c>
      <c r="G4672">
        <v>3786.5025936100001</v>
      </c>
      <c r="H4672">
        <v>120397.41962995</v>
      </c>
      <c r="I4672">
        <v>-202762.84886189</v>
      </c>
      <c r="J4672">
        <v>0</v>
      </c>
      <c r="K4672">
        <v>11472.494627309999</v>
      </c>
      <c r="L4672">
        <v>0</v>
      </c>
      <c r="M4672">
        <v>0</v>
      </c>
      <c r="N4672">
        <v>0</v>
      </c>
      <c r="O4672">
        <v>-4365.3209889798018</v>
      </c>
      <c r="P4672">
        <v>3851298</v>
      </c>
    </row>
    <row r="4673" spans="1:16" x14ac:dyDescent="0.25">
      <c r="A4673" s="10">
        <v>44566</v>
      </c>
      <c r="B4673">
        <v>99126</v>
      </c>
      <c r="C4673">
        <v>1995.385</v>
      </c>
      <c r="D4673">
        <v>0</v>
      </c>
      <c r="E4673">
        <v>0</v>
      </c>
      <c r="F4673">
        <v>0</v>
      </c>
      <c r="G4673">
        <v>1120.924415249993</v>
      </c>
      <c r="H4673">
        <v>97636.027319989997</v>
      </c>
      <c r="I4673">
        <v>0</v>
      </c>
      <c r="J4673">
        <v>0</v>
      </c>
      <c r="K4673">
        <v>3603.8040694199999</v>
      </c>
      <c r="L4673">
        <v>0</v>
      </c>
      <c r="M4673">
        <v>0</v>
      </c>
      <c r="N4673">
        <v>0</v>
      </c>
      <c r="O4673">
        <v>-5230.1408046599827</v>
      </c>
      <c r="P4673">
        <v>3950424</v>
      </c>
    </row>
    <row r="4674" spans="1:16" x14ac:dyDescent="0.25">
      <c r="A4674" s="10">
        <v>44567</v>
      </c>
      <c r="B4674">
        <v>375911</v>
      </c>
      <c r="C4674">
        <v>103.21</v>
      </c>
      <c r="D4674">
        <v>0</v>
      </c>
      <c r="E4674">
        <v>0</v>
      </c>
      <c r="F4674">
        <v>0</v>
      </c>
      <c r="G4674">
        <v>-39.702278610000597</v>
      </c>
      <c r="H4674">
        <v>280960.25309999997</v>
      </c>
      <c r="I4674">
        <v>85302.030155369997</v>
      </c>
      <c r="J4674">
        <v>0</v>
      </c>
      <c r="K4674">
        <v>10676.881163309999</v>
      </c>
      <c r="L4674">
        <v>0</v>
      </c>
      <c r="M4674">
        <v>0</v>
      </c>
      <c r="N4674">
        <v>0</v>
      </c>
      <c r="O4674">
        <v>-1091.6721400700631</v>
      </c>
      <c r="P4674">
        <v>4326335</v>
      </c>
    </row>
    <row r="4675" spans="1:16" x14ac:dyDescent="0.25">
      <c r="A4675" s="10">
        <v>44568</v>
      </c>
      <c r="B4675">
        <v>-564407</v>
      </c>
      <c r="C4675">
        <v>8179.5829999999996</v>
      </c>
      <c r="D4675">
        <v>0</v>
      </c>
      <c r="E4675">
        <v>0</v>
      </c>
      <c r="F4675">
        <v>0</v>
      </c>
      <c r="G4675">
        <v>-21.047743239999999</v>
      </c>
      <c r="H4675">
        <v>-571215.44830504002</v>
      </c>
      <c r="I4675">
        <v>0</v>
      </c>
      <c r="J4675">
        <v>0</v>
      </c>
      <c r="K4675">
        <v>116.80577289</v>
      </c>
      <c r="L4675">
        <v>0</v>
      </c>
      <c r="M4675">
        <v>0</v>
      </c>
      <c r="N4675">
        <v>0</v>
      </c>
      <c r="O4675">
        <v>-1466.892724609934</v>
      </c>
      <c r="P4675">
        <v>3761928</v>
      </c>
    </row>
    <row r="4676" spans="1:16" x14ac:dyDescent="0.25">
      <c r="A4676" s="10">
        <v>44571</v>
      </c>
      <c r="B4676">
        <v>18326</v>
      </c>
      <c r="C4676">
        <v>7803.1459999999997</v>
      </c>
      <c r="D4676">
        <v>-9000</v>
      </c>
      <c r="E4676">
        <v>0</v>
      </c>
      <c r="F4676">
        <v>0</v>
      </c>
      <c r="G4676">
        <v>9024.6492935700007</v>
      </c>
      <c r="H4676">
        <v>8665.2805049599992</v>
      </c>
      <c r="I4676">
        <v>0</v>
      </c>
      <c r="J4676">
        <v>0</v>
      </c>
      <c r="K4676">
        <v>4620.1219238599997</v>
      </c>
      <c r="L4676">
        <v>0</v>
      </c>
      <c r="M4676">
        <v>0</v>
      </c>
      <c r="N4676">
        <v>0</v>
      </c>
      <c r="O4676">
        <v>-2787.1977223899989</v>
      </c>
      <c r="P4676">
        <v>3780254</v>
      </c>
    </row>
    <row r="4677" spans="1:16" x14ac:dyDescent="0.25">
      <c r="A4677" s="10">
        <v>44572</v>
      </c>
      <c r="B4677">
        <v>-210611</v>
      </c>
      <c r="C4677">
        <v>2381.88</v>
      </c>
      <c r="D4677">
        <v>0</v>
      </c>
      <c r="E4677">
        <v>0</v>
      </c>
      <c r="F4677">
        <v>0</v>
      </c>
      <c r="G4677">
        <v>604.52727860999971</v>
      </c>
      <c r="H4677">
        <v>453369.46994998999</v>
      </c>
      <c r="I4677">
        <v>-675491.38751411997</v>
      </c>
      <c r="J4677">
        <v>0</v>
      </c>
      <c r="K4677">
        <v>12062.5202071</v>
      </c>
      <c r="L4677">
        <v>0</v>
      </c>
      <c r="M4677">
        <v>0</v>
      </c>
      <c r="N4677">
        <v>0</v>
      </c>
      <c r="O4677">
        <v>-3538.0099215800001</v>
      </c>
      <c r="P4677">
        <v>3569643</v>
      </c>
    </row>
    <row r="4678" spans="1:16" x14ac:dyDescent="0.25">
      <c r="A4678" s="10">
        <v>44573</v>
      </c>
      <c r="B4678">
        <v>32359</v>
      </c>
      <c r="C4678">
        <v>20.696000000000002</v>
      </c>
      <c r="D4678">
        <v>0</v>
      </c>
      <c r="E4678">
        <v>0</v>
      </c>
      <c r="F4678">
        <v>0</v>
      </c>
      <c r="G4678">
        <v>-663.65666699999997</v>
      </c>
      <c r="H4678">
        <v>32407.227359979999</v>
      </c>
      <c r="I4678">
        <v>0</v>
      </c>
      <c r="J4678">
        <v>0</v>
      </c>
      <c r="K4678">
        <v>2862.5163820299999</v>
      </c>
      <c r="L4678">
        <v>0</v>
      </c>
      <c r="M4678">
        <v>0</v>
      </c>
      <c r="N4678">
        <v>0</v>
      </c>
      <c r="O4678">
        <v>-2267.7830750100038</v>
      </c>
      <c r="P4678">
        <v>3602002</v>
      </c>
    </row>
    <row r="4679" spans="1:16" x14ac:dyDescent="0.25">
      <c r="A4679" s="10">
        <v>44574</v>
      </c>
      <c r="B4679">
        <v>-80379</v>
      </c>
      <c r="C4679">
        <v>0</v>
      </c>
      <c r="D4679">
        <v>0</v>
      </c>
      <c r="E4679">
        <v>0</v>
      </c>
      <c r="F4679">
        <v>0</v>
      </c>
      <c r="G4679">
        <v>336.89569082999651</v>
      </c>
      <c r="H4679">
        <v>176102.42980496</v>
      </c>
      <c r="I4679">
        <v>-263750.76424254</v>
      </c>
      <c r="J4679">
        <v>0</v>
      </c>
      <c r="K4679">
        <v>7581.15287653</v>
      </c>
      <c r="L4679">
        <v>0</v>
      </c>
      <c r="M4679">
        <v>0</v>
      </c>
      <c r="N4679">
        <v>0</v>
      </c>
      <c r="O4679">
        <v>-648.71412977999717</v>
      </c>
      <c r="P4679">
        <v>3521623</v>
      </c>
    </row>
    <row r="4680" spans="1:16" x14ac:dyDescent="0.25">
      <c r="A4680" s="10">
        <v>44575</v>
      </c>
      <c r="B4680">
        <v>123137</v>
      </c>
      <c r="C4680">
        <v>43.377000000000002</v>
      </c>
      <c r="D4680">
        <v>-12500</v>
      </c>
      <c r="E4680">
        <v>0</v>
      </c>
      <c r="F4680">
        <v>0</v>
      </c>
      <c r="G4680">
        <v>-65418.95873874001</v>
      </c>
      <c r="H4680">
        <v>197694.35545499</v>
      </c>
      <c r="I4680">
        <v>0</v>
      </c>
      <c r="J4680">
        <v>0</v>
      </c>
      <c r="K4680">
        <v>3804.2243923800002</v>
      </c>
      <c r="L4680">
        <v>0</v>
      </c>
      <c r="M4680">
        <v>0</v>
      </c>
      <c r="N4680">
        <v>0</v>
      </c>
      <c r="O4680">
        <v>-485.99810862996668</v>
      </c>
      <c r="P4680">
        <v>3644760</v>
      </c>
    </row>
    <row r="4681" spans="1:16" x14ac:dyDescent="0.25">
      <c r="A4681" s="10">
        <v>44578</v>
      </c>
      <c r="B4681">
        <v>127612</v>
      </c>
      <c r="C4681">
        <v>0.05</v>
      </c>
      <c r="D4681">
        <v>0</v>
      </c>
      <c r="E4681">
        <v>0</v>
      </c>
      <c r="F4681">
        <v>0</v>
      </c>
      <c r="G4681">
        <v>1621.0137693200029</v>
      </c>
      <c r="H4681">
        <v>121909.90765494001</v>
      </c>
      <c r="I4681">
        <v>0</v>
      </c>
      <c r="J4681">
        <v>0</v>
      </c>
      <c r="K4681">
        <v>3691.2054122200002</v>
      </c>
      <c r="L4681">
        <v>0</v>
      </c>
      <c r="M4681">
        <v>0</v>
      </c>
      <c r="N4681">
        <v>0</v>
      </c>
      <c r="O4681">
        <v>389.82316351999179</v>
      </c>
      <c r="P4681">
        <v>3772372</v>
      </c>
    </row>
    <row r="4682" spans="1:16" x14ac:dyDescent="0.25">
      <c r="A4682" s="10">
        <v>44579</v>
      </c>
      <c r="B4682">
        <v>-169500</v>
      </c>
      <c r="C4682">
        <v>-5165.0450000000001</v>
      </c>
      <c r="D4682">
        <v>0</v>
      </c>
      <c r="E4682">
        <v>0</v>
      </c>
      <c r="F4682">
        <v>0</v>
      </c>
      <c r="G4682">
        <v>450.84736931001402</v>
      </c>
      <c r="H4682">
        <v>137709.83353495001</v>
      </c>
      <c r="I4682">
        <v>-313677.65589648002</v>
      </c>
      <c r="J4682">
        <v>0</v>
      </c>
      <c r="K4682">
        <v>11199.194257339999</v>
      </c>
      <c r="L4682">
        <v>0</v>
      </c>
      <c r="M4682">
        <v>0</v>
      </c>
      <c r="N4682">
        <v>0</v>
      </c>
      <c r="O4682">
        <v>-17.17426511994563</v>
      </c>
      <c r="P4682">
        <v>3602872</v>
      </c>
    </row>
    <row r="4683" spans="1:16" x14ac:dyDescent="0.25">
      <c r="A4683" s="10">
        <v>44580</v>
      </c>
      <c r="B4683">
        <v>-14230</v>
      </c>
      <c r="C4683">
        <v>-6426.1885000000002</v>
      </c>
      <c r="D4683">
        <v>0</v>
      </c>
      <c r="E4683">
        <v>0</v>
      </c>
      <c r="F4683">
        <v>0</v>
      </c>
      <c r="G4683">
        <v>-236.83666151</v>
      </c>
      <c r="H4683">
        <v>-9791.8405200300003</v>
      </c>
      <c r="I4683">
        <v>0</v>
      </c>
      <c r="J4683">
        <v>0</v>
      </c>
      <c r="K4683">
        <v>2142.85906471</v>
      </c>
      <c r="L4683">
        <v>0</v>
      </c>
      <c r="M4683">
        <v>0</v>
      </c>
      <c r="N4683">
        <v>0</v>
      </c>
      <c r="O4683">
        <v>82.006616830003622</v>
      </c>
      <c r="P4683">
        <v>3588642</v>
      </c>
    </row>
    <row r="4684" spans="1:16" x14ac:dyDescent="0.25">
      <c r="A4684" s="10">
        <v>44581</v>
      </c>
      <c r="B4684">
        <v>-41748</v>
      </c>
      <c r="C4684">
        <v>-3838.6379999999999</v>
      </c>
      <c r="D4684">
        <v>0</v>
      </c>
      <c r="E4684">
        <v>0</v>
      </c>
      <c r="F4684">
        <v>0</v>
      </c>
      <c r="G4684">
        <v>1881.5562518300001</v>
      </c>
      <c r="H4684">
        <v>142687.65356994001</v>
      </c>
      <c r="I4684">
        <v>-185563.10573658999</v>
      </c>
      <c r="J4684">
        <v>0</v>
      </c>
      <c r="K4684">
        <v>6299.0388078400001</v>
      </c>
      <c r="L4684">
        <v>0</v>
      </c>
      <c r="M4684">
        <v>0</v>
      </c>
      <c r="N4684">
        <v>0</v>
      </c>
      <c r="O4684">
        <v>-3214.504893020006</v>
      </c>
      <c r="P4684">
        <v>3546894</v>
      </c>
    </row>
    <row r="4685" spans="1:16" x14ac:dyDescent="0.25">
      <c r="A4685" s="10">
        <v>44582</v>
      </c>
      <c r="B4685">
        <v>1053.3999999999071</v>
      </c>
      <c r="C4685">
        <v>990.11500000000001</v>
      </c>
      <c r="D4685">
        <v>0</v>
      </c>
      <c r="E4685">
        <v>0</v>
      </c>
      <c r="F4685">
        <v>0</v>
      </c>
      <c r="G4685">
        <v>97.779022859999998</v>
      </c>
      <c r="H4685">
        <v>-1998.70902013</v>
      </c>
      <c r="I4685">
        <v>0</v>
      </c>
      <c r="J4685">
        <v>0</v>
      </c>
      <c r="K4685">
        <v>2045.8399333299999</v>
      </c>
      <c r="L4685">
        <v>0</v>
      </c>
      <c r="M4685">
        <v>0</v>
      </c>
      <c r="N4685">
        <v>0</v>
      </c>
      <c r="O4685">
        <v>-81.624936060092978</v>
      </c>
      <c r="P4685">
        <v>3547947.4</v>
      </c>
    </row>
    <row r="4686" spans="1:16" x14ac:dyDescent="0.25">
      <c r="A4686" s="10">
        <v>44585</v>
      </c>
      <c r="B4686">
        <v>111465.60000000009</v>
      </c>
      <c r="C4686">
        <v>4023.84</v>
      </c>
      <c r="D4686">
        <v>0</v>
      </c>
      <c r="E4686">
        <v>0</v>
      </c>
      <c r="F4686">
        <v>0</v>
      </c>
      <c r="G4686">
        <v>-206.51667777</v>
      </c>
      <c r="H4686">
        <v>105358.01314493</v>
      </c>
      <c r="I4686">
        <v>0</v>
      </c>
      <c r="J4686">
        <v>0</v>
      </c>
      <c r="K4686">
        <v>2340.44672059</v>
      </c>
      <c r="L4686">
        <v>0</v>
      </c>
      <c r="M4686">
        <v>0</v>
      </c>
      <c r="N4686">
        <v>0</v>
      </c>
      <c r="O4686">
        <v>-50.18318774990621</v>
      </c>
      <c r="P4686">
        <v>3659413</v>
      </c>
    </row>
    <row r="4687" spans="1:16" x14ac:dyDescent="0.25">
      <c r="A4687" s="10">
        <v>44586</v>
      </c>
      <c r="B4687">
        <v>-49680</v>
      </c>
      <c r="C4687">
        <v>0.05</v>
      </c>
      <c r="D4687">
        <v>0</v>
      </c>
      <c r="E4687">
        <v>0</v>
      </c>
      <c r="F4687">
        <v>0</v>
      </c>
      <c r="G4687">
        <v>-262.66799953999998</v>
      </c>
      <c r="H4687">
        <v>3069.8351996900001</v>
      </c>
      <c r="I4687">
        <v>-60248.858161130003</v>
      </c>
      <c r="J4687">
        <v>0</v>
      </c>
      <c r="K4687">
        <v>10728.293784490001</v>
      </c>
      <c r="L4687">
        <v>0</v>
      </c>
      <c r="M4687">
        <v>0</v>
      </c>
      <c r="N4687">
        <v>0</v>
      </c>
      <c r="O4687">
        <v>-2966.6528235099981</v>
      </c>
      <c r="P4687">
        <v>3609733</v>
      </c>
    </row>
    <row r="4688" spans="1:16" x14ac:dyDescent="0.25">
      <c r="A4688" s="10">
        <v>44587</v>
      </c>
      <c r="B4688">
        <v>10369</v>
      </c>
      <c r="C4688">
        <v>-5128.9934999999996</v>
      </c>
      <c r="D4688">
        <v>0</v>
      </c>
      <c r="E4688">
        <v>0</v>
      </c>
      <c r="F4688">
        <v>0</v>
      </c>
      <c r="G4688">
        <v>1307.67523798</v>
      </c>
      <c r="H4688">
        <v>15307.17439457</v>
      </c>
      <c r="I4688">
        <v>0</v>
      </c>
      <c r="J4688">
        <v>0</v>
      </c>
      <c r="K4688">
        <v>2299.86609464</v>
      </c>
      <c r="L4688">
        <v>0</v>
      </c>
      <c r="M4688">
        <v>0</v>
      </c>
      <c r="N4688">
        <v>0</v>
      </c>
      <c r="O4688">
        <v>-3416.7222271899968</v>
      </c>
      <c r="P4688">
        <v>3620102</v>
      </c>
    </row>
    <row r="4689" spans="1:16" x14ac:dyDescent="0.25">
      <c r="A4689" s="10">
        <v>44588</v>
      </c>
      <c r="B4689">
        <v>-22210</v>
      </c>
      <c r="C4689">
        <v>-11636.004199999999</v>
      </c>
      <c r="D4689">
        <v>0</v>
      </c>
      <c r="E4689">
        <v>0</v>
      </c>
      <c r="F4689">
        <v>0</v>
      </c>
      <c r="G4689">
        <v>220.68677084000001</v>
      </c>
      <c r="H4689">
        <v>54680.012954729988</v>
      </c>
      <c r="I4689">
        <v>-71335.162558149997</v>
      </c>
      <c r="J4689">
        <v>0</v>
      </c>
      <c r="K4689">
        <v>7076.66560407</v>
      </c>
      <c r="L4689">
        <v>0</v>
      </c>
      <c r="M4689">
        <v>0</v>
      </c>
      <c r="N4689">
        <v>0</v>
      </c>
      <c r="O4689">
        <v>-1216.1985714899999</v>
      </c>
      <c r="P4689">
        <v>3597892</v>
      </c>
    </row>
    <row r="4690" spans="1:16" x14ac:dyDescent="0.25">
      <c r="A4690" s="10">
        <v>44589</v>
      </c>
      <c r="B4690">
        <v>45241</v>
      </c>
      <c r="C4690">
        <v>-8678.4752000000008</v>
      </c>
      <c r="D4690">
        <v>-122000</v>
      </c>
      <c r="E4690">
        <v>122000</v>
      </c>
      <c r="F4690">
        <v>0</v>
      </c>
      <c r="G4690">
        <v>200.071954840004</v>
      </c>
      <c r="H4690">
        <v>52229.47499961</v>
      </c>
      <c r="I4690">
        <v>0</v>
      </c>
      <c r="J4690">
        <v>0</v>
      </c>
      <c r="K4690">
        <v>2329.2789991599998</v>
      </c>
      <c r="L4690">
        <v>0</v>
      </c>
      <c r="M4690">
        <v>0</v>
      </c>
      <c r="N4690">
        <v>0</v>
      </c>
      <c r="O4690">
        <v>-839.35075361000054</v>
      </c>
      <c r="P4690">
        <v>3643133</v>
      </c>
    </row>
    <row r="4691" spans="1:16" x14ac:dyDescent="0.25">
      <c r="A4691" s="10">
        <v>44592</v>
      </c>
      <c r="B4691">
        <v>-12086</v>
      </c>
      <c r="C4691">
        <v>250.22730000000001</v>
      </c>
      <c r="D4691">
        <v>0</v>
      </c>
      <c r="E4691">
        <v>0</v>
      </c>
      <c r="F4691">
        <v>0</v>
      </c>
      <c r="G4691">
        <v>-70813.879639839986</v>
      </c>
      <c r="H4691">
        <v>56702.342473149998</v>
      </c>
      <c r="I4691">
        <v>0</v>
      </c>
      <c r="J4691">
        <v>0</v>
      </c>
      <c r="K4691">
        <v>3019.3472824400001</v>
      </c>
      <c r="L4691">
        <v>0</v>
      </c>
      <c r="M4691">
        <v>0</v>
      </c>
      <c r="N4691">
        <v>0</v>
      </c>
      <c r="O4691">
        <v>-1244.0374157500121</v>
      </c>
      <c r="P4691">
        <v>3631047</v>
      </c>
    </row>
    <row r="4692" spans="1:16" x14ac:dyDescent="0.25">
      <c r="A4692" s="10">
        <v>44593</v>
      </c>
      <c r="B4692">
        <v>249941</v>
      </c>
      <c r="C4692">
        <v>-5148.9399999999996</v>
      </c>
      <c r="D4692">
        <v>0</v>
      </c>
      <c r="E4692">
        <v>0</v>
      </c>
      <c r="F4692">
        <v>0</v>
      </c>
      <c r="G4692">
        <v>107.85482699000021</v>
      </c>
      <c r="H4692">
        <v>185093.44713186091</v>
      </c>
      <c r="I4692">
        <v>57536.289865590174</v>
      </c>
      <c r="J4692">
        <v>0</v>
      </c>
      <c r="K4692">
        <v>13446.092358800001</v>
      </c>
      <c r="L4692">
        <v>0</v>
      </c>
      <c r="M4692">
        <v>0</v>
      </c>
      <c r="N4692">
        <v>0</v>
      </c>
      <c r="O4692">
        <v>-1093.74418324104</v>
      </c>
      <c r="P4692">
        <v>3880988</v>
      </c>
    </row>
    <row r="4693" spans="1:16" x14ac:dyDescent="0.25">
      <c r="A4693" s="10">
        <v>44594</v>
      </c>
      <c r="B4693">
        <v>-23867</v>
      </c>
      <c r="C4693">
        <v>105.2</v>
      </c>
      <c r="D4693">
        <v>0</v>
      </c>
      <c r="E4693">
        <v>0</v>
      </c>
      <c r="F4693">
        <v>0</v>
      </c>
      <c r="G4693">
        <v>865.33363226000029</v>
      </c>
      <c r="H4693">
        <v>-23089.49968500005</v>
      </c>
      <c r="I4693">
        <v>0</v>
      </c>
      <c r="J4693">
        <v>0</v>
      </c>
      <c r="K4693">
        <v>794.32324678999998</v>
      </c>
      <c r="L4693">
        <v>0</v>
      </c>
      <c r="M4693">
        <v>0</v>
      </c>
      <c r="N4693">
        <v>0</v>
      </c>
      <c r="O4693">
        <v>-2542.3571940499569</v>
      </c>
      <c r="P4693">
        <v>3857121</v>
      </c>
    </row>
    <row r="4694" spans="1:16" x14ac:dyDescent="0.25">
      <c r="A4694" s="10">
        <v>44595</v>
      </c>
      <c r="B4694">
        <v>-127851</v>
      </c>
      <c r="C4694">
        <v>243.54300000000001</v>
      </c>
      <c r="D4694">
        <v>0</v>
      </c>
      <c r="E4694">
        <v>0</v>
      </c>
      <c r="F4694">
        <v>0</v>
      </c>
      <c r="G4694">
        <v>-88.487153309999997</v>
      </c>
      <c r="H4694">
        <v>71104.453289669997</v>
      </c>
      <c r="I4694">
        <v>-201857.99606790999</v>
      </c>
      <c r="J4694">
        <v>0</v>
      </c>
      <c r="K4694">
        <v>3897.9561537999998</v>
      </c>
      <c r="L4694">
        <v>0</v>
      </c>
      <c r="M4694">
        <v>0</v>
      </c>
      <c r="N4694">
        <v>0</v>
      </c>
      <c r="O4694">
        <v>-1150.469222250045</v>
      </c>
      <c r="P4694">
        <v>3729270</v>
      </c>
    </row>
    <row r="4695" spans="1:16" x14ac:dyDescent="0.25">
      <c r="A4695" s="10">
        <v>44596</v>
      </c>
      <c r="B4695">
        <v>-23851</v>
      </c>
      <c r="C4695">
        <v>0</v>
      </c>
      <c r="D4695">
        <v>0</v>
      </c>
      <c r="E4695">
        <v>0</v>
      </c>
      <c r="F4695">
        <v>0</v>
      </c>
      <c r="G4695">
        <v>819.832536879999</v>
      </c>
      <c r="H4695">
        <v>-23992.913745239999</v>
      </c>
      <c r="I4695">
        <v>0</v>
      </c>
      <c r="J4695">
        <v>0</v>
      </c>
      <c r="K4695">
        <v>752.22794517</v>
      </c>
      <c r="L4695">
        <v>0</v>
      </c>
      <c r="M4695">
        <v>0</v>
      </c>
      <c r="N4695">
        <v>0</v>
      </c>
      <c r="O4695">
        <v>-1430.1467368099979</v>
      </c>
      <c r="P4695">
        <v>3705419</v>
      </c>
    </row>
    <row r="4696" spans="1:16" x14ac:dyDescent="0.25">
      <c r="A4696" s="10">
        <v>44599</v>
      </c>
      <c r="B4696">
        <v>-74110</v>
      </c>
      <c r="C4696">
        <v>4977.5280000000002</v>
      </c>
      <c r="D4696">
        <v>0</v>
      </c>
      <c r="E4696">
        <v>0</v>
      </c>
      <c r="F4696">
        <v>0</v>
      </c>
      <c r="G4696">
        <v>9350.6924657300042</v>
      </c>
      <c r="H4696">
        <v>-87871.645530280002</v>
      </c>
      <c r="I4696">
        <v>0</v>
      </c>
      <c r="J4696">
        <v>0</v>
      </c>
      <c r="K4696">
        <v>2319.7884846100001</v>
      </c>
      <c r="L4696">
        <v>0</v>
      </c>
      <c r="M4696">
        <v>0</v>
      </c>
      <c r="N4696">
        <v>0</v>
      </c>
      <c r="O4696">
        <v>-2886.3634200600059</v>
      </c>
      <c r="P4696">
        <v>3631309</v>
      </c>
    </row>
    <row r="4697" spans="1:16" x14ac:dyDescent="0.25">
      <c r="A4697" s="10">
        <v>44600</v>
      </c>
      <c r="B4697">
        <v>118743</v>
      </c>
      <c r="C4697">
        <v>528.9</v>
      </c>
      <c r="D4697">
        <v>0</v>
      </c>
      <c r="E4697">
        <v>0</v>
      </c>
      <c r="F4697">
        <v>0</v>
      </c>
      <c r="G4697">
        <v>105.1177455</v>
      </c>
      <c r="H4697">
        <v>-128228.64300010999</v>
      </c>
      <c r="I4697">
        <v>222788.36493109001</v>
      </c>
      <c r="J4697">
        <v>0</v>
      </c>
      <c r="K4697">
        <v>25556.24283834</v>
      </c>
      <c r="L4697">
        <v>0</v>
      </c>
      <c r="M4697">
        <v>0</v>
      </c>
      <c r="N4697">
        <v>0</v>
      </c>
      <c r="O4697">
        <v>-2006.98251481996</v>
      </c>
      <c r="P4697">
        <v>3750052</v>
      </c>
    </row>
    <row r="4698" spans="1:16" x14ac:dyDescent="0.25">
      <c r="A4698" s="10">
        <v>44601</v>
      </c>
      <c r="B4698">
        <v>-40638</v>
      </c>
      <c r="C4698">
        <v>0</v>
      </c>
      <c r="D4698">
        <v>0</v>
      </c>
      <c r="E4698">
        <v>0</v>
      </c>
      <c r="F4698">
        <v>0</v>
      </c>
      <c r="G4698">
        <v>199.66695135000001</v>
      </c>
      <c r="H4698">
        <v>-41075.564535129997</v>
      </c>
      <c r="I4698">
        <v>0</v>
      </c>
      <c r="J4698">
        <v>0</v>
      </c>
      <c r="K4698">
        <v>962.72061557000006</v>
      </c>
      <c r="L4698">
        <v>0</v>
      </c>
      <c r="M4698">
        <v>0</v>
      </c>
      <c r="N4698">
        <v>0</v>
      </c>
      <c r="O4698">
        <v>-724.82303179000155</v>
      </c>
      <c r="P4698">
        <v>3709414</v>
      </c>
    </row>
    <row r="4699" spans="1:16" x14ac:dyDescent="0.25">
      <c r="A4699" s="10">
        <v>44602</v>
      </c>
      <c r="B4699">
        <v>36548</v>
      </c>
      <c r="C4699">
        <v>212</v>
      </c>
      <c r="D4699">
        <v>0</v>
      </c>
      <c r="E4699">
        <v>0</v>
      </c>
      <c r="F4699">
        <v>0</v>
      </c>
      <c r="G4699">
        <v>-103.12099110999991</v>
      </c>
      <c r="H4699">
        <v>6971.8333499999717</v>
      </c>
      <c r="I4699">
        <v>17003.197252249811</v>
      </c>
      <c r="J4699">
        <v>0</v>
      </c>
      <c r="K4699">
        <v>14092.84764435</v>
      </c>
      <c r="L4699">
        <v>0</v>
      </c>
      <c r="M4699">
        <v>0</v>
      </c>
      <c r="N4699">
        <v>0</v>
      </c>
      <c r="O4699">
        <v>-1628.7572554897779</v>
      </c>
      <c r="P4699">
        <v>3745962</v>
      </c>
    </row>
    <row r="4700" spans="1:16" x14ac:dyDescent="0.25">
      <c r="A4700" s="10">
        <v>44603</v>
      </c>
      <c r="B4700">
        <v>38936</v>
      </c>
      <c r="C4700">
        <v>0</v>
      </c>
      <c r="D4700">
        <v>0</v>
      </c>
      <c r="E4700">
        <v>0</v>
      </c>
      <c r="F4700">
        <v>0</v>
      </c>
      <c r="G4700">
        <v>57.073928700000003</v>
      </c>
      <c r="H4700">
        <v>37973.817629820012</v>
      </c>
      <c r="I4700">
        <v>0</v>
      </c>
      <c r="J4700">
        <v>0</v>
      </c>
      <c r="K4700">
        <v>992.61977723000007</v>
      </c>
      <c r="L4700">
        <v>0</v>
      </c>
      <c r="M4700">
        <v>0</v>
      </c>
      <c r="N4700">
        <v>0</v>
      </c>
      <c r="O4700">
        <v>-87.511335750008584</v>
      </c>
      <c r="P4700">
        <v>3784898</v>
      </c>
    </row>
    <row r="4701" spans="1:16" x14ac:dyDescent="0.25">
      <c r="A4701" s="10">
        <v>44606</v>
      </c>
      <c r="B4701">
        <v>141560</v>
      </c>
      <c r="C4701">
        <v>8596.4573999999993</v>
      </c>
      <c r="D4701">
        <v>0</v>
      </c>
      <c r="E4701">
        <v>0</v>
      </c>
      <c r="F4701">
        <v>0</v>
      </c>
      <c r="G4701">
        <v>-98395.64382385998</v>
      </c>
      <c r="H4701">
        <v>227746.31030988999</v>
      </c>
      <c r="I4701">
        <v>0</v>
      </c>
      <c r="J4701">
        <v>0</v>
      </c>
      <c r="K4701">
        <v>2877.9829886900002</v>
      </c>
      <c r="L4701">
        <v>0</v>
      </c>
      <c r="M4701">
        <v>0</v>
      </c>
      <c r="N4701">
        <v>0</v>
      </c>
      <c r="O4701">
        <v>734.89312528001028</v>
      </c>
      <c r="P4701">
        <v>3926458</v>
      </c>
    </row>
    <row r="4702" spans="1:16" x14ac:dyDescent="0.25">
      <c r="A4702" s="10">
        <v>44607</v>
      </c>
      <c r="B4702">
        <v>68115</v>
      </c>
      <c r="C4702">
        <v>669.89</v>
      </c>
      <c r="D4702">
        <v>0</v>
      </c>
      <c r="E4702">
        <v>0</v>
      </c>
      <c r="F4702">
        <v>0</v>
      </c>
      <c r="G4702">
        <v>50390.381546069992</v>
      </c>
      <c r="H4702">
        <v>11228.301674820001</v>
      </c>
      <c r="I4702">
        <v>-10370.1983043</v>
      </c>
      <c r="J4702">
        <v>0</v>
      </c>
      <c r="K4702">
        <v>17143.611526950001</v>
      </c>
      <c r="L4702">
        <v>0</v>
      </c>
      <c r="M4702">
        <v>0</v>
      </c>
      <c r="N4702">
        <v>0</v>
      </c>
      <c r="O4702">
        <v>-946.98644353999407</v>
      </c>
      <c r="P4702">
        <v>3994573</v>
      </c>
    </row>
    <row r="4703" spans="1:16" x14ac:dyDescent="0.25">
      <c r="A4703" s="10">
        <v>44608</v>
      </c>
      <c r="B4703">
        <v>-88044</v>
      </c>
      <c r="C4703">
        <v>532.85</v>
      </c>
      <c r="D4703">
        <v>0</v>
      </c>
      <c r="E4703">
        <v>0</v>
      </c>
      <c r="F4703">
        <v>0</v>
      </c>
      <c r="G4703">
        <v>40.355924889999997</v>
      </c>
      <c r="H4703">
        <v>-89005.720590099983</v>
      </c>
      <c r="I4703">
        <v>0</v>
      </c>
      <c r="J4703">
        <v>0</v>
      </c>
      <c r="K4703">
        <v>749.81567441999994</v>
      </c>
      <c r="L4703">
        <v>0</v>
      </c>
      <c r="M4703">
        <v>0</v>
      </c>
      <c r="N4703">
        <v>0</v>
      </c>
      <c r="O4703">
        <v>-361.30100921001582</v>
      </c>
      <c r="P4703">
        <v>3906529</v>
      </c>
    </row>
    <row r="4704" spans="1:16" x14ac:dyDescent="0.25">
      <c r="A4704" s="10">
        <v>44609</v>
      </c>
      <c r="B4704">
        <v>-85355</v>
      </c>
      <c r="C4704">
        <v>0</v>
      </c>
      <c r="D4704">
        <v>0</v>
      </c>
      <c r="E4704">
        <v>0</v>
      </c>
      <c r="F4704">
        <v>0</v>
      </c>
      <c r="G4704">
        <v>-2503.4795824300172</v>
      </c>
      <c r="H4704">
        <v>-44633.006100170001</v>
      </c>
      <c r="I4704">
        <v>-49241.131221600001</v>
      </c>
      <c r="J4704">
        <v>0</v>
      </c>
      <c r="K4704">
        <v>11053.90191841</v>
      </c>
      <c r="L4704">
        <v>0</v>
      </c>
      <c r="M4704">
        <v>0</v>
      </c>
      <c r="N4704">
        <v>0</v>
      </c>
      <c r="O4704">
        <v>-31.28501420997782</v>
      </c>
      <c r="P4704">
        <v>3821174</v>
      </c>
    </row>
    <row r="4705" spans="1:16" x14ac:dyDescent="0.25">
      <c r="A4705" s="10">
        <v>44610</v>
      </c>
      <c r="B4705">
        <v>-91756</v>
      </c>
      <c r="C4705">
        <v>0</v>
      </c>
      <c r="D4705">
        <v>0</v>
      </c>
      <c r="E4705">
        <v>0</v>
      </c>
      <c r="F4705">
        <v>0</v>
      </c>
      <c r="G4705">
        <v>4089.2824126800001</v>
      </c>
      <c r="H4705">
        <v>-96136.825860090001</v>
      </c>
      <c r="I4705">
        <v>0</v>
      </c>
      <c r="J4705">
        <v>0</v>
      </c>
      <c r="K4705">
        <v>866.97839370999895</v>
      </c>
      <c r="L4705">
        <v>0</v>
      </c>
      <c r="M4705">
        <v>0</v>
      </c>
      <c r="N4705">
        <v>0</v>
      </c>
      <c r="O4705">
        <v>-575.43494629999623</v>
      </c>
      <c r="P4705">
        <v>3729418</v>
      </c>
    </row>
    <row r="4706" spans="1:16" x14ac:dyDescent="0.25">
      <c r="A4706" s="10">
        <v>44613</v>
      </c>
      <c r="B4706">
        <v>82697</v>
      </c>
      <c r="C4706">
        <v>-642.51</v>
      </c>
      <c r="D4706">
        <v>0</v>
      </c>
      <c r="E4706">
        <v>0</v>
      </c>
      <c r="F4706">
        <v>0</v>
      </c>
      <c r="G4706">
        <v>-750.94329054000013</v>
      </c>
      <c r="H4706">
        <v>81693.590984959999</v>
      </c>
      <c r="I4706">
        <v>0</v>
      </c>
      <c r="J4706">
        <v>0</v>
      </c>
      <c r="K4706">
        <v>2987.55952432</v>
      </c>
      <c r="L4706">
        <v>0</v>
      </c>
      <c r="M4706">
        <v>0</v>
      </c>
      <c r="N4706">
        <v>0</v>
      </c>
      <c r="O4706">
        <v>-590.69721873999515</v>
      </c>
      <c r="P4706">
        <v>3812115</v>
      </c>
    </row>
    <row r="4707" spans="1:16" x14ac:dyDescent="0.25">
      <c r="A4707" s="10">
        <v>44614</v>
      </c>
      <c r="B4707">
        <v>-167153</v>
      </c>
      <c r="C4707">
        <v>-6386.7359999999999</v>
      </c>
      <c r="D4707">
        <v>0</v>
      </c>
      <c r="E4707">
        <v>0</v>
      </c>
      <c r="F4707">
        <v>0</v>
      </c>
      <c r="G4707">
        <v>3106.7070143499932</v>
      </c>
      <c r="H4707">
        <v>230370.6101399</v>
      </c>
      <c r="I4707">
        <v>-404361.13106753002</v>
      </c>
      <c r="J4707">
        <v>0</v>
      </c>
      <c r="K4707">
        <v>9690.5779198600012</v>
      </c>
      <c r="L4707">
        <v>0</v>
      </c>
      <c r="M4707">
        <v>0</v>
      </c>
      <c r="N4707">
        <v>0</v>
      </c>
      <c r="O4707">
        <v>426.97199342006928</v>
      </c>
      <c r="P4707">
        <v>3644962</v>
      </c>
    </row>
    <row r="4708" spans="1:16" x14ac:dyDescent="0.25">
      <c r="A4708" s="10">
        <v>44615</v>
      </c>
      <c r="B4708">
        <v>-52201</v>
      </c>
      <c r="C4708">
        <v>-6545.2891399999999</v>
      </c>
      <c r="D4708">
        <v>0</v>
      </c>
      <c r="E4708">
        <v>0</v>
      </c>
      <c r="F4708">
        <v>0</v>
      </c>
      <c r="G4708">
        <v>893.65211820000093</v>
      </c>
      <c r="H4708">
        <v>-46002.817755069991</v>
      </c>
      <c r="I4708">
        <v>0</v>
      </c>
      <c r="J4708">
        <v>0</v>
      </c>
      <c r="K4708">
        <v>709.43808611999998</v>
      </c>
      <c r="L4708">
        <v>0</v>
      </c>
      <c r="M4708">
        <v>0</v>
      </c>
      <c r="N4708">
        <v>0</v>
      </c>
      <c r="O4708">
        <v>-1255.983309250005</v>
      </c>
      <c r="P4708">
        <v>3592761</v>
      </c>
    </row>
    <row r="4709" spans="1:16" x14ac:dyDescent="0.25">
      <c r="A4709" s="10">
        <v>44616</v>
      </c>
      <c r="B4709">
        <v>83746</v>
      </c>
      <c r="C4709">
        <v>-6605.1750000000002</v>
      </c>
      <c r="D4709">
        <v>0</v>
      </c>
      <c r="E4709">
        <v>0</v>
      </c>
      <c r="F4709">
        <v>0</v>
      </c>
      <c r="G4709">
        <v>-562.2561676900001</v>
      </c>
      <c r="H4709">
        <v>171447.00826495999</v>
      </c>
      <c r="I4709">
        <v>-86550.514640410009</v>
      </c>
      <c r="J4709">
        <v>0</v>
      </c>
      <c r="K4709">
        <v>8510.6815862500007</v>
      </c>
      <c r="L4709">
        <v>0</v>
      </c>
      <c r="M4709">
        <v>0</v>
      </c>
      <c r="N4709">
        <v>0</v>
      </c>
      <c r="O4709">
        <v>-2493.7440431099972</v>
      </c>
      <c r="P4709">
        <v>3676507</v>
      </c>
    </row>
    <row r="4710" spans="1:16" x14ac:dyDescent="0.25">
      <c r="A4710" s="10">
        <v>44617</v>
      </c>
      <c r="B4710">
        <v>-4505</v>
      </c>
      <c r="C4710">
        <v>-10645.5015</v>
      </c>
      <c r="D4710">
        <v>0</v>
      </c>
      <c r="E4710">
        <v>0</v>
      </c>
      <c r="F4710">
        <v>0</v>
      </c>
      <c r="G4710">
        <v>40321.33083418</v>
      </c>
      <c r="H4710">
        <v>-32407.250744180001</v>
      </c>
      <c r="I4710">
        <v>0</v>
      </c>
      <c r="J4710">
        <v>0</v>
      </c>
      <c r="K4710">
        <v>594.30437701999995</v>
      </c>
      <c r="L4710">
        <v>0</v>
      </c>
      <c r="M4710">
        <v>0</v>
      </c>
      <c r="N4710">
        <v>0</v>
      </c>
      <c r="O4710">
        <v>-2367.882967020003</v>
      </c>
      <c r="P4710">
        <v>3672002</v>
      </c>
    </row>
    <row r="4711" spans="1:16" x14ac:dyDescent="0.25">
      <c r="A4711" s="10">
        <v>44622</v>
      </c>
      <c r="B4711">
        <v>126878</v>
      </c>
      <c r="C4711">
        <v>4378.0680000000002</v>
      </c>
      <c r="D4711">
        <v>0</v>
      </c>
      <c r="E4711">
        <v>0</v>
      </c>
      <c r="F4711">
        <v>0</v>
      </c>
      <c r="G4711">
        <v>-101080.06140196</v>
      </c>
      <c r="H4711">
        <v>198611.45174896001</v>
      </c>
      <c r="I4711">
        <v>9045.8465040700066</v>
      </c>
      <c r="J4711">
        <v>0</v>
      </c>
      <c r="K4711">
        <v>14671.275493499999</v>
      </c>
      <c r="L4711">
        <v>0</v>
      </c>
      <c r="M4711">
        <v>0</v>
      </c>
      <c r="N4711">
        <v>0</v>
      </c>
      <c r="O4711">
        <v>1251.419655430014</v>
      </c>
      <c r="P4711">
        <v>3798880</v>
      </c>
    </row>
    <row r="4712" spans="1:16" x14ac:dyDescent="0.25">
      <c r="A4712" s="10">
        <v>44623</v>
      </c>
      <c r="B4712">
        <v>-123170</v>
      </c>
      <c r="C4712">
        <v>2711.4250000000002</v>
      </c>
      <c r="D4712">
        <v>0</v>
      </c>
      <c r="E4712">
        <v>0</v>
      </c>
      <c r="F4712">
        <v>0</v>
      </c>
      <c r="G4712">
        <v>465.06293754000001</v>
      </c>
      <c r="H4712">
        <v>-63416.62660507</v>
      </c>
      <c r="I4712">
        <v>-69438.115813320008</v>
      </c>
      <c r="J4712">
        <v>0</v>
      </c>
      <c r="K4712">
        <v>9881.4332421799991</v>
      </c>
      <c r="L4712">
        <v>0</v>
      </c>
      <c r="M4712">
        <v>0</v>
      </c>
      <c r="N4712">
        <v>0</v>
      </c>
      <c r="O4712">
        <v>-3373.1787613299971</v>
      </c>
      <c r="P4712">
        <v>3675710</v>
      </c>
    </row>
    <row r="4713" spans="1:16" x14ac:dyDescent="0.25">
      <c r="A4713" s="10">
        <v>44624</v>
      </c>
      <c r="B4713">
        <v>-50715</v>
      </c>
      <c r="C4713">
        <v>2784.3474999999999</v>
      </c>
      <c r="D4713">
        <v>0</v>
      </c>
      <c r="E4713">
        <v>0</v>
      </c>
      <c r="F4713">
        <v>0</v>
      </c>
      <c r="G4713">
        <v>146.42144619000001</v>
      </c>
      <c r="H4713">
        <v>-50418.135585080003</v>
      </c>
      <c r="I4713">
        <v>0</v>
      </c>
      <c r="J4713">
        <v>0</v>
      </c>
      <c r="K4713">
        <v>499.96509638999999</v>
      </c>
      <c r="L4713">
        <v>0</v>
      </c>
      <c r="M4713">
        <v>0</v>
      </c>
      <c r="N4713">
        <v>0</v>
      </c>
      <c r="O4713">
        <v>-3727.598457499997</v>
      </c>
      <c r="P4713">
        <v>3624995</v>
      </c>
    </row>
    <row r="4714" spans="1:16" x14ac:dyDescent="0.25">
      <c r="A4714" s="10">
        <v>44627</v>
      </c>
      <c r="B4714">
        <v>22582</v>
      </c>
      <c r="C4714">
        <v>32394.264500000001</v>
      </c>
      <c r="D4714">
        <v>0</v>
      </c>
      <c r="E4714">
        <v>0</v>
      </c>
      <c r="F4714">
        <v>0</v>
      </c>
      <c r="G4714">
        <v>2265.1658537100002</v>
      </c>
      <c r="H4714">
        <v>-13346.651880130001</v>
      </c>
      <c r="I4714">
        <v>0</v>
      </c>
      <c r="J4714">
        <v>0</v>
      </c>
      <c r="K4714">
        <v>1638.7178268099999</v>
      </c>
      <c r="L4714">
        <v>0</v>
      </c>
      <c r="M4714">
        <v>0</v>
      </c>
      <c r="N4714">
        <v>0</v>
      </c>
      <c r="O4714">
        <v>-369.49630039000112</v>
      </c>
      <c r="P4714">
        <v>3647577</v>
      </c>
    </row>
    <row r="4715" spans="1:16" x14ac:dyDescent="0.25">
      <c r="A4715" s="10">
        <v>44628</v>
      </c>
      <c r="B4715">
        <v>-4281</v>
      </c>
      <c r="C4715">
        <v>6916.5784999999996</v>
      </c>
      <c r="D4715">
        <v>0</v>
      </c>
      <c r="E4715">
        <v>0</v>
      </c>
      <c r="F4715">
        <v>0</v>
      </c>
      <c r="G4715">
        <v>216.08525298999999</v>
      </c>
      <c r="H4715">
        <v>-55024.347465080013</v>
      </c>
      <c r="I4715">
        <v>25657.647345080011</v>
      </c>
      <c r="J4715">
        <v>0</v>
      </c>
      <c r="K4715">
        <v>18421.89985994</v>
      </c>
      <c r="L4715">
        <v>0</v>
      </c>
      <c r="M4715">
        <v>0</v>
      </c>
      <c r="N4715">
        <v>0</v>
      </c>
      <c r="O4715">
        <v>-468.86349293000598</v>
      </c>
      <c r="P4715">
        <v>3643296</v>
      </c>
    </row>
    <row r="4716" spans="1:16" x14ac:dyDescent="0.25">
      <c r="A4716" s="10">
        <v>44629</v>
      </c>
      <c r="B4716">
        <v>41459</v>
      </c>
      <c r="C4716">
        <v>54.33</v>
      </c>
      <c r="D4716">
        <v>0</v>
      </c>
      <c r="E4716">
        <v>0</v>
      </c>
      <c r="F4716">
        <v>0</v>
      </c>
      <c r="G4716">
        <v>-265.97114843999901</v>
      </c>
      <c r="H4716">
        <v>43193.433554860007</v>
      </c>
      <c r="I4716">
        <v>0</v>
      </c>
      <c r="J4716">
        <v>0</v>
      </c>
      <c r="K4716">
        <v>608.99074085999996</v>
      </c>
      <c r="L4716">
        <v>0</v>
      </c>
      <c r="M4716">
        <v>0</v>
      </c>
      <c r="N4716">
        <v>0</v>
      </c>
      <c r="O4716">
        <v>-2131.7831472800099</v>
      </c>
      <c r="P4716">
        <v>3684755</v>
      </c>
    </row>
    <row r="4717" spans="1:16" x14ac:dyDescent="0.25">
      <c r="A4717" s="10">
        <v>44630</v>
      </c>
      <c r="B4717">
        <v>-33844</v>
      </c>
      <c r="C4717">
        <v>870.08</v>
      </c>
      <c r="D4717">
        <v>0</v>
      </c>
      <c r="E4717">
        <v>0</v>
      </c>
      <c r="F4717">
        <v>0</v>
      </c>
      <c r="G4717">
        <v>283.10879428999999</v>
      </c>
      <c r="H4717">
        <v>62658.75761991</v>
      </c>
      <c r="I4717">
        <v>-111614.0775689</v>
      </c>
      <c r="J4717">
        <v>0</v>
      </c>
      <c r="K4717">
        <v>13141.72105161</v>
      </c>
      <c r="L4717">
        <v>0</v>
      </c>
      <c r="M4717">
        <v>0</v>
      </c>
      <c r="N4717">
        <v>0</v>
      </c>
      <c r="O4717">
        <v>816.41010309000558</v>
      </c>
      <c r="P4717">
        <v>3650911</v>
      </c>
    </row>
    <row r="4718" spans="1:16" x14ac:dyDescent="0.25">
      <c r="A4718" s="10">
        <v>44631</v>
      </c>
      <c r="B4718">
        <v>25640</v>
      </c>
      <c r="C4718">
        <v>625.99450000000002</v>
      </c>
      <c r="D4718">
        <v>0</v>
      </c>
      <c r="E4718">
        <v>0</v>
      </c>
      <c r="F4718">
        <v>0</v>
      </c>
      <c r="G4718">
        <v>99552.980298320006</v>
      </c>
      <c r="H4718">
        <v>-72007.386570019997</v>
      </c>
      <c r="I4718">
        <v>0</v>
      </c>
      <c r="J4718">
        <v>0</v>
      </c>
      <c r="K4718">
        <v>511.83872971</v>
      </c>
      <c r="L4718">
        <v>0</v>
      </c>
      <c r="M4718">
        <v>0</v>
      </c>
      <c r="N4718">
        <v>0</v>
      </c>
      <c r="O4718">
        <v>-3043.4269580100122</v>
      </c>
      <c r="P4718">
        <v>3676551</v>
      </c>
    </row>
    <row r="4719" spans="1:16" x14ac:dyDescent="0.25">
      <c r="A4719" s="10">
        <v>44634</v>
      </c>
      <c r="B4719">
        <v>81441</v>
      </c>
      <c r="C4719">
        <v>9760.4850999999999</v>
      </c>
      <c r="D4719">
        <v>0</v>
      </c>
      <c r="E4719">
        <v>0</v>
      </c>
      <c r="F4719">
        <v>0</v>
      </c>
      <c r="G4719">
        <v>3.7855753300000292</v>
      </c>
      <c r="H4719">
        <v>70426.459484980005</v>
      </c>
      <c r="I4719">
        <v>0</v>
      </c>
      <c r="J4719">
        <v>0</v>
      </c>
      <c r="K4719">
        <v>1733.7831028000001</v>
      </c>
      <c r="L4719">
        <v>0</v>
      </c>
      <c r="M4719">
        <v>0</v>
      </c>
      <c r="N4719">
        <v>0</v>
      </c>
      <c r="O4719">
        <v>-483.51326311001321</v>
      </c>
      <c r="P4719">
        <v>3757992</v>
      </c>
    </row>
    <row r="4720" spans="1:16" x14ac:dyDescent="0.25">
      <c r="A4720" s="10">
        <v>44635</v>
      </c>
      <c r="B4720">
        <v>4731</v>
      </c>
      <c r="C4720">
        <v>245.74250000000001</v>
      </c>
      <c r="D4720">
        <v>-12000</v>
      </c>
      <c r="E4720">
        <v>0</v>
      </c>
      <c r="F4720">
        <v>0</v>
      </c>
      <c r="G4720">
        <v>12090.48367702997</v>
      </c>
      <c r="H4720">
        <v>-16029.966960039999</v>
      </c>
      <c r="I4720">
        <v>2931.0585562100018</v>
      </c>
      <c r="J4720">
        <v>0</v>
      </c>
      <c r="K4720">
        <v>17162.658178220001</v>
      </c>
      <c r="L4720">
        <v>0</v>
      </c>
      <c r="M4720">
        <v>0</v>
      </c>
      <c r="N4720">
        <v>0</v>
      </c>
      <c r="O4720">
        <v>331.02404858002961</v>
      </c>
      <c r="P4720">
        <v>3762723</v>
      </c>
    </row>
    <row r="4721" spans="1:16" x14ac:dyDescent="0.25">
      <c r="A4721" s="10">
        <v>44636</v>
      </c>
      <c r="B4721">
        <v>-37732</v>
      </c>
      <c r="C4721">
        <v>0</v>
      </c>
      <c r="D4721">
        <v>0</v>
      </c>
      <c r="E4721">
        <v>0</v>
      </c>
      <c r="F4721">
        <v>0</v>
      </c>
      <c r="G4721">
        <v>-1898.8486594000001</v>
      </c>
      <c r="H4721">
        <v>-35918.838180019993</v>
      </c>
      <c r="I4721">
        <v>0</v>
      </c>
      <c r="J4721">
        <v>0</v>
      </c>
      <c r="K4721">
        <v>528.00215299000001</v>
      </c>
      <c r="L4721">
        <v>0</v>
      </c>
      <c r="M4721">
        <v>0</v>
      </c>
      <c r="N4721">
        <v>0</v>
      </c>
      <c r="O4721">
        <v>-442.31531357000489</v>
      </c>
      <c r="P4721">
        <v>3724991</v>
      </c>
    </row>
    <row r="4722" spans="1:16" x14ac:dyDescent="0.25">
      <c r="A4722" s="10">
        <v>44637</v>
      </c>
      <c r="B4722">
        <v>142700</v>
      </c>
      <c r="C4722">
        <v>-3613.83</v>
      </c>
      <c r="D4722">
        <v>0</v>
      </c>
      <c r="E4722">
        <v>0</v>
      </c>
      <c r="F4722">
        <v>0</v>
      </c>
      <c r="G4722">
        <v>2251.5772101399962</v>
      </c>
      <c r="H4722">
        <v>-11987.14927502</v>
      </c>
      <c r="I4722">
        <v>142719.75600222001</v>
      </c>
      <c r="J4722">
        <v>0</v>
      </c>
      <c r="K4722">
        <v>12297.98342257</v>
      </c>
      <c r="L4722">
        <v>0</v>
      </c>
      <c r="M4722">
        <v>0</v>
      </c>
      <c r="N4722">
        <v>0</v>
      </c>
      <c r="O4722">
        <v>1031.6626400899841</v>
      </c>
      <c r="P4722">
        <v>3867691</v>
      </c>
    </row>
    <row r="4723" spans="1:16" x14ac:dyDescent="0.25">
      <c r="A4723" s="10">
        <v>44638</v>
      </c>
      <c r="B4723">
        <v>-134333</v>
      </c>
      <c r="C4723">
        <v>-1640.57</v>
      </c>
      <c r="D4723">
        <v>0</v>
      </c>
      <c r="E4723">
        <v>0</v>
      </c>
      <c r="F4723">
        <v>0</v>
      </c>
      <c r="G4723">
        <v>-157834.4546345</v>
      </c>
      <c r="H4723">
        <v>23223.349079979998</v>
      </c>
      <c r="I4723">
        <v>0</v>
      </c>
      <c r="J4723">
        <v>0</v>
      </c>
      <c r="K4723">
        <v>571.97066195000002</v>
      </c>
      <c r="L4723">
        <v>0</v>
      </c>
      <c r="M4723">
        <v>0</v>
      </c>
      <c r="N4723">
        <v>0</v>
      </c>
      <c r="O4723">
        <v>1346.704892569978</v>
      </c>
      <c r="P4723">
        <v>3733358</v>
      </c>
    </row>
    <row r="4724" spans="1:16" x14ac:dyDescent="0.25">
      <c r="A4724" s="10">
        <v>44641</v>
      </c>
      <c r="B4724">
        <v>-55426</v>
      </c>
      <c r="C4724">
        <v>-5394.9777999999997</v>
      </c>
      <c r="D4724">
        <v>0</v>
      </c>
      <c r="E4724">
        <v>0</v>
      </c>
      <c r="F4724">
        <v>0</v>
      </c>
      <c r="G4724">
        <v>5162.72000655999</v>
      </c>
      <c r="H4724">
        <v>-56155.870260000003</v>
      </c>
      <c r="I4724">
        <v>0</v>
      </c>
      <c r="J4724">
        <v>0</v>
      </c>
      <c r="K4724">
        <v>1651.9682440399999</v>
      </c>
      <c r="L4724">
        <v>0</v>
      </c>
      <c r="M4724">
        <v>0</v>
      </c>
      <c r="N4724">
        <v>0</v>
      </c>
      <c r="O4724">
        <v>-689.84019059999264</v>
      </c>
      <c r="P4724">
        <v>3677932</v>
      </c>
    </row>
    <row r="4725" spans="1:16" x14ac:dyDescent="0.25">
      <c r="A4725" s="10">
        <v>44642</v>
      </c>
      <c r="B4725">
        <v>32749</v>
      </c>
      <c r="C4725">
        <v>699.21100000000001</v>
      </c>
      <c r="D4725">
        <v>0</v>
      </c>
      <c r="E4725">
        <v>0</v>
      </c>
      <c r="F4725">
        <v>0</v>
      </c>
      <c r="G4725">
        <v>1436.609538499963</v>
      </c>
      <c r="H4725">
        <v>-156414.54402008999</v>
      </c>
      <c r="I4725">
        <v>173140.96134678999</v>
      </c>
      <c r="J4725">
        <v>0</v>
      </c>
      <c r="K4725">
        <v>14971.17735772</v>
      </c>
      <c r="L4725">
        <v>0</v>
      </c>
      <c r="M4725">
        <v>0</v>
      </c>
      <c r="N4725">
        <v>0</v>
      </c>
      <c r="O4725">
        <v>-1084.4152229199681</v>
      </c>
      <c r="P4725">
        <v>3710681</v>
      </c>
    </row>
    <row r="4726" spans="1:16" x14ac:dyDescent="0.25">
      <c r="A4726" s="10">
        <v>44643</v>
      </c>
      <c r="B4726">
        <v>-112437</v>
      </c>
      <c r="C4726">
        <v>-3237.2080000000001</v>
      </c>
      <c r="D4726">
        <v>0</v>
      </c>
      <c r="E4726">
        <v>0</v>
      </c>
      <c r="F4726">
        <v>0</v>
      </c>
      <c r="G4726">
        <v>316.78996999999998</v>
      </c>
      <c r="H4726">
        <v>91955.255759929991</v>
      </c>
      <c r="I4726">
        <v>-212539.18553327999</v>
      </c>
      <c r="J4726">
        <v>0</v>
      </c>
      <c r="K4726">
        <v>11416.29684026</v>
      </c>
      <c r="L4726">
        <v>0</v>
      </c>
      <c r="M4726">
        <v>0</v>
      </c>
      <c r="N4726">
        <v>0</v>
      </c>
      <c r="O4726">
        <v>-348.9490369099949</v>
      </c>
      <c r="P4726">
        <v>3598244</v>
      </c>
    </row>
    <row r="4727" spans="1:16" x14ac:dyDescent="0.25">
      <c r="A4727" s="10">
        <v>44645</v>
      </c>
      <c r="B4727">
        <v>2939</v>
      </c>
      <c r="C4727">
        <v>-2207.674</v>
      </c>
      <c r="D4727">
        <v>-15000</v>
      </c>
      <c r="E4727">
        <v>0</v>
      </c>
      <c r="F4727">
        <v>0</v>
      </c>
      <c r="G4727">
        <v>17127.568152889969</v>
      </c>
      <c r="H4727">
        <v>1649.75804984</v>
      </c>
      <c r="I4727">
        <v>0</v>
      </c>
      <c r="J4727">
        <v>0</v>
      </c>
      <c r="K4727">
        <v>1362.1993701199999</v>
      </c>
      <c r="L4727">
        <v>0</v>
      </c>
      <c r="M4727">
        <v>0</v>
      </c>
      <c r="N4727">
        <v>0</v>
      </c>
      <c r="O4727">
        <v>7.1484271500276009</v>
      </c>
      <c r="P4727">
        <v>3601183</v>
      </c>
    </row>
    <row r="4728" spans="1:16" x14ac:dyDescent="0.25">
      <c r="A4728" s="10">
        <v>44648</v>
      </c>
      <c r="B4728">
        <v>-86248</v>
      </c>
      <c r="C4728">
        <v>928.61199999999997</v>
      </c>
      <c r="D4728">
        <v>0</v>
      </c>
      <c r="E4728">
        <v>0</v>
      </c>
      <c r="F4728">
        <v>0</v>
      </c>
      <c r="G4728">
        <v>341.53226748999998</v>
      </c>
      <c r="H4728">
        <v>-90103.01085002</v>
      </c>
      <c r="I4728">
        <v>0</v>
      </c>
      <c r="J4728">
        <v>0</v>
      </c>
      <c r="K4728">
        <v>2038.6209739599999</v>
      </c>
      <c r="L4728">
        <v>0</v>
      </c>
      <c r="M4728">
        <v>0</v>
      </c>
      <c r="N4728">
        <v>0</v>
      </c>
      <c r="O4728">
        <v>546.24560857001052</v>
      </c>
      <c r="P4728">
        <v>3514935</v>
      </c>
    </row>
    <row r="4729" spans="1:16" x14ac:dyDescent="0.25">
      <c r="A4729" s="10">
        <v>44649</v>
      </c>
      <c r="B4729">
        <v>49758</v>
      </c>
      <c r="C4729">
        <v>-4765.66</v>
      </c>
      <c r="D4729">
        <v>0</v>
      </c>
      <c r="E4729">
        <v>0</v>
      </c>
      <c r="F4729">
        <v>0</v>
      </c>
      <c r="G4729">
        <v>-18.89995922</v>
      </c>
      <c r="H4729">
        <v>65805.680204929988</v>
      </c>
      <c r="I4729">
        <v>-22165.534821789999</v>
      </c>
      <c r="J4729">
        <v>0</v>
      </c>
      <c r="K4729">
        <v>10858.909977740001</v>
      </c>
      <c r="L4729">
        <v>0</v>
      </c>
      <c r="M4729">
        <v>0</v>
      </c>
      <c r="N4729">
        <v>0</v>
      </c>
      <c r="O4729">
        <v>43.504598340005032</v>
      </c>
      <c r="P4729">
        <v>3564693</v>
      </c>
    </row>
    <row r="4730" spans="1:16" x14ac:dyDescent="0.25">
      <c r="A4730" s="10">
        <v>44650</v>
      </c>
      <c r="B4730">
        <v>-69746</v>
      </c>
      <c r="C4730">
        <v>-4109.6315000000004</v>
      </c>
      <c r="D4730">
        <v>0</v>
      </c>
      <c r="E4730">
        <v>0</v>
      </c>
      <c r="F4730">
        <v>0</v>
      </c>
      <c r="G4730">
        <v>40232.115547779998</v>
      </c>
      <c r="H4730">
        <v>-106553.97567004</v>
      </c>
      <c r="I4730">
        <v>0</v>
      </c>
      <c r="J4730">
        <v>0</v>
      </c>
      <c r="K4730">
        <v>702.50629502999993</v>
      </c>
      <c r="L4730">
        <v>0</v>
      </c>
      <c r="M4730">
        <v>0</v>
      </c>
      <c r="N4730">
        <v>0</v>
      </c>
      <c r="O4730">
        <v>-17.014672770004839</v>
      </c>
      <c r="P4730">
        <v>3494947</v>
      </c>
    </row>
    <row r="4731" spans="1:16" x14ac:dyDescent="0.25">
      <c r="A4731" s="10">
        <v>44651</v>
      </c>
      <c r="B4731">
        <v>18839</v>
      </c>
      <c r="C4731">
        <v>-8092.9780000000001</v>
      </c>
      <c r="D4731">
        <v>0</v>
      </c>
      <c r="E4731">
        <v>0</v>
      </c>
      <c r="F4731">
        <v>0</v>
      </c>
      <c r="G4731">
        <v>-131190.8353759</v>
      </c>
      <c r="H4731">
        <v>172316.73372572</v>
      </c>
      <c r="I4731">
        <v>-24716.39265324</v>
      </c>
      <c r="J4731">
        <v>0</v>
      </c>
      <c r="K4731">
        <v>13096.74922424</v>
      </c>
      <c r="L4731">
        <v>0</v>
      </c>
      <c r="M4731">
        <v>0</v>
      </c>
      <c r="N4731">
        <v>0</v>
      </c>
      <c r="O4731">
        <v>-2574.2769208200548</v>
      </c>
      <c r="P4731">
        <v>3513786</v>
      </c>
    </row>
    <row r="4732" spans="1:16" x14ac:dyDescent="0.25">
      <c r="A4732" s="10">
        <v>44652</v>
      </c>
      <c r="B4732">
        <v>245281</v>
      </c>
      <c r="C4732">
        <v>554.20000000000005</v>
      </c>
      <c r="D4732">
        <v>0</v>
      </c>
      <c r="E4732">
        <v>0</v>
      </c>
      <c r="F4732">
        <v>0</v>
      </c>
      <c r="G4732">
        <v>6851.9347330599658</v>
      </c>
      <c r="H4732">
        <v>235279.48245918</v>
      </c>
      <c r="I4732">
        <v>0</v>
      </c>
      <c r="J4732">
        <v>0</v>
      </c>
      <c r="K4732">
        <v>640.34697561999997</v>
      </c>
      <c r="L4732">
        <v>0</v>
      </c>
      <c r="M4732">
        <v>0</v>
      </c>
      <c r="N4732">
        <v>0</v>
      </c>
      <c r="O4732">
        <v>1955.035832140042</v>
      </c>
      <c r="P4732">
        <v>3759067</v>
      </c>
    </row>
    <row r="4733" spans="1:16" x14ac:dyDescent="0.25">
      <c r="A4733" s="10">
        <v>44655</v>
      </c>
      <c r="B4733">
        <v>76246</v>
      </c>
      <c r="C4733">
        <v>-1166.675</v>
      </c>
      <c r="D4733">
        <v>0</v>
      </c>
      <c r="E4733">
        <v>0</v>
      </c>
      <c r="F4733">
        <v>0</v>
      </c>
      <c r="G4733">
        <v>179873.40624156999</v>
      </c>
      <c r="H4733">
        <v>-102806.51202005</v>
      </c>
      <c r="I4733">
        <v>0</v>
      </c>
      <c r="J4733">
        <v>0</v>
      </c>
      <c r="K4733">
        <v>1253.8785583599999</v>
      </c>
      <c r="L4733">
        <v>0</v>
      </c>
      <c r="M4733">
        <v>0</v>
      </c>
      <c r="N4733">
        <v>0</v>
      </c>
      <c r="O4733">
        <v>-908.09777988004498</v>
      </c>
      <c r="P4733">
        <v>3835313</v>
      </c>
    </row>
    <row r="4734" spans="1:16" x14ac:dyDescent="0.25">
      <c r="A4734" s="10">
        <v>44656</v>
      </c>
      <c r="B4734">
        <v>-147533</v>
      </c>
      <c r="C4734">
        <v>1675.35</v>
      </c>
      <c r="D4734">
        <v>0</v>
      </c>
      <c r="E4734">
        <v>0</v>
      </c>
      <c r="F4734">
        <v>0</v>
      </c>
      <c r="G4734">
        <v>1355.8658435799821</v>
      </c>
      <c r="H4734">
        <v>30629.415239959999</v>
      </c>
      <c r="I4734">
        <v>-197905.01312618001</v>
      </c>
      <c r="J4734">
        <v>0</v>
      </c>
      <c r="K4734">
        <v>17096.829415780001</v>
      </c>
      <c r="L4734">
        <v>0</v>
      </c>
      <c r="M4734">
        <v>0</v>
      </c>
      <c r="N4734">
        <v>0</v>
      </c>
      <c r="O4734">
        <v>-385.44737313999212</v>
      </c>
      <c r="P4734">
        <v>3687780</v>
      </c>
    </row>
    <row r="4735" spans="1:16" x14ac:dyDescent="0.25">
      <c r="A4735" s="10">
        <v>44657</v>
      </c>
      <c r="B4735">
        <v>-114287</v>
      </c>
      <c r="C4735">
        <v>2851.665</v>
      </c>
      <c r="D4735">
        <v>0</v>
      </c>
      <c r="E4735">
        <v>0</v>
      </c>
      <c r="F4735">
        <v>0</v>
      </c>
      <c r="G4735">
        <v>118.94068904</v>
      </c>
      <c r="H4735">
        <v>-115803.91048504</v>
      </c>
      <c r="I4735">
        <v>0</v>
      </c>
      <c r="J4735">
        <v>0</v>
      </c>
      <c r="K4735">
        <v>486.18170701999998</v>
      </c>
      <c r="L4735">
        <v>0</v>
      </c>
      <c r="M4735">
        <v>0</v>
      </c>
      <c r="N4735">
        <v>0</v>
      </c>
      <c r="O4735">
        <v>-1939.8769110199939</v>
      </c>
      <c r="P4735">
        <v>3573493</v>
      </c>
    </row>
    <row r="4736" spans="1:16" x14ac:dyDescent="0.25">
      <c r="A4736" s="10">
        <v>44658</v>
      </c>
      <c r="B4736">
        <v>87350</v>
      </c>
      <c r="C4736">
        <v>61.554499999999997</v>
      </c>
      <c r="D4736">
        <v>0</v>
      </c>
      <c r="E4736">
        <v>0</v>
      </c>
      <c r="F4736">
        <v>0</v>
      </c>
      <c r="G4736">
        <v>69748.818109030006</v>
      </c>
      <c r="H4736">
        <v>-9021.59082003</v>
      </c>
      <c r="I4736">
        <v>11584.547302159999</v>
      </c>
      <c r="J4736">
        <v>0</v>
      </c>
      <c r="K4736">
        <v>17592.715681900001</v>
      </c>
      <c r="L4736">
        <v>0</v>
      </c>
      <c r="M4736">
        <v>0</v>
      </c>
      <c r="N4736">
        <v>0</v>
      </c>
      <c r="O4736">
        <v>-2616.044773059999</v>
      </c>
      <c r="P4736">
        <v>3660843</v>
      </c>
    </row>
    <row r="4737" spans="1:16" x14ac:dyDescent="0.25">
      <c r="A4737" s="10">
        <v>44659</v>
      </c>
      <c r="B4737">
        <v>-3550</v>
      </c>
      <c r="C4737">
        <v>26.953499999999998</v>
      </c>
      <c r="D4737">
        <v>0</v>
      </c>
      <c r="E4737">
        <v>0</v>
      </c>
      <c r="F4737">
        <v>0</v>
      </c>
      <c r="G4737">
        <v>5095.6058427200151</v>
      </c>
      <c r="H4737">
        <v>-8662.8685950900017</v>
      </c>
      <c r="I4737">
        <v>0</v>
      </c>
      <c r="J4737">
        <v>0</v>
      </c>
      <c r="K4737">
        <v>604.1674548200001</v>
      </c>
      <c r="L4737">
        <v>0</v>
      </c>
      <c r="M4737">
        <v>0</v>
      </c>
      <c r="N4737">
        <v>0</v>
      </c>
      <c r="O4737">
        <v>-613.85820245001378</v>
      </c>
      <c r="P4737">
        <v>3657293</v>
      </c>
    </row>
    <row r="4738" spans="1:16" x14ac:dyDescent="0.25">
      <c r="A4738" s="10">
        <v>44662</v>
      </c>
      <c r="B4738">
        <v>33794</v>
      </c>
      <c r="C4738">
        <v>844.23800000000006</v>
      </c>
      <c r="D4738">
        <v>0</v>
      </c>
      <c r="E4738">
        <v>0</v>
      </c>
      <c r="F4738">
        <v>0</v>
      </c>
      <c r="G4738">
        <v>435.04924946999989</v>
      </c>
      <c r="H4738">
        <v>31312.990484909991</v>
      </c>
      <c r="I4738">
        <v>0</v>
      </c>
      <c r="J4738">
        <v>0</v>
      </c>
      <c r="K4738">
        <v>1837.06693651</v>
      </c>
      <c r="L4738">
        <v>0</v>
      </c>
      <c r="M4738">
        <v>0</v>
      </c>
      <c r="N4738">
        <v>0</v>
      </c>
      <c r="O4738">
        <v>-635.34467088999372</v>
      </c>
      <c r="P4738">
        <v>3691087</v>
      </c>
    </row>
    <row r="4739" spans="1:16" x14ac:dyDescent="0.25">
      <c r="A4739" s="10">
        <v>44663</v>
      </c>
      <c r="B4739">
        <v>127748</v>
      </c>
      <c r="C4739">
        <v>18.299499999999998</v>
      </c>
      <c r="D4739">
        <v>0</v>
      </c>
      <c r="E4739">
        <v>0</v>
      </c>
      <c r="F4739">
        <v>0</v>
      </c>
      <c r="G4739">
        <v>3419.51144049</v>
      </c>
      <c r="H4739">
        <v>149606.46962997</v>
      </c>
      <c r="I4739">
        <v>-42676.932591340003</v>
      </c>
      <c r="J4739">
        <v>0</v>
      </c>
      <c r="K4739">
        <v>17307.477272370001</v>
      </c>
      <c r="L4739">
        <v>0</v>
      </c>
      <c r="M4739">
        <v>0</v>
      </c>
      <c r="N4739">
        <v>0</v>
      </c>
      <c r="O4739">
        <v>73.174748510005884</v>
      </c>
      <c r="P4739">
        <v>3818835</v>
      </c>
    </row>
    <row r="4740" spans="1:16" x14ac:dyDescent="0.25">
      <c r="A4740" s="10">
        <v>44664</v>
      </c>
      <c r="B4740">
        <v>-105985</v>
      </c>
      <c r="C4740">
        <v>-3518.6925000000001</v>
      </c>
      <c r="D4740">
        <v>-10000</v>
      </c>
      <c r="E4740">
        <v>0</v>
      </c>
      <c r="F4740">
        <v>0</v>
      </c>
      <c r="G4740">
        <v>9750.5154136399797</v>
      </c>
      <c r="H4740">
        <v>44561.676599949998</v>
      </c>
      <c r="I4740">
        <v>-153745.89798271999</v>
      </c>
      <c r="J4740">
        <v>0</v>
      </c>
      <c r="K4740">
        <v>7979.6767526200001</v>
      </c>
      <c r="L4740">
        <v>0</v>
      </c>
      <c r="M4740">
        <v>0</v>
      </c>
      <c r="N4740">
        <v>0</v>
      </c>
      <c r="O4740">
        <v>-1012.278283489984</v>
      </c>
      <c r="P4740">
        <v>3712850</v>
      </c>
    </row>
    <row r="4741" spans="1:16" x14ac:dyDescent="0.25">
      <c r="A4741" s="10">
        <v>44669</v>
      </c>
      <c r="B4741">
        <v>-65600</v>
      </c>
      <c r="C4741">
        <v>7828.6469999999999</v>
      </c>
      <c r="D4741">
        <v>0</v>
      </c>
      <c r="E4741">
        <v>0</v>
      </c>
      <c r="F4741">
        <v>0</v>
      </c>
      <c r="G4741">
        <v>-22073.56802196</v>
      </c>
      <c r="H4741">
        <v>-53615.31570005</v>
      </c>
      <c r="I4741">
        <v>0</v>
      </c>
      <c r="J4741">
        <v>0</v>
      </c>
      <c r="K4741">
        <v>1996.1481977999999</v>
      </c>
      <c r="L4741">
        <v>0</v>
      </c>
      <c r="M4741">
        <v>0</v>
      </c>
      <c r="N4741">
        <v>0</v>
      </c>
      <c r="O4741">
        <v>264.08852421000478</v>
      </c>
      <c r="P4741">
        <v>3647250</v>
      </c>
    </row>
    <row r="4742" spans="1:16" x14ac:dyDescent="0.25">
      <c r="A4742" s="10">
        <v>44670</v>
      </c>
      <c r="B4742">
        <v>-125793</v>
      </c>
      <c r="C4742">
        <v>8943.098</v>
      </c>
      <c r="D4742">
        <v>0</v>
      </c>
      <c r="E4742">
        <v>0</v>
      </c>
      <c r="F4742">
        <v>0</v>
      </c>
      <c r="G4742">
        <v>-1847.94559611</v>
      </c>
      <c r="H4742">
        <v>3559.5441898600002</v>
      </c>
      <c r="I4742">
        <v>-143860.11325314999</v>
      </c>
      <c r="J4742">
        <v>0</v>
      </c>
      <c r="K4742">
        <v>8142.3023932799997</v>
      </c>
      <c r="L4742">
        <v>0</v>
      </c>
      <c r="M4742">
        <v>0</v>
      </c>
      <c r="N4742">
        <v>0</v>
      </c>
      <c r="O4742">
        <v>-729.88573388001532</v>
      </c>
      <c r="P4742">
        <v>3521457</v>
      </c>
    </row>
    <row r="4743" spans="1:16" x14ac:dyDescent="0.25">
      <c r="A4743" s="10">
        <v>44671</v>
      </c>
      <c r="B4743">
        <v>-6117</v>
      </c>
      <c r="C4743">
        <v>-4257.0794999999998</v>
      </c>
      <c r="D4743">
        <v>0</v>
      </c>
      <c r="E4743">
        <v>0</v>
      </c>
      <c r="F4743">
        <v>0</v>
      </c>
      <c r="G4743">
        <v>71523.85688827002</v>
      </c>
      <c r="H4743">
        <v>-72072.939870030008</v>
      </c>
      <c r="I4743">
        <v>0</v>
      </c>
      <c r="J4743">
        <v>0</v>
      </c>
      <c r="K4743">
        <v>465.95752604</v>
      </c>
      <c r="L4743">
        <v>0</v>
      </c>
      <c r="M4743">
        <v>0</v>
      </c>
      <c r="N4743">
        <v>0</v>
      </c>
      <c r="O4743">
        <v>-1776.795044280012</v>
      </c>
      <c r="P4743">
        <v>3515340</v>
      </c>
    </row>
    <row r="4744" spans="1:16" x14ac:dyDescent="0.25">
      <c r="A4744" s="10">
        <v>44672</v>
      </c>
      <c r="B4744">
        <v>32048</v>
      </c>
      <c r="C4744">
        <v>3341.944</v>
      </c>
      <c r="D4744">
        <v>0</v>
      </c>
      <c r="E4744">
        <v>0</v>
      </c>
      <c r="F4744">
        <v>0</v>
      </c>
      <c r="G4744">
        <v>484.78075547999998</v>
      </c>
      <c r="H4744">
        <v>-108751.83214501</v>
      </c>
      <c r="I4744">
        <v>117661.59063357</v>
      </c>
      <c r="J4744">
        <v>0</v>
      </c>
      <c r="K4744">
        <v>20051.90499657</v>
      </c>
      <c r="L4744">
        <v>0</v>
      </c>
      <c r="M4744">
        <v>0</v>
      </c>
      <c r="N4744">
        <v>0</v>
      </c>
      <c r="O4744">
        <v>-740.38824061001651</v>
      </c>
      <c r="P4744">
        <v>3547388</v>
      </c>
    </row>
    <row r="4745" spans="1:16" x14ac:dyDescent="0.25">
      <c r="A4745" s="10">
        <v>44673</v>
      </c>
      <c r="B4745">
        <v>-61463</v>
      </c>
      <c r="C4745">
        <v>1484.92</v>
      </c>
      <c r="D4745">
        <v>0</v>
      </c>
      <c r="E4745">
        <v>0</v>
      </c>
      <c r="F4745">
        <v>0</v>
      </c>
      <c r="G4745">
        <v>-274.64643789000002</v>
      </c>
      <c r="H4745">
        <v>-63314.654805040002</v>
      </c>
      <c r="I4745">
        <v>0</v>
      </c>
      <c r="J4745">
        <v>0</v>
      </c>
      <c r="K4745">
        <v>644.30524634000005</v>
      </c>
      <c r="L4745">
        <v>0</v>
      </c>
      <c r="M4745">
        <v>0</v>
      </c>
      <c r="N4745">
        <v>0</v>
      </c>
      <c r="O4745">
        <v>-2.9240034100002958</v>
      </c>
      <c r="P4745">
        <v>3485925</v>
      </c>
    </row>
    <row r="4746" spans="1:16" x14ac:dyDescent="0.25">
      <c r="A4746" s="10">
        <v>44676</v>
      </c>
      <c r="B4746">
        <v>154196</v>
      </c>
      <c r="C4746">
        <v>4552.7960000000003</v>
      </c>
      <c r="D4746">
        <v>0</v>
      </c>
      <c r="E4746">
        <v>0</v>
      </c>
      <c r="F4746">
        <v>0</v>
      </c>
      <c r="G4746">
        <v>89.681898189999998</v>
      </c>
      <c r="H4746">
        <v>148342.74767981001</v>
      </c>
      <c r="I4746">
        <v>0</v>
      </c>
      <c r="J4746">
        <v>0</v>
      </c>
      <c r="K4746">
        <v>2120.2577314</v>
      </c>
      <c r="L4746">
        <v>0</v>
      </c>
      <c r="M4746">
        <v>0</v>
      </c>
      <c r="N4746">
        <v>0</v>
      </c>
      <c r="O4746">
        <v>-909.48330940000596</v>
      </c>
      <c r="P4746">
        <v>3640121</v>
      </c>
    </row>
    <row r="4747" spans="1:16" x14ac:dyDescent="0.25">
      <c r="A4747" s="10">
        <v>44677</v>
      </c>
      <c r="B4747">
        <v>-117885</v>
      </c>
      <c r="C4747">
        <v>1630.7059999999999</v>
      </c>
      <c r="D4747">
        <v>0</v>
      </c>
      <c r="E4747">
        <v>0</v>
      </c>
      <c r="F4747">
        <v>0</v>
      </c>
      <c r="G4747">
        <v>304.83130434999998</v>
      </c>
      <c r="H4747">
        <v>-26041.77679507</v>
      </c>
      <c r="I4747">
        <v>-105939.54588552</v>
      </c>
      <c r="J4747">
        <v>0</v>
      </c>
      <c r="K4747">
        <v>10080.242130430001</v>
      </c>
      <c r="L4747">
        <v>0</v>
      </c>
      <c r="M4747">
        <v>0</v>
      </c>
      <c r="N4747">
        <v>0</v>
      </c>
      <c r="O4747">
        <v>2080.5432458099972</v>
      </c>
      <c r="P4747">
        <v>3522236</v>
      </c>
    </row>
    <row r="4748" spans="1:16" x14ac:dyDescent="0.25">
      <c r="A4748" s="10">
        <v>44678</v>
      </c>
      <c r="B4748">
        <v>-72997</v>
      </c>
      <c r="C4748">
        <v>-7782.4835000000003</v>
      </c>
      <c r="D4748">
        <v>0</v>
      </c>
      <c r="E4748">
        <v>0</v>
      </c>
      <c r="F4748">
        <v>0</v>
      </c>
      <c r="G4748">
        <v>3137.8593468200002</v>
      </c>
      <c r="H4748">
        <v>-68895.789930109997</v>
      </c>
      <c r="I4748">
        <v>0</v>
      </c>
      <c r="J4748">
        <v>0</v>
      </c>
      <c r="K4748">
        <v>586.12696198000003</v>
      </c>
      <c r="L4748">
        <v>0</v>
      </c>
      <c r="M4748">
        <v>0</v>
      </c>
      <c r="N4748">
        <v>0</v>
      </c>
      <c r="O4748">
        <v>-42.712878689999343</v>
      </c>
      <c r="P4748">
        <v>3449239</v>
      </c>
    </row>
    <row r="4749" spans="1:16" x14ac:dyDescent="0.25">
      <c r="A4749" s="10">
        <v>44679</v>
      </c>
      <c r="B4749">
        <v>11518</v>
      </c>
      <c r="C4749">
        <v>0</v>
      </c>
      <c r="D4749">
        <v>-5000</v>
      </c>
      <c r="E4749">
        <v>0</v>
      </c>
      <c r="F4749">
        <v>0</v>
      </c>
      <c r="G4749">
        <v>65382.747966019997</v>
      </c>
      <c r="H4749">
        <v>-40334.633084840003</v>
      </c>
      <c r="I4749">
        <v>-22176.863659769999</v>
      </c>
      <c r="J4749">
        <v>0</v>
      </c>
      <c r="K4749">
        <v>14369.52788734</v>
      </c>
      <c r="L4749">
        <v>0</v>
      </c>
      <c r="M4749">
        <v>0</v>
      </c>
      <c r="N4749">
        <v>0</v>
      </c>
      <c r="O4749">
        <v>-722.77910874999543</v>
      </c>
      <c r="P4749">
        <v>3460757</v>
      </c>
    </row>
    <row r="4750" spans="1:16" x14ac:dyDescent="0.25">
      <c r="A4750" s="10">
        <v>44680</v>
      </c>
      <c r="B4750">
        <v>48777</v>
      </c>
      <c r="C4750">
        <v>1186.94</v>
      </c>
      <c r="D4750">
        <v>0</v>
      </c>
      <c r="E4750">
        <v>80000</v>
      </c>
      <c r="F4750">
        <v>0</v>
      </c>
      <c r="G4750">
        <v>-82547.108621170002</v>
      </c>
      <c r="H4750">
        <v>49690.406680840002</v>
      </c>
      <c r="I4750">
        <v>0</v>
      </c>
      <c r="J4750">
        <v>0</v>
      </c>
      <c r="K4750">
        <v>693.86107791999996</v>
      </c>
      <c r="L4750">
        <v>0</v>
      </c>
      <c r="M4750">
        <v>0</v>
      </c>
      <c r="N4750">
        <v>0</v>
      </c>
      <c r="O4750">
        <v>-247.0991375900048</v>
      </c>
      <c r="P4750">
        <v>3509534</v>
      </c>
    </row>
    <row r="4751" spans="1:16" x14ac:dyDescent="0.25">
      <c r="A4751" s="10">
        <v>44683</v>
      </c>
      <c r="B4751">
        <v>227320</v>
      </c>
      <c r="C4751">
        <v>22937.686000000002</v>
      </c>
      <c r="D4751">
        <v>-9000</v>
      </c>
      <c r="E4751">
        <v>0</v>
      </c>
      <c r="F4751">
        <v>0</v>
      </c>
      <c r="G4751">
        <v>7979.888840770006</v>
      </c>
      <c r="H4751">
        <v>204122.91807369</v>
      </c>
      <c r="I4751">
        <v>0</v>
      </c>
      <c r="J4751">
        <v>0</v>
      </c>
      <c r="K4751">
        <v>1934.55408502</v>
      </c>
      <c r="L4751">
        <v>0</v>
      </c>
      <c r="M4751">
        <v>0</v>
      </c>
      <c r="N4751">
        <v>0</v>
      </c>
      <c r="O4751">
        <v>-655.04699947996414</v>
      </c>
      <c r="P4751">
        <v>3736854</v>
      </c>
    </row>
    <row r="4752" spans="1:16" x14ac:dyDescent="0.25">
      <c r="A4752" s="10">
        <v>44684</v>
      </c>
      <c r="B4752">
        <v>-17252</v>
      </c>
      <c r="C4752">
        <v>5677.63</v>
      </c>
      <c r="D4752">
        <v>0</v>
      </c>
      <c r="E4752">
        <v>0</v>
      </c>
      <c r="F4752">
        <v>0</v>
      </c>
      <c r="G4752">
        <v>71025.339065730004</v>
      </c>
      <c r="H4752">
        <v>-48249.049725049998</v>
      </c>
      <c r="I4752">
        <v>-67543.743248569997</v>
      </c>
      <c r="J4752">
        <v>0</v>
      </c>
      <c r="K4752">
        <v>21633.489511489999</v>
      </c>
      <c r="L4752">
        <v>0</v>
      </c>
      <c r="M4752">
        <v>0</v>
      </c>
      <c r="N4752">
        <v>0</v>
      </c>
      <c r="O4752">
        <v>204.3343964000014</v>
      </c>
      <c r="P4752">
        <v>3719602</v>
      </c>
    </row>
    <row r="4753" spans="1:16" x14ac:dyDescent="0.25">
      <c r="A4753" s="10">
        <v>44685</v>
      </c>
      <c r="B4753">
        <v>8300</v>
      </c>
      <c r="C4753">
        <v>10197.279</v>
      </c>
      <c r="D4753">
        <v>0</v>
      </c>
      <c r="E4753">
        <v>0</v>
      </c>
      <c r="F4753">
        <v>0</v>
      </c>
      <c r="G4753">
        <v>-13.825887699999999</v>
      </c>
      <c r="H4753">
        <v>-1716.7680900600001</v>
      </c>
      <c r="I4753">
        <v>0</v>
      </c>
      <c r="J4753">
        <v>0</v>
      </c>
      <c r="K4753">
        <v>491.11275174000002</v>
      </c>
      <c r="L4753">
        <v>0</v>
      </c>
      <c r="M4753">
        <v>0</v>
      </c>
      <c r="N4753">
        <v>0</v>
      </c>
      <c r="O4753">
        <v>-657.79777398000078</v>
      </c>
      <c r="P4753">
        <v>3727902</v>
      </c>
    </row>
    <row r="4754" spans="1:16" x14ac:dyDescent="0.25">
      <c r="A4754" s="10">
        <v>44686</v>
      </c>
      <c r="B4754">
        <v>-42155</v>
      </c>
      <c r="C4754">
        <v>12021.525</v>
      </c>
      <c r="D4754">
        <v>0</v>
      </c>
      <c r="E4754">
        <v>0</v>
      </c>
      <c r="F4754">
        <v>0</v>
      </c>
      <c r="G4754">
        <v>-138.05584643</v>
      </c>
      <c r="H4754">
        <v>36085.63490995</v>
      </c>
      <c r="I4754">
        <v>-107310.46331693001</v>
      </c>
      <c r="J4754">
        <v>0</v>
      </c>
      <c r="K4754">
        <v>17894.282760909999</v>
      </c>
      <c r="L4754">
        <v>0</v>
      </c>
      <c r="M4754">
        <v>0</v>
      </c>
      <c r="N4754">
        <v>0</v>
      </c>
      <c r="O4754">
        <v>-707.92350750001788</v>
      </c>
      <c r="P4754">
        <v>3685747</v>
      </c>
    </row>
    <row r="4755" spans="1:16" x14ac:dyDescent="0.25">
      <c r="A4755" s="10">
        <v>44687</v>
      </c>
      <c r="B4755">
        <v>44426</v>
      </c>
      <c r="C4755">
        <v>9559.86</v>
      </c>
      <c r="D4755">
        <v>-6000</v>
      </c>
      <c r="E4755">
        <v>83730</v>
      </c>
      <c r="F4755">
        <v>0</v>
      </c>
      <c r="G4755">
        <v>2365.3047649300001</v>
      </c>
      <c r="H4755">
        <v>-43075.437615089999</v>
      </c>
      <c r="I4755">
        <v>0</v>
      </c>
      <c r="J4755">
        <v>0</v>
      </c>
      <c r="K4755">
        <v>457.21469134</v>
      </c>
      <c r="L4755">
        <v>0</v>
      </c>
      <c r="M4755">
        <v>0</v>
      </c>
      <c r="N4755">
        <v>0</v>
      </c>
      <c r="O4755">
        <v>-2610.9418411800002</v>
      </c>
      <c r="P4755">
        <v>3730173</v>
      </c>
    </row>
    <row r="4756" spans="1:16" x14ac:dyDescent="0.25">
      <c r="A4756" s="10">
        <v>44690</v>
      </c>
      <c r="B4756">
        <v>19580</v>
      </c>
      <c r="C4756">
        <v>12959.25</v>
      </c>
      <c r="D4756">
        <v>0</v>
      </c>
      <c r="E4756">
        <v>2770</v>
      </c>
      <c r="F4756">
        <v>0</v>
      </c>
      <c r="G4756">
        <v>2488.1728951800001</v>
      </c>
      <c r="H4756">
        <v>1410.85268969</v>
      </c>
      <c r="I4756">
        <v>0</v>
      </c>
      <c r="J4756">
        <v>0</v>
      </c>
      <c r="K4756">
        <v>1499.10016348</v>
      </c>
      <c r="L4756">
        <v>0</v>
      </c>
      <c r="M4756">
        <v>0</v>
      </c>
      <c r="N4756">
        <v>0</v>
      </c>
      <c r="O4756">
        <v>-1547.375748350001</v>
      </c>
      <c r="P4756">
        <v>3749753</v>
      </c>
    </row>
    <row r="4757" spans="1:16" x14ac:dyDescent="0.25">
      <c r="A4757" s="10">
        <v>44691</v>
      </c>
      <c r="B4757">
        <v>-51804</v>
      </c>
      <c r="C4757">
        <v>409.185</v>
      </c>
      <c r="D4757">
        <v>0</v>
      </c>
      <c r="E4757">
        <v>0</v>
      </c>
      <c r="F4757">
        <v>0</v>
      </c>
      <c r="G4757">
        <v>9.8021201100000042</v>
      </c>
      <c r="H4757">
        <v>25990.426709899999</v>
      </c>
      <c r="I4757">
        <v>-96772.162462320004</v>
      </c>
      <c r="J4757">
        <v>0</v>
      </c>
      <c r="K4757">
        <v>18776.68573411</v>
      </c>
      <c r="L4757">
        <v>0</v>
      </c>
      <c r="M4757">
        <v>0</v>
      </c>
      <c r="N4757">
        <v>0</v>
      </c>
      <c r="O4757">
        <v>-217.93710179999471</v>
      </c>
      <c r="P4757">
        <v>3697949</v>
      </c>
    </row>
    <row r="4758" spans="1:16" x14ac:dyDescent="0.25">
      <c r="A4758" s="10">
        <v>44692</v>
      </c>
      <c r="B4758">
        <v>43599</v>
      </c>
      <c r="C4758">
        <v>-2373.73</v>
      </c>
      <c r="D4758">
        <v>0</v>
      </c>
      <c r="E4758">
        <v>0</v>
      </c>
      <c r="F4758">
        <v>0</v>
      </c>
      <c r="G4758">
        <v>-19.509045619999998</v>
      </c>
      <c r="H4758">
        <v>45547.161209919999</v>
      </c>
      <c r="I4758">
        <v>2.5415E-2</v>
      </c>
      <c r="J4758">
        <v>0</v>
      </c>
      <c r="K4758">
        <v>472.64872000000003</v>
      </c>
      <c r="L4758">
        <v>0</v>
      </c>
      <c r="M4758">
        <v>0</v>
      </c>
      <c r="N4758">
        <v>0</v>
      </c>
      <c r="O4758">
        <v>-27.596299299992101</v>
      </c>
      <c r="P4758">
        <v>3741548</v>
      </c>
    </row>
    <row r="4759" spans="1:16" x14ac:dyDescent="0.25">
      <c r="A4759" s="10">
        <v>44693</v>
      </c>
      <c r="B4759">
        <v>-69265</v>
      </c>
      <c r="C4759">
        <v>-9614.94</v>
      </c>
      <c r="D4759">
        <v>0</v>
      </c>
      <c r="E4759">
        <v>0</v>
      </c>
      <c r="F4759">
        <v>0</v>
      </c>
      <c r="G4759">
        <v>-230.44140604</v>
      </c>
      <c r="H4759">
        <v>-35103.063780069999</v>
      </c>
      <c r="I4759">
        <v>-38099.740167210002</v>
      </c>
      <c r="J4759">
        <v>0</v>
      </c>
      <c r="K4759">
        <v>14341.36023475</v>
      </c>
      <c r="L4759">
        <v>0</v>
      </c>
      <c r="M4759">
        <v>0</v>
      </c>
      <c r="N4759">
        <v>0</v>
      </c>
      <c r="O4759">
        <v>-558.17488142999355</v>
      </c>
      <c r="P4759">
        <v>3672283</v>
      </c>
    </row>
    <row r="4760" spans="1:16" x14ac:dyDescent="0.25">
      <c r="A4760" s="10">
        <v>44694</v>
      </c>
      <c r="B4760">
        <v>-9892</v>
      </c>
      <c r="C4760">
        <v>415.04</v>
      </c>
      <c r="D4760">
        <v>-9000</v>
      </c>
      <c r="E4760">
        <v>87615</v>
      </c>
      <c r="F4760">
        <v>0</v>
      </c>
      <c r="G4760">
        <v>12763.347637049999</v>
      </c>
      <c r="H4760">
        <v>-101797.71957003001</v>
      </c>
      <c r="I4760">
        <v>0</v>
      </c>
      <c r="J4760">
        <v>0</v>
      </c>
      <c r="K4760">
        <v>462.37310740999999</v>
      </c>
      <c r="L4760">
        <v>0</v>
      </c>
      <c r="M4760">
        <v>0</v>
      </c>
      <c r="N4760">
        <v>0</v>
      </c>
      <c r="O4760">
        <v>-350.04117443000001</v>
      </c>
      <c r="P4760">
        <v>3662391</v>
      </c>
    </row>
    <row r="4761" spans="1:16" x14ac:dyDescent="0.25">
      <c r="A4761" s="10">
        <v>44697</v>
      </c>
      <c r="B4761">
        <v>78849</v>
      </c>
      <c r="C4761">
        <v>14938.922</v>
      </c>
      <c r="D4761">
        <v>0</v>
      </c>
      <c r="E4761">
        <v>0</v>
      </c>
      <c r="F4761">
        <v>0</v>
      </c>
      <c r="G4761">
        <v>-528.60881300000051</v>
      </c>
      <c r="H4761">
        <v>63107.433539750004</v>
      </c>
      <c r="I4761">
        <v>0</v>
      </c>
      <c r="J4761">
        <v>0</v>
      </c>
      <c r="K4761">
        <v>1758.6760553500001</v>
      </c>
      <c r="L4761">
        <v>0</v>
      </c>
      <c r="M4761">
        <v>0</v>
      </c>
      <c r="N4761">
        <v>0</v>
      </c>
      <c r="O4761">
        <v>-427.4227821000095</v>
      </c>
      <c r="P4761">
        <v>3741240</v>
      </c>
    </row>
    <row r="4762" spans="1:16" x14ac:dyDescent="0.25">
      <c r="A4762" s="10">
        <v>44698</v>
      </c>
      <c r="B4762">
        <v>-63393</v>
      </c>
      <c r="C4762">
        <v>47.143999999999998</v>
      </c>
      <c r="D4762">
        <v>0</v>
      </c>
      <c r="E4762">
        <v>4385</v>
      </c>
      <c r="F4762">
        <v>0</v>
      </c>
      <c r="G4762">
        <v>-2479.7989191299989</v>
      </c>
      <c r="H4762">
        <v>-82892.876220170001</v>
      </c>
      <c r="I4762">
        <v>4214.3552607600004</v>
      </c>
      <c r="J4762">
        <v>0</v>
      </c>
      <c r="K4762">
        <v>13343.675806339999</v>
      </c>
      <c r="L4762">
        <v>0</v>
      </c>
      <c r="M4762">
        <v>0</v>
      </c>
      <c r="N4762">
        <v>0</v>
      </c>
      <c r="O4762">
        <v>-10.49992780000321</v>
      </c>
      <c r="P4762">
        <v>3677847</v>
      </c>
    </row>
    <row r="4763" spans="1:16" x14ac:dyDescent="0.25">
      <c r="A4763" s="10">
        <v>44700</v>
      </c>
      <c r="B4763">
        <v>8329</v>
      </c>
      <c r="C4763">
        <v>7248.3249999999998</v>
      </c>
      <c r="D4763">
        <v>0</v>
      </c>
      <c r="E4763">
        <v>0</v>
      </c>
      <c r="F4763">
        <v>0</v>
      </c>
      <c r="G4763">
        <v>5438.5432611000006</v>
      </c>
      <c r="H4763">
        <v>-69816.085424999939</v>
      </c>
      <c r="I4763">
        <v>48306.589534329723</v>
      </c>
      <c r="J4763">
        <v>0</v>
      </c>
      <c r="K4763">
        <v>16871.311409559999</v>
      </c>
      <c r="L4763">
        <v>0</v>
      </c>
      <c r="M4763">
        <v>0</v>
      </c>
      <c r="N4763">
        <v>0</v>
      </c>
      <c r="O4763">
        <v>280.31622001022328</v>
      </c>
      <c r="P4763">
        <v>3686176</v>
      </c>
    </row>
    <row r="4764" spans="1:16" x14ac:dyDescent="0.25">
      <c r="A4764" s="10">
        <v>44701</v>
      </c>
      <c r="B4764">
        <v>-13624</v>
      </c>
      <c r="C4764">
        <v>5076.8680000000004</v>
      </c>
      <c r="D4764">
        <v>0</v>
      </c>
      <c r="E4764">
        <v>0</v>
      </c>
      <c r="F4764">
        <v>0</v>
      </c>
      <c r="G4764">
        <v>44.645218070000013</v>
      </c>
      <c r="H4764">
        <v>-18689.61001507</v>
      </c>
      <c r="I4764">
        <v>0</v>
      </c>
      <c r="J4764">
        <v>0</v>
      </c>
      <c r="K4764">
        <v>678.28171634</v>
      </c>
      <c r="L4764">
        <v>0</v>
      </c>
      <c r="M4764">
        <v>0</v>
      </c>
      <c r="N4764">
        <v>0</v>
      </c>
      <c r="O4764">
        <v>-734.1849193399994</v>
      </c>
      <c r="P4764">
        <v>3672552</v>
      </c>
    </row>
    <row r="4765" spans="1:16" x14ac:dyDescent="0.25">
      <c r="A4765" s="10">
        <v>44704</v>
      </c>
      <c r="B4765">
        <v>51070</v>
      </c>
      <c r="C4765">
        <v>18756.838</v>
      </c>
      <c r="D4765">
        <v>0</v>
      </c>
      <c r="E4765">
        <v>0</v>
      </c>
      <c r="F4765">
        <v>0</v>
      </c>
      <c r="G4765">
        <v>-86288.228884540018</v>
      </c>
      <c r="H4765">
        <v>118109.20153491</v>
      </c>
      <c r="I4765">
        <v>0</v>
      </c>
      <c r="J4765">
        <v>0</v>
      </c>
      <c r="K4765">
        <v>2092.45011118</v>
      </c>
      <c r="L4765">
        <v>0</v>
      </c>
      <c r="M4765">
        <v>0</v>
      </c>
      <c r="N4765">
        <v>0</v>
      </c>
      <c r="O4765">
        <v>-1600.2607615499801</v>
      </c>
      <c r="P4765">
        <v>3723622</v>
      </c>
    </row>
    <row r="4766" spans="1:16" x14ac:dyDescent="0.25">
      <c r="A4766" s="10">
        <v>44705</v>
      </c>
      <c r="B4766">
        <v>-20472</v>
      </c>
      <c r="C4766">
        <v>238.18</v>
      </c>
      <c r="D4766">
        <v>-5000</v>
      </c>
      <c r="E4766">
        <v>0</v>
      </c>
      <c r="F4766">
        <v>0</v>
      </c>
      <c r="G4766">
        <v>4820.7565002700103</v>
      </c>
      <c r="H4766">
        <v>12110.60798988</v>
      </c>
      <c r="I4766">
        <v>-46666.727699110001</v>
      </c>
      <c r="J4766">
        <v>0</v>
      </c>
      <c r="K4766">
        <v>13576.418104460001</v>
      </c>
      <c r="L4766">
        <v>0</v>
      </c>
      <c r="M4766">
        <v>0</v>
      </c>
      <c r="N4766">
        <v>0</v>
      </c>
      <c r="O4766">
        <v>448.76510449999108</v>
      </c>
      <c r="P4766">
        <v>3703150</v>
      </c>
    </row>
    <row r="4767" spans="1:16" x14ac:dyDescent="0.25">
      <c r="A4767" s="10">
        <v>44707</v>
      </c>
      <c r="B4767">
        <v>-4221</v>
      </c>
      <c r="C4767">
        <v>-6686.97</v>
      </c>
      <c r="D4767">
        <v>0</v>
      </c>
      <c r="E4767">
        <v>0</v>
      </c>
      <c r="F4767">
        <v>0</v>
      </c>
      <c r="G4767">
        <v>-171.23013184999999</v>
      </c>
      <c r="H4767">
        <v>-40195.826820129987</v>
      </c>
      <c r="I4767">
        <v>24087.358879399999</v>
      </c>
      <c r="J4767">
        <v>0</v>
      </c>
      <c r="K4767">
        <v>16412.951839270001</v>
      </c>
      <c r="L4767">
        <v>0</v>
      </c>
      <c r="M4767">
        <v>0</v>
      </c>
      <c r="N4767">
        <v>0</v>
      </c>
      <c r="O4767">
        <v>2332.7162333100059</v>
      </c>
      <c r="P4767">
        <v>3698929</v>
      </c>
    </row>
    <row r="4768" spans="1:16" x14ac:dyDescent="0.25">
      <c r="A4768" s="10">
        <v>44708</v>
      </c>
      <c r="B4768">
        <v>2279</v>
      </c>
      <c r="C4768">
        <v>7676.1850999999997</v>
      </c>
      <c r="D4768">
        <v>0</v>
      </c>
      <c r="E4768">
        <v>0</v>
      </c>
      <c r="F4768">
        <v>0</v>
      </c>
      <c r="G4768">
        <v>75765.965857679999</v>
      </c>
      <c r="H4768">
        <v>-80672.804460000014</v>
      </c>
      <c r="I4768">
        <v>0</v>
      </c>
      <c r="J4768">
        <v>0</v>
      </c>
      <c r="K4768">
        <v>604.99297735000005</v>
      </c>
      <c r="L4768">
        <v>0</v>
      </c>
      <c r="M4768">
        <v>0</v>
      </c>
      <c r="N4768">
        <v>0</v>
      </c>
      <c r="O4768">
        <v>-1095.3394750299849</v>
      </c>
      <c r="P4768">
        <v>3701208</v>
      </c>
    </row>
    <row r="4769" spans="1:16" x14ac:dyDescent="0.25">
      <c r="A4769" s="10">
        <v>44711</v>
      </c>
      <c r="B4769">
        <v>-33283</v>
      </c>
      <c r="C4769">
        <v>5400</v>
      </c>
      <c r="D4769">
        <v>0</v>
      </c>
      <c r="E4769">
        <v>0</v>
      </c>
      <c r="F4769">
        <v>0</v>
      </c>
      <c r="G4769">
        <v>8313.3318003899985</v>
      </c>
      <c r="H4769">
        <v>-48747.254805099998</v>
      </c>
      <c r="I4769">
        <v>0</v>
      </c>
      <c r="J4769">
        <v>0</v>
      </c>
      <c r="K4769">
        <v>2063.6279864399999</v>
      </c>
      <c r="L4769">
        <v>0</v>
      </c>
      <c r="M4769">
        <v>0</v>
      </c>
      <c r="N4769">
        <v>0</v>
      </c>
      <c r="O4769">
        <v>-312.70498172999208</v>
      </c>
      <c r="P4769">
        <v>3667925</v>
      </c>
    </row>
    <row r="4770" spans="1:16" x14ac:dyDescent="0.25">
      <c r="A4770" s="10">
        <v>44712</v>
      </c>
      <c r="B4770">
        <v>99883</v>
      </c>
      <c r="C4770">
        <v>-23629.414799999999</v>
      </c>
      <c r="D4770">
        <v>322448.97334000003</v>
      </c>
      <c r="E4770">
        <v>-322448.97334000003</v>
      </c>
      <c r="F4770">
        <v>0</v>
      </c>
      <c r="G4770">
        <v>-15677.1721684</v>
      </c>
      <c r="H4770">
        <v>28230.78873706</v>
      </c>
      <c r="I4770">
        <v>87025.770142730005</v>
      </c>
      <c r="J4770">
        <v>0</v>
      </c>
      <c r="K4770">
        <v>23268.490818530001</v>
      </c>
      <c r="L4770">
        <v>0</v>
      </c>
      <c r="M4770">
        <v>0</v>
      </c>
      <c r="N4770">
        <v>0</v>
      </c>
      <c r="O4770">
        <v>664.5372700800217</v>
      </c>
      <c r="P4770">
        <v>3767808</v>
      </c>
    </row>
    <row r="4771" spans="1:16" x14ac:dyDescent="0.25">
      <c r="A4771" s="10">
        <v>44713</v>
      </c>
      <c r="B4771">
        <v>213743</v>
      </c>
      <c r="C4771">
        <v>-1925.136</v>
      </c>
      <c r="D4771">
        <v>-6000</v>
      </c>
      <c r="E4771">
        <v>0</v>
      </c>
      <c r="F4771">
        <v>0</v>
      </c>
      <c r="G4771">
        <v>6170.4578938199993</v>
      </c>
      <c r="H4771">
        <v>214986.52166264001</v>
      </c>
      <c r="I4771">
        <v>0</v>
      </c>
      <c r="J4771">
        <v>0</v>
      </c>
      <c r="K4771">
        <v>708.95455663999996</v>
      </c>
      <c r="L4771">
        <v>0</v>
      </c>
      <c r="M4771">
        <v>0</v>
      </c>
      <c r="N4771">
        <v>0</v>
      </c>
      <c r="O4771">
        <v>-197.79811309999789</v>
      </c>
      <c r="P4771">
        <v>3981551</v>
      </c>
    </row>
    <row r="4772" spans="1:16" x14ac:dyDescent="0.25">
      <c r="A4772" s="10">
        <v>44714</v>
      </c>
      <c r="B4772">
        <v>-142946</v>
      </c>
      <c r="C4772">
        <v>1205.78</v>
      </c>
      <c r="D4772">
        <v>0</v>
      </c>
      <c r="E4772">
        <v>0</v>
      </c>
      <c r="F4772">
        <v>0</v>
      </c>
      <c r="G4772">
        <v>110.75057579</v>
      </c>
      <c r="H4772">
        <v>-21930.856515179999</v>
      </c>
      <c r="I4772">
        <v>-143006.81212952</v>
      </c>
      <c r="J4772">
        <v>0</v>
      </c>
      <c r="K4772">
        <v>22736.220475720002</v>
      </c>
      <c r="L4772">
        <v>0</v>
      </c>
      <c r="M4772">
        <v>0</v>
      </c>
      <c r="N4772">
        <v>0</v>
      </c>
      <c r="O4772">
        <v>-2061.0824068100192</v>
      </c>
      <c r="P4772">
        <v>3838605</v>
      </c>
    </row>
    <row r="4773" spans="1:16" x14ac:dyDescent="0.25">
      <c r="A4773" s="10">
        <v>44715</v>
      </c>
      <c r="B4773">
        <v>-8419</v>
      </c>
      <c r="C4773">
        <v>446.47050000000002</v>
      </c>
      <c r="D4773">
        <v>0</v>
      </c>
      <c r="E4773">
        <v>124000</v>
      </c>
      <c r="F4773">
        <v>0</v>
      </c>
      <c r="G4773">
        <v>-124114.1918155</v>
      </c>
      <c r="H4773">
        <v>-6258.1550400700007</v>
      </c>
      <c r="I4773">
        <v>0</v>
      </c>
      <c r="J4773">
        <v>0</v>
      </c>
      <c r="K4773">
        <v>510.60969518000002</v>
      </c>
      <c r="L4773">
        <v>0</v>
      </c>
      <c r="M4773">
        <v>0</v>
      </c>
      <c r="N4773">
        <v>0</v>
      </c>
      <c r="O4773">
        <v>-3003.7333396099871</v>
      </c>
      <c r="P4773">
        <v>3830186</v>
      </c>
    </row>
    <row r="4774" spans="1:16" x14ac:dyDescent="0.25">
      <c r="A4774" s="10">
        <v>44718</v>
      </c>
      <c r="B4774">
        <v>95594</v>
      </c>
      <c r="C4774">
        <v>948.04200000000003</v>
      </c>
      <c r="D4774">
        <v>0</v>
      </c>
      <c r="E4774">
        <v>0</v>
      </c>
      <c r="F4774">
        <v>0</v>
      </c>
      <c r="G4774">
        <v>124341.43659314</v>
      </c>
      <c r="H4774">
        <v>-29739.3471001</v>
      </c>
      <c r="I4774">
        <v>0</v>
      </c>
      <c r="J4774">
        <v>0</v>
      </c>
      <c r="K4774">
        <v>1551.1179191900001</v>
      </c>
      <c r="L4774">
        <v>0</v>
      </c>
      <c r="M4774">
        <v>0</v>
      </c>
      <c r="N4774">
        <v>0</v>
      </c>
      <c r="O4774">
        <v>-1507.249412230012</v>
      </c>
      <c r="P4774">
        <v>3925780</v>
      </c>
    </row>
    <row r="4775" spans="1:16" x14ac:dyDescent="0.25">
      <c r="A4775" s="10">
        <v>44719</v>
      </c>
      <c r="B4775">
        <v>-94332</v>
      </c>
      <c r="C4775">
        <v>909.52499999999998</v>
      </c>
      <c r="D4775">
        <v>0</v>
      </c>
      <c r="E4775">
        <v>0</v>
      </c>
      <c r="F4775">
        <v>0</v>
      </c>
      <c r="G4775">
        <v>-482.67125521000082</v>
      </c>
      <c r="H4775">
        <v>58768.533449950002</v>
      </c>
      <c r="I4775">
        <v>-169798.37400894001</v>
      </c>
      <c r="J4775">
        <v>0</v>
      </c>
      <c r="K4775">
        <v>22251.286254449999</v>
      </c>
      <c r="L4775">
        <v>0</v>
      </c>
      <c r="M4775">
        <v>0</v>
      </c>
      <c r="N4775">
        <v>0</v>
      </c>
      <c r="O4775">
        <v>-5980.2994402500044</v>
      </c>
      <c r="P4775">
        <v>3831448</v>
      </c>
    </row>
    <row r="4776" spans="1:16" x14ac:dyDescent="0.25">
      <c r="A4776" s="10">
        <v>44720</v>
      </c>
      <c r="B4776">
        <v>-12588</v>
      </c>
      <c r="C4776">
        <v>1457.28</v>
      </c>
      <c r="D4776">
        <v>0</v>
      </c>
      <c r="E4776">
        <v>0</v>
      </c>
      <c r="F4776">
        <v>0</v>
      </c>
      <c r="G4776">
        <v>-1991.6689784600001</v>
      </c>
      <c r="H4776">
        <v>-11156.80747512</v>
      </c>
      <c r="I4776">
        <v>0</v>
      </c>
      <c r="J4776">
        <v>0</v>
      </c>
      <c r="K4776">
        <v>487.21479999000002</v>
      </c>
      <c r="L4776">
        <v>0</v>
      </c>
      <c r="M4776">
        <v>0</v>
      </c>
      <c r="N4776">
        <v>0</v>
      </c>
      <c r="O4776">
        <v>-1384.018346410001</v>
      </c>
      <c r="P4776">
        <v>3818860</v>
      </c>
    </row>
    <row r="4777" spans="1:16" x14ac:dyDescent="0.25">
      <c r="A4777" s="10">
        <v>44721</v>
      </c>
      <c r="B4777">
        <v>-12486</v>
      </c>
      <c r="C4777">
        <v>364.76</v>
      </c>
      <c r="D4777">
        <v>0</v>
      </c>
      <c r="E4777">
        <v>0</v>
      </c>
      <c r="F4777">
        <v>0</v>
      </c>
      <c r="G4777">
        <v>3064.12197629</v>
      </c>
      <c r="H4777">
        <v>14549.919119890001</v>
      </c>
      <c r="I4777">
        <v>-51062.150879410001</v>
      </c>
      <c r="J4777">
        <v>0</v>
      </c>
      <c r="K4777">
        <v>16060.894720349999</v>
      </c>
      <c r="L4777">
        <v>0</v>
      </c>
      <c r="M4777">
        <v>0</v>
      </c>
      <c r="N4777">
        <v>0</v>
      </c>
      <c r="O4777">
        <v>4536.4550628799989</v>
      </c>
      <c r="P4777">
        <v>3806374</v>
      </c>
    </row>
    <row r="4778" spans="1:16" x14ac:dyDescent="0.25">
      <c r="A4778" s="10">
        <v>44722</v>
      </c>
      <c r="B4778">
        <v>34699</v>
      </c>
      <c r="C4778">
        <v>925.22799999999995</v>
      </c>
      <c r="D4778">
        <v>0</v>
      </c>
      <c r="E4778">
        <v>108000</v>
      </c>
      <c r="F4778">
        <v>0</v>
      </c>
      <c r="G4778">
        <v>1542.0307421700011</v>
      </c>
      <c r="H4778">
        <v>-80587.585170090009</v>
      </c>
      <c r="I4778">
        <v>0</v>
      </c>
      <c r="J4778">
        <v>0</v>
      </c>
      <c r="K4778">
        <v>483.72872639000002</v>
      </c>
      <c r="L4778">
        <v>0</v>
      </c>
      <c r="M4778">
        <v>0</v>
      </c>
      <c r="N4778">
        <v>0</v>
      </c>
      <c r="O4778">
        <v>4335.5977015300086</v>
      </c>
      <c r="P4778">
        <v>3841073</v>
      </c>
    </row>
    <row r="4779" spans="1:16" x14ac:dyDescent="0.25">
      <c r="A4779" s="10">
        <v>44725</v>
      </c>
      <c r="B4779">
        <v>84055</v>
      </c>
      <c r="C4779">
        <v>3242.37</v>
      </c>
      <c r="D4779">
        <v>0</v>
      </c>
      <c r="E4779">
        <v>0</v>
      </c>
      <c r="F4779">
        <v>0</v>
      </c>
      <c r="G4779">
        <v>-1592.99952736</v>
      </c>
      <c r="H4779">
        <v>-6310.2334951199991</v>
      </c>
      <c r="I4779">
        <v>0</v>
      </c>
      <c r="J4779">
        <v>0</v>
      </c>
      <c r="K4779">
        <v>1699.5725714299999</v>
      </c>
      <c r="L4779">
        <v>0</v>
      </c>
      <c r="M4779">
        <v>0</v>
      </c>
      <c r="N4779">
        <v>0</v>
      </c>
      <c r="O4779">
        <v>87016.290451049994</v>
      </c>
      <c r="P4779">
        <v>3925128</v>
      </c>
    </row>
    <row r="4780" spans="1:16" x14ac:dyDescent="0.25">
      <c r="A4780" s="10">
        <v>44726</v>
      </c>
      <c r="B4780">
        <v>-8691</v>
      </c>
      <c r="C4780">
        <v>-7234.9660000000003</v>
      </c>
      <c r="D4780">
        <v>0</v>
      </c>
      <c r="E4780">
        <v>0</v>
      </c>
      <c r="F4780">
        <v>0</v>
      </c>
      <c r="G4780">
        <v>-12.912284869999439</v>
      </c>
      <c r="H4780">
        <v>48234.118140000042</v>
      </c>
      <c r="I4780">
        <v>-123526.6001716303</v>
      </c>
      <c r="J4780">
        <v>0</v>
      </c>
      <c r="K4780">
        <v>12877.178468669999</v>
      </c>
      <c r="L4780">
        <v>0</v>
      </c>
      <c r="M4780">
        <v>0</v>
      </c>
      <c r="N4780">
        <v>0</v>
      </c>
      <c r="O4780">
        <v>60972.18184783023</v>
      </c>
      <c r="P4780">
        <v>3916437</v>
      </c>
    </row>
    <row r="4781" spans="1:16" x14ac:dyDescent="0.25">
      <c r="A4781" s="10">
        <v>44727</v>
      </c>
      <c r="B4781">
        <v>17210</v>
      </c>
      <c r="C4781">
        <v>-17647.737499999999</v>
      </c>
      <c r="D4781">
        <v>-17000</v>
      </c>
      <c r="E4781">
        <v>0</v>
      </c>
      <c r="F4781">
        <v>0</v>
      </c>
      <c r="G4781">
        <v>-325.72990178000038</v>
      </c>
      <c r="H4781">
        <v>-41104.104210060003</v>
      </c>
      <c r="I4781">
        <v>0</v>
      </c>
      <c r="J4781">
        <v>0</v>
      </c>
      <c r="K4781">
        <v>523.45170637000001</v>
      </c>
      <c r="L4781">
        <v>0</v>
      </c>
      <c r="M4781">
        <v>0</v>
      </c>
      <c r="N4781">
        <v>0</v>
      </c>
      <c r="O4781">
        <v>92764.119905470012</v>
      </c>
      <c r="P4781">
        <v>3933647</v>
      </c>
    </row>
    <row r="4782" spans="1:16" x14ac:dyDescent="0.25">
      <c r="A4782" s="10">
        <v>44728</v>
      </c>
      <c r="B4782">
        <v>544</v>
      </c>
      <c r="C4782">
        <v>-23898.741999999998</v>
      </c>
      <c r="D4782">
        <v>0</v>
      </c>
      <c r="E4782">
        <v>50000</v>
      </c>
      <c r="F4782">
        <v>0</v>
      </c>
      <c r="G4782">
        <v>-43112.32301837</v>
      </c>
      <c r="H4782">
        <v>-167240.67151506001</v>
      </c>
      <c r="I4782">
        <v>129967.82791624</v>
      </c>
      <c r="J4782">
        <v>0</v>
      </c>
      <c r="K4782">
        <v>15074.39662154</v>
      </c>
      <c r="L4782">
        <v>0</v>
      </c>
      <c r="M4782">
        <v>0</v>
      </c>
      <c r="N4782">
        <v>0</v>
      </c>
      <c r="O4782">
        <v>39753.511995649998</v>
      </c>
      <c r="P4782">
        <v>3934191</v>
      </c>
    </row>
    <row r="4783" spans="1:16" x14ac:dyDescent="0.25">
      <c r="A4783" s="10">
        <v>44733</v>
      </c>
      <c r="B4783">
        <v>5821</v>
      </c>
      <c r="C4783">
        <v>1314.4</v>
      </c>
      <c r="D4783">
        <v>0</v>
      </c>
      <c r="E4783">
        <v>0</v>
      </c>
      <c r="F4783">
        <v>0</v>
      </c>
      <c r="G4783">
        <v>1126.56</v>
      </c>
      <c r="H4783">
        <v>187155.4</v>
      </c>
      <c r="I4783">
        <v>-219165.19</v>
      </c>
      <c r="J4783">
        <v>0</v>
      </c>
      <c r="K4783">
        <v>18363.669999999998</v>
      </c>
      <c r="L4783">
        <v>0</v>
      </c>
      <c r="M4783">
        <v>0</v>
      </c>
      <c r="N4783">
        <v>0</v>
      </c>
      <c r="O4783">
        <v>17026.160000000011</v>
      </c>
      <c r="P4783">
        <v>3940012</v>
      </c>
    </row>
    <row r="4784" spans="1:16" x14ac:dyDescent="0.25">
      <c r="A4784" s="10">
        <v>44734</v>
      </c>
      <c r="B4784">
        <v>-92939</v>
      </c>
      <c r="C4784">
        <v>115.86</v>
      </c>
      <c r="D4784">
        <v>0</v>
      </c>
      <c r="E4784">
        <v>0</v>
      </c>
      <c r="F4784">
        <v>0</v>
      </c>
      <c r="G4784">
        <v>44104.820415970004</v>
      </c>
      <c r="H4784">
        <v>-141782.31189012001</v>
      </c>
      <c r="I4784">
        <v>0</v>
      </c>
      <c r="J4784">
        <v>0</v>
      </c>
      <c r="K4784">
        <v>588.83934214999999</v>
      </c>
      <c r="L4784">
        <v>0</v>
      </c>
      <c r="M4784">
        <v>0</v>
      </c>
      <c r="N4784">
        <v>0</v>
      </c>
      <c r="O4784">
        <v>4033.7921320000169</v>
      </c>
      <c r="P4784">
        <v>3847073</v>
      </c>
    </row>
    <row r="4785" spans="1:16" x14ac:dyDescent="0.25">
      <c r="A4785" s="10">
        <v>44735</v>
      </c>
      <c r="B4785">
        <v>31174</v>
      </c>
      <c r="C4785">
        <v>-20304.455999999998</v>
      </c>
      <c r="D4785">
        <v>-3000</v>
      </c>
      <c r="E4785">
        <v>0</v>
      </c>
      <c r="F4785">
        <v>0</v>
      </c>
      <c r="G4785">
        <v>3347.6041418099999</v>
      </c>
      <c r="H4785">
        <v>120354.53363993</v>
      </c>
      <c r="I4785">
        <v>-90876.393487259993</v>
      </c>
      <c r="J4785">
        <v>0</v>
      </c>
      <c r="K4785">
        <v>15776.749053449999</v>
      </c>
      <c r="L4785">
        <v>0</v>
      </c>
      <c r="M4785">
        <v>0</v>
      </c>
      <c r="N4785">
        <v>0</v>
      </c>
      <c r="O4785">
        <v>5875.9626520699858</v>
      </c>
      <c r="P4785">
        <v>3878247</v>
      </c>
    </row>
    <row r="4786" spans="1:16" x14ac:dyDescent="0.25">
      <c r="A4786" s="10">
        <v>44736</v>
      </c>
      <c r="B4786">
        <v>-12209</v>
      </c>
      <c r="C4786">
        <v>-11916.9108</v>
      </c>
      <c r="D4786">
        <v>0</v>
      </c>
      <c r="E4786">
        <v>95000</v>
      </c>
      <c r="F4786">
        <v>0</v>
      </c>
      <c r="G4786">
        <v>-100.24726615</v>
      </c>
      <c r="H4786">
        <v>-192657.50946005</v>
      </c>
      <c r="I4786">
        <v>0</v>
      </c>
      <c r="J4786">
        <v>0</v>
      </c>
      <c r="K4786">
        <v>612.61536990999991</v>
      </c>
      <c r="L4786">
        <v>0</v>
      </c>
      <c r="M4786">
        <v>0</v>
      </c>
      <c r="N4786">
        <v>0</v>
      </c>
      <c r="O4786">
        <v>96853.052156289996</v>
      </c>
      <c r="P4786">
        <v>3866038</v>
      </c>
    </row>
    <row r="4787" spans="1:16" x14ac:dyDescent="0.25">
      <c r="A4787" s="10">
        <v>44739</v>
      </c>
      <c r="B4787">
        <v>60610</v>
      </c>
      <c r="C4787">
        <v>31691.123</v>
      </c>
      <c r="D4787">
        <v>0</v>
      </c>
      <c r="E4787">
        <v>0</v>
      </c>
      <c r="F4787">
        <v>0</v>
      </c>
      <c r="G4787">
        <v>822.83681912999998</v>
      </c>
      <c r="H4787">
        <v>-22036.084020009999</v>
      </c>
      <c r="I4787">
        <v>0</v>
      </c>
      <c r="J4787">
        <v>0</v>
      </c>
      <c r="K4787">
        <v>2479.1580934899998</v>
      </c>
      <c r="L4787">
        <v>0</v>
      </c>
      <c r="M4787">
        <v>0</v>
      </c>
      <c r="N4787">
        <v>0</v>
      </c>
      <c r="O4787">
        <v>47652.966107390013</v>
      </c>
      <c r="P4787">
        <v>3926648</v>
      </c>
    </row>
    <row r="4788" spans="1:16" x14ac:dyDescent="0.25">
      <c r="A4788" s="10">
        <v>44740</v>
      </c>
      <c r="B4788">
        <v>26157</v>
      </c>
      <c r="C4788">
        <v>19891.23</v>
      </c>
      <c r="D4788">
        <v>0</v>
      </c>
      <c r="E4788">
        <v>0</v>
      </c>
      <c r="F4788">
        <v>0</v>
      </c>
      <c r="G4788">
        <v>-291.79519256999998</v>
      </c>
      <c r="H4788">
        <v>-65949.939360050004</v>
      </c>
      <c r="I4788">
        <v>2976.20968236</v>
      </c>
      <c r="J4788">
        <v>0</v>
      </c>
      <c r="K4788">
        <v>20238.182759129999</v>
      </c>
      <c r="L4788">
        <v>0</v>
      </c>
      <c r="M4788">
        <v>0</v>
      </c>
      <c r="N4788">
        <v>0</v>
      </c>
      <c r="O4788">
        <v>49293.112111130009</v>
      </c>
      <c r="P4788">
        <v>3952805</v>
      </c>
    </row>
    <row r="4789" spans="1:16" x14ac:dyDescent="0.25">
      <c r="A4789" s="10">
        <v>44741</v>
      </c>
      <c r="B4789">
        <v>-4980</v>
      </c>
      <c r="C4789">
        <v>72792.019</v>
      </c>
      <c r="D4789">
        <v>0</v>
      </c>
      <c r="E4789">
        <v>0</v>
      </c>
      <c r="F4789">
        <v>0</v>
      </c>
      <c r="G4789">
        <v>637.43381786999987</v>
      </c>
      <c r="H4789">
        <v>-132870.51882005</v>
      </c>
      <c r="I4789">
        <v>0</v>
      </c>
      <c r="J4789">
        <v>0</v>
      </c>
      <c r="K4789">
        <v>924.01435846000004</v>
      </c>
      <c r="L4789">
        <v>0</v>
      </c>
      <c r="M4789">
        <v>0</v>
      </c>
      <c r="N4789">
        <v>0</v>
      </c>
      <c r="O4789">
        <v>53537.051643719977</v>
      </c>
      <c r="P4789">
        <v>3947825</v>
      </c>
    </row>
    <row r="4790" spans="1:16" x14ac:dyDescent="0.25">
      <c r="A4790" s="10">
        <v>44742</v>
      </c>
      <c r="B4790">
        <v>34096</v>
      </c>
      <c r="C4790">
        <v>67156.363500000007</v>
      </c>
      <c r="D4790">
        <v>-5000</v>
      </c>
      <c r="E4790">
        <v>0</v>
      </c>
      <c r="F4790">
        <v>0</v>
      </c>
      <c r="G4790">
        <v>-41373.572535619998</v>
      </c>
      <c r="H4790">
        <v>-205235.31982418001</v>
      </c>
      <c r="I4790">
        <v>86923.602403030003</v>
      </c>
      <c r="J4790">
        <v>0</v>
      </c>
      <c r="K4790">
        <v>29641.809806140001</v>
      </c>
      <c r="L4790">
        <v>0</v>
      </c>
      <c r="M4790">
        <v>0</v>
      </c>
      <c r="N4790">
        <v>0</v>
      </c>
      <c r="O4790">
        <v>101983.11665063001</v>
      </c>
      <c r="P4790">
        <v>3981921</v>
      </c>
    </row>
    <row r="4791" spans="1:16" x14ac:dyDescent="0.25">
      <c r="A4791" s="10">
        <v>44743</v>
      </c>
      <c r="B4791">
        <v>183346</v>
      </c>
      <c r="C4791">
        <v>-24906.897000000001</v>
      </c>
      <c r="D4791">
        <v>0</v>
      </c>
      <c r="E4791">
        <v>0</v>
      </c>
      <c r="F4791">
        <v>0</v>
      </c>
      <c r="G4791">
        <v>56.995335309999689</v>
      </c>
      <c r="H4791">
        <v>158806.38658381</v>
      </c>
      <c r="I4791">
        <v>0</v>
      </c>
      <c r="J4791">
        <v>0</v>
      </c>
      <c r="K4791">
        <v>1299.1728918199999</v>
      </c>
      <c r="L4791">
        <v>0</v>
      </c>
      <c r="M4791">
        <v>0</v>
      </c>
      <c r="N4791">
        <v>0</v>
      </c>
      <c r="O4791">
        <v>48090.34218906</v>
      </c>
      <c r="P4791">
        <v>4165267</v>
      </c>
    </row>
    <row r="4792" spans="1:16" x14ac:dyDescent="0.25">
      <c r="A4792" s="10">
        <v>44746</v>
      </c>
      <c r="B4792">
        <v>79124</v>
      </c>
      <c r="C4792">
        <v>-12398.76</v>
      </c>
      <c r="D4792">
        <v>0</v>
      </c>
      <c r="E4792">
        <v>55000</v>
      </c>
      <c r="F4792">
        <v>0</v>
      </c>
      <c r="G4792">
        <v>4265.941659860001</v>
      </c>
      <c r="H4792">
        <v>-35255.220480019998</v>
      </c>
      <c r="I4792">
        <v>0</v>
      </c>
      <c r="J4792">
        <v>0</v>
      </c>
      <c r="K4792">
        <v>3368.8891964200002</v>
      </c>
      <c r="L4792">
        <v>0</v>
      </c>
      <c r="M4792">
        <v>0</v>
      </c>
      <c r="N4792">
        <v>0</v>
      </c>
      <c r="O4792">
        <v>64143.149623739999</v>
      </c>
      <c r="P4792">
        <v>4244391</v>
      </c>
    </row>
    <row r="4793" spans="1:16" x14ac:dyDescent="0.25">
      <c r="A4793" s="10">
        <v>44747</v>
      </c>
      <c r="B4793">
        <v>-4710</v>
      </c>
      <c r="C4793">
        <v>-22760.48</v>
      </c>
      <c r="D4793">
        <v>0</v>
      </c>
      <c r="E4793">
        <v>0</v>
      </c>
      <c r="F4793">
        <v>0</v>
      </c>
      <c r="G4793">
        <v>1460.60205062</v>
      </c>
      <c r="H4793">
        <v>-203603.46898526</v>
      </c>
      <c r="I4793">
        <v>180735.97093661001</v>
      </c>
      <c r="J4793">
        <v>0</v>
      </c>
      <c r="K4793">
        <v>29711.431372160001</v>
      </c>
      <c r="L4793">
        <v>0</v>
      </c>
      <c r="M4793">
        <v>0</v>
      </c>
      <c r="N4793">
        <v>0</v>
      </c>
      <c r="O4793">
        <v>9745.9446258699973</v>
      </c>
      <c r="P4793">
        <v>4239681</v>
      </c>
    </row>
    <row r="4794" spans="1:16" x14ac:dyDescent="0.25">
      <c r="A4794" s="10">
        <v>44748</v>
      </c>
      <c r="B4794">
        <v>36198</v>
      </c>
      <c r="C4794">
        <v>-11613.73</v>
      </c>
      <c r="D4794">
        <v>0</v>
      </c>
      <c r="E4794">
        <v>0</v>
      </c>
      <c r="F4794">
        <v>0</v>
      </c>
      <c r="G4794">
        <v>11.10079262</v>
      </c>
      <c r="H4794">
        <v>-218892.60841516999</v>
      </c>
      <c r="I4794">
        <v>0</v>
      </c>
      <c r="J4794">
        <v>0</v>
      </c>
      <c r="K4794">
        <v>1387.99804986</v>
      </c>
      <c r="L4794">
        <v>0</v>
      </c>
      <c r="M4794">
        <v>0</v>
      </c>
      <c r="N4794">
        <v>0</v>
      </c>
      <c r="O4794">
        <v>265305.23957268998</v>
      </c>
      <c r="P4794">
        <v>4275879</v>
      </c>
    </row>
    <row r="4795" spans="1:16" x14ac:dyDescent="0.25">
      <c r="A4795" s="10">
        <v>44749</v>
      </c>
      <c r="B4795">
        <v>-78293</v>
      </c>
      <c r="C4795">
        <v>-10323.759599999999</v>
      </c>
      <c r="D4795">
        <v>0</v>
      </c>
      <c r="E4795">
        <v>0</v>
      </c>
      <c r="F4795">
        <v>0</v>
      </c>
      <c r="G4795">
        <v>761.60639879999997</v>
      </c>
      <c r="H4795">
        <v>366551.86940988002</v>
      </c>
      <c r="I4795">
        <v>-478950.85656754998</v>
      </c>
      <c r="J4795">
        <v>0</v>
      </c>
      <c r="K4795">
        <v>19774.697237879998</v>
      </c>
      <c r="L4795">
        <v>0</v>
      </c>
      <c r="M4795">
        <v>0</v>
      </c>
      <c r="N4795">
        <v>0</v>
      </c>
      <c r="O4795">
        <v>23893.443120990109</v>
      </c>
      <c r="P4795">
        <v>4197586</v>
      </c>
    </row>
    <row r="4796" spans="1:16" x14ac:dyDescent="0.25">
      <c r="A4796" s="10">
        <v>44750</v>
      </c>
      <c r="B4796">
        <v>11888</v>
      </c>
      <c r="C4796">
        <v>-11898.61</v>
      </c>
      <c r="D4796">
        <v>-88000</v>
      </c>
      <c r="E4796">
        <v>140000</v>
      </c>
      <c r="F4796">
        <v>0</v>
      </c>
      <c r="G4796">
        <v>-718.39269861000002</v>
      </c>
      <c r="H4796">
        <v>-38952.061065269998</v>
      </c>
      <c r="I4796">
        <v>0</v>
      </c>
      <c r="J4796">
        <v>0</v>
      </c>
      <c r="K4796">
        <v>1224.1569520600001</v>
      </c>
      <c r="L4796">
        <v>0</v>
      </c>
      <c r="M4796">
        <v>0</v>
      </c>
      <c r="N4796">
        <v>0</v>
      </c>
      <c r="O4796">
        <v>10232.906811819999</v>
      </c>
      <c r="P4796">
        <v>4209474</v>
      </c>
    </row>
    <row r="4797" spans="1:16" x14ac:dyDescent="0.25">
      <c r="A4797" s="10">
        <v>44753</v>
      </c>
      <c r="B4797">
        <v>101963</v>
      </c>
      <c r="C4797">
        <v>9273.1023999999998</v>
      </c>
      <c r="D4797">
        <v>0</v>
      </c>
      <c r="E4797">
        <v>0</v>
      </c>
      <c r="F4797">
        <v>0</v>
      </c>
      <c r="G4797">
        <v>57.189031200000002</v>
      </c>
      <c r="H4797">
        <v>45749.563334960003</v>
      </c>
      <c r="I4797">
        <v>0</v>
      </c>
      <c r="J4797">
        <v>0</v>
      </c>
      <c r="K4797">
        <v>3802.1331960799998</v>
      </c>
      <c r="L4797">
        <v>0</v>
      </c>
      <c r="M4797">
        <v>0</v>
      </c>
      <c r="N4797">
        <v>0</v>
      </c>
      <c r="O4797">
        <v>43081.012037760003</v>
      </c>
      <c r="P4797">
        <v>4311437</v>
      </c>
    </row>
    <row r="4798" spans="1:16" x14ac:dyDescent="0.25">
      <c r="A4798" s="10">
        <v>44754</v>
      </c>
      <c r="B4798">
        <v>-105103</v>
      </c>
      <c r="C4798">
        <v>8.8000000000000007</v>
      </c>
      <c r="D4798">
        <v>0</v>
      </c>
      <c r="E4798">
        <v>0</v>
      </c>
      <c r="F4798">
        <v>0</v>
      </c>
      <c r="G4798">
        <v>-158.37758815000001</v>
      </c>
      <c r="H4798">
        <v>196710.77447991999</v>
      </c>
      <c r="I4798">
        <v>-329123.78666493</v>
      </c>
      <c r="J4798">
        <v>0</v>
      </c>
      <c r="K4798">
        <v>16869.090437880001</v>
      </c>
      <c r="L4798">
        <v>0</v>
      </c>
      <c r="M4798">
        <v>0</v>
      </c>
      <c r="N4798">
        <v>0</v>
      </c>
      <c r="O4798">
        <v>10590.499335280019</v>
      </c>
      <c r="P4798">
        <v>4206334</v>
      </c>
    </row>
    <row r="4799" spans="1:16" x14ac:dyDescent="0.25">
      <c r="A4799" s="10">
        <v>44755</v>
      </c>
      <c r="B4799">
        <v>-7123</v>
      </c>
      <c r="C4799">
        <v>388.56</v>
      </c>
      <c r="D4799">
        <v>0</v>
      </c>
      <c r="E4799">
        <v>0</v>
      </c>
      <c r="F4799">
        <v>0</v>
      </c>
      <c r="G4799">
        <v>-676.69163033000007</v>
      </c>
      <c r="H4799">
        <v>-51242.474880009991</v>
      </c>
      <c r="I4799">
        <v>11627.8128246</v>
      </c>
      <c r="J4799">
        <v>0</v>
      </c>
      <c r="K4799">
        <v>32660.975766570002</v>
      </c>
      <c r="L4799">
        <v>0</v>
      </c>
      <c r="M4799">
        <v>0</v>
      </c>
      <c r="N4799">
        <v>0</v>
      </c>
      <c r="O4799">
        <v>118.8179191699965</v>
      </c>
      <c r="P4799">
        <v>4199211</v>
      </c>
    </row>
    <row r="4800" spans="1:16" x14ac:dyDescent="0.25">
      <c r="A4800" s="10">
        <v>44756</v>
      </c>
      <c r="B4800">
        <v>-6178</v>
      </c>
      <c r="C4800">
        <v>1093.2149999999999</v>
      </c>
      <c r="D4800">
        <v>-12900</v>
      </c>
      <c r="E4800">
        <v>0</v>
      </c>
      <c r="F4800">
        <v>0</v>
      </c>
      <c r="G4800">
        <v>-2676.8210334300002</v>
      </c>
      <c r="H4800">
        <v>2268.9192599999951</v>
      </c>
      <c r="I4800">
        <v>-10747.09964512009</v>
      </c>
      <c r="J4800">
        <v>0</v>
      </c>
      <c r="K4800">
        <v>10678.5520044</v>
      </c>
      <c r="L4800">
        <v>0</v>
      </c>
      <c r="M4800">
        <v>0</v>
      </c>
      <c r="N4800">
        <v>0</v>
      </c>
      <c r="O4800">
        <v>6105.2344141500944</v>
      </c>
      <c r="P4800">
        <v>4193033</v>
      </c>
    </row>
    <row r="4801" spans="1:16" x14ac:dyDescent="0.25">
      <c r="A4801" s="10">
        <v>44757</v>
      </c>
      <c r="B4801">
        <v>-69529</v>
      </c>
      <c r="C4801">
        <v>526.20000000000005</v>
      </c>
      <c r="D4801">
        <v>0</v>
      </c>
      <c r="E4801">
        <v>0</v>
      </c>
      <c r="F4801">
        <v>0</v>
      </c>
      <c r="G4801">
        <v>-167854.20931375999</v>
      </c>
      <c r="H4801">
        <v>88291.506330000004</v>
      </c>
      <c r="I4801">
        <v>0</v>
      </c>
      <c r="J4801">
        <v>0</v>
      </c>
      <c r="K4801">
        <v>1052.68691919</v>
      </c>
      <c r="L4801">
        <v>0</v>
      </c>
      <c r="M4801">
        <v>0</v>
      </c>
      <c r="N4801">
        <v>0</v>
      </c>
      <c r="O4801">
        <v>8454.8160645699827</v>
      </c>
      <c r="P4801">
        <v>4123504</v>
      </c>
    </row>
    <row r="4802" spans="1:16" x14ac:dyDescent="0.25">
      <c r="A4802" s="10">
        <v>44760</v>
      </c>
      <c r="B4802">
        <v>47074</v>
      </c>
      <c r="C4802">
        <v>-16490.825400000002</v>
      </c>
      <c r="D4802">
        <v>0</v>
      </c>
      <c r="E4802">
        <v>0</v>
      </c>
      <c r="F4802">
        <v>0</v>
      </c>
      <c r="G4802">
        <v>-593.76654106000001</v>
      </c>
      <c r="H4802">
        <v>61718.29096495</v>
      </c>
      <c r="I4802">
        <v>0</v>
      </c>
      <c r="J4802">
        <v>0</v>
      </c>
      <c r="K4802">
        <v>3288.4787288799998</v>
      </c>
      <c r="L4802">
        <v>0</v>
      </c>
      <c r="M4802">
        <v>0</v>
      </c>
      <c r="N4802">
        <v>0</v>
      </c>
      <c r="O4802">
        <v>-848.17775277000328</v>
      </c>
      <c r="P4802">
        <v>4170578</v>
      </c>
    </row>
    <row r="4803" spans="1:16" x14ac:dyDescent="0.25">
      <c r="A4803" s="10">
        <v>44761</v>
      </c>
      <c r="B4803">
        <v>92588</v>
      </c>
      <c r="C4803">
        <v>-15446.200500000001</v>
      </c>
      <c r="D4803">
        <v>0</v>
      </c>
      <c r="E4803">
        <v>0</v>
      </c>
      <c r="F4803">
        <v>0</v>
      </c>
      <c r="G4803">
        <v>1448.43170536</v>
      </c>
      <c r="H4803">
        <v>-88272.810675279994</v>
      </c>
      <c r="I4803">
        <v>182893.32003097999</v>
      </c>
      <c r="J4803">
        <v>0</v>
      </c>
      <c r="K4803">
        <v>24659.205634080001</v>
      </c>
      <c r="L4803">
        <v>0</v>
      </c>
      <c r="M4803">
        <v>0</v>
      </c>
      <c r="N4803">
        <v>0</v>
      </c>
      <c r="O4803">
        <v>-12693.94619513999</v>
      </c>
      <c r="P4803">
        <v>4263166</v>
      </c>
    </row>
    <row r="4804" spans="1:16" x14ac:dyDescent="0.25">
      <c r="A4804" s="10">
        <v>44762</v>
      </c>
      <c r="B4804">
        <v>-100947</v>
      </c>
      <c r="C4804">
        <v>-5739.5812000000014</v>
      </c>
      <c r="D4804">
        <v>-8699.9999999999836</v>
      </c>
      <c r="E4804">
        <v>0</v>
      </c>
      <c r="F4804">
        <v>0</v>
      </c>
      <c r="G4804">
        <v>9712.8678190199844</v>
      </c>
      <c r="H4804">
        <v>-55063.476720040002</v>
      </c>
      <c r="I4804">
        <v>-18037.24440861</v>
      </c>
      <c r="J4804">
        <v>0</v>
      </c>
      <c r="K4804">
        <v>18928.826594499998</v>
      </c>
      <c r="L4804">
        <v>0</v>
      </c>
      <c r="M4804">
        <v>0</v>
      </c>
      <c r="N4804">
        <v>0</v>
      </c>
      <c r="O4804">
        <v>-42048.392084870007</v>
      </c>
      <c r="P4804">
        <v>4162219</v>
      </c>
    </row>
    <row r="4805" spans="1:16" x14ac:dyDescent="0.25">
      <c r="A4805" s="10">
        <v>44763</v>
      </c>
      <c r="B4805">
        <v>4620</v>
      </c>
      <c r="C4805">
        <v>-6276.6750000000002</v>
      </c>
      <c r="D4805">
        <v>0</v>
      </c>
      <c r="E4805">
        <v>0</v>
      </c>
      <c r="F4805">
        <v>0</v>
      </c>
      <c r="G4805">
        <v>357.8424587200002</v>
      </c>
      <c r="H4805">
        <v>-128380.5073800009</v>
      </c>
      <c r="I4805">
        <v>113201.8372481596</v>
      </c>
      <c r="J4805">
        <v>0</v>
      </c>
      <c r="K4805">
        <v>20776.06328463</v>
      </c>
      <c r="L4805">
        <v>0</v>
      </c>
      <c r="M4805">
        <v>0</v>
      </c>
      <c r="N4805">
        <v>0</v>
      </c>
      <c r="O4805">
        <v>4941.4393884913216</v>
      </c>
      <c r="P4805">
        <v>4166839</v>
      </c>
    </row>
    <row r="4806" spans="1:16" x14ac:dyDescent="0.25">
      <c r="A4806" s="10">
        <v>44764</v>
      </c>
      <c r="B4806">
        <v>36464</v>
      </c>
      <c r="C4806">
        <v>5710.22</v>
      </c>
      <c r="D4806">
        <v>0</v>
      </c>
      <c r="E4806">
        <v>0</v>
      </c>
      <c r="F4806">
        <v>0</v>
      </c>
      <c r="G4806">
        <v>107.66528594000241</v>
      </c>
      <c r="H4806">
        <v>19226.63168997</v>
      </c>
      <c r="I4806">
        <v>0</v>
      </c>
      <c r="J4806">
        <v>0</v>
      </c>
      <c r="K4806">
        <v>1363.6919167799999</v>
      </c>
      <c r="L4806">
        <v>0</v>
      </c>
      <c r="M4806">
        <v>0</v>
      </c>
      <c r="N4806">
        <v>0</v>
      </c>
      <c r="O4806">
        <v>10055.79110731</v>
      </c>
      <c r="P4806">
        <v>4203303</v>
      </c>
    </row>
    <row r="4807" spans="1:16" x14ac:dyDescent="0.25">
      <c r="A4807" s="10">
        <v>44767</v>
      </c>
      <c r="B4807">
        <v>1522</v>
      </c>
      <c r="C4807">
        <v>6776.77</v>
      </c>
      <c r="D4807">
        <v>0</v>
      </c>
      <c r="E4807">
        <v>0</v>
      </c>
      <c r="F4807">
        <v>0</v>
      </c>
      <c r="G4807">
        <v>-16.2</v>
      </c>
      <c r="H4807">
        <v>-47351.16</v>
      </c>
      <c r="I4807">
        <v>0</v>
      </c>
      <c r="J4807">
        <v>0</v>
      </c>
      <c r="K4807">
        <v>4017.59</v>
      </c>
      <c r="L4807">
        <v>0</v>
      </c>
      <c r="M4807">
        <v>0</v>
      </c>
      <c r="N4807">
        <v>0</v>
      </c>
      <c r="O4807">
        <v>38095</v>
      </c>
      <c r="P4807">
        <v>4204825</v>
      </c>
    </row>
    <row r="4808" spans="1:16" x14ac:dyDescent="0.25">
      <c r="A4808" s="10">
        <v>44768</v>
      </c>
      <c r="B4808">
        <v>21337</v>
      </c>
      <c r="C4808">
        <v>294.916</v>
      </c>
      <c r="D4808">
        <v>-19000.000000000051</v>
      </c>
      <c r="E4808">
        <v>0</v>
      </c>
      <c r="F4808">
        <v>0</v>
      </c>
      <c r="G4808">
        <v>15388.989946660011</v>
      </c>
      <c r="H4808">
        <v>-39232.536840250003</v>
      </c>
      <c r="I4808">
        <v>41867.697182509997</v>
      </c>
      <c r="J4808">
        <v>0</v>
      </c>
      <c r="K4808">
        <v>20579.626796799999</v>
      </c>
      <c r="L4808">
        <v>0</v>
      </c>
      <c r="M4808">
        <v>0</v>
      </c>
      <c r="N4808">
        <v>0</v>
      </c>
      <c r="O4808">
        <v>1438.306914280045</v>
      </c>
      <c r="P4808">
        <v>4226162</v>
      </c>
    </row>
    <row r="4809" spans="1:16" x14ac:dyDescent="0.25">
      <c r="A4809" s="10">
        <v>44769</v>
      </c>
      <c r="B4809">
        <v>-16181</v>
      </c>
      <c r="C4809">
        <v>-17078.555</v>
      </c>
      <c r="D4809">
        <v>0</v>
      </c>
      <c r="E4809">
        <v>0</v>
      </c>
      <c r="F4809">
        <v>0</v>
      </c>
      <c r="G4809">
        <v>207.88874018999999</v>
      </c>
      <c r="H4809">
        <v>-11582.64422999998</v>
      </c>
      <c r="I4809">
        <v>-5617.7279812498018</v>
      </c>
      <c r="J4809">
        <v>0</v>
      </c>
      <c r="K4809">
        <v>17678.03891295</v>
      </c>
      <c r="L4809">
        <v>0</v>
      </c>
      <c r="M4809">
        <v>0</v>
      </c>
      <c r="N4809">
        <v>0</v>
      </c>
      <c r="O4809">
        <v>211.9995581097792</v>
      </c>
      <c r="P4809">
        <v>4209981</v>
      </c>
    </row>
    <row r="4810" spans="1:16" x14ac:dyDescent="0.25">
      <c r="A4810" s="10">
        <v>44770</v>
      </c>
      <c r="B4810">
        <v>35794</v>
      </c>
      <c r="C4810">
        <v>-14288.3439</v>
      </c>
      <c r="D4810">
        <v>0</v>
      </c>
      <c r="E4810">
        <v>0</v>
      </c>
      <c r="F4810">
        <v>0</v>
      </c>
      <c r="G4810">
        <v>289.19516482000017</v>
      </c>
      <c r="H4810">
        <v>33727.340610000072</v>
      </c>
      <c r="I4810">
        <v>-14249.633043610491</v>
      </c>
      <c r="J4810">
        <v>0</v>
      </c>
      <c r="K4810">
        <v>28316.405945099999</v>
      </c>
      <c r="L4810">
        <v>0</v>
      </c>
      <c r="M4810">
        <v>0</v>
      </c>
      <c r="N4810">
        <v>0</v>
      </c>
      <c r="O4810">
        <v>1999.0352236904221</v>
      </c>
      <c r="P4810">
        <v>4245775</v>
      </c>
    </row>
    <row r="4811" spans="1:16" x14ac:dyDescent="0.25">
      <c r="A4811" s="10">
        <v>44771</v>
      </c>
      <c r="B4811">
        <v>71224</v>
      </c>
      <c r="C4811">
        <v>-18943.952000000001</v>
      </c>
      <c r="D4811">
        <v>0</v>
      </c>
      <c r="E4811">
        <v>0</v>
      </c>
      <c r="F4811">
        <v>0</v>
      </c>
      <c r="G4811">
        <v>-253673.78162182</v>
      </c>
      <c r="H4811">
        <v>224070.8748886</v>
      </c>
      <c r="I4811">
        <v>0</v>
      </c>
      <c r="J4811">
        <v>0</v>
      </c>
      <c r="K4811">
        <v>1681.09716245</v>
      </c>
      <c r="L4811">
        <v>0</v>
      </c>
      <c r="M4811">
        <v>0</v>
      </c>
      <c r="N4811">
        <v>0</v>
      </c>
      <c r="O4811">
        <v>118089.76157077</v>
      </c>
      <c r="P4811">
        <v>4316999</v>
      </c>
    </row>
    <row r="4812" spans="1:16" x14ac:dyDescent="0.25">
      <c r="A4812" s="10">
        <v>44774</v>
      </c>
      <c r="B4812">
        <v>50336</v>
      </c>
      <c r="C4812">
        <v>-15477.56</v>
      </c>
      <c r="D4812">
        <v>-7500</v>
      </c>
      <c r="E4812">
        <v>0</v>
      </c>
      <c r="F4812">
        <v>0</v>
      </c>
      <c r="G4812">
        <v>8240.9497565899928</v>
      </c>
      <c r="H4812">
        <v>58122.248115809991</v>
      </c>
      <c r="I4812">
        <v>0</v>
      </c>
      <c r="J4812">
        <v>0</v>
      </c>
      <c r="K4812">
        <v>4030.3683537799998</v>
      </c>
      <c r="L4812">
        <v>0</v>
      </c>
      <c r="M4812">
        <v>0</v>
      </c>
      <c r="N4812">
        <v>0</v>
      </c>
      <c r="O4812">
        <v>2919.9937738200169</v>
      </c>
      <c r="P4812">
        <v>4367335</v>
      </c>
    </row>
    <row r="4813" spans="1:16" x14ac:dyDescent="0.25">
      <c r="A4813" s="10">
        <v>44775</v>
      </c>
      <c r="B4813">
        <v>22841</v>
      </c>
      <c r="C4813">
        <v>-23532.04</v>
      </c>
      <c r="D4813">
        <v>0</v>
      </c>
      <c r="E4813">
        <v>0</v>
      </c>
      <c r="F4813">
        <v>0</v>
      </c>
      <c r="G4813">
        <v>80919.987327480019</v>
      </c>
      <c r="H4813">
        <v>144893.48053490999</v>
      </c>
      <c r="I4813">
        <v>-181534.92536137</v>
      </c>
      <c r="J4813">
        <v>0</v>
      </c>
      <c r="K4813">
        <v>22429.191165569999</v>
      </c>
      <c r="L4813">
        <v>0</v>
      </c>
      <c r="M4813">
        <v>0</v>
      </c>
      <c r="N4813">
        <v>0</v>
      </c>
      <c r="O4813">
        <v>-20334.693666589981</v>
      </c>
      <c r="P4813">
        <v>4390176</v>
      </c>
    </row>
    <row r="4814" spans="1:16" x14ac:dyDescent="0.25">
      <c r="A4814" s="10">
        <v>44776</v>
      </c>
      <c r="B4814">
        <v>-34290</v>
      </c>
      <c r="C4814">
        <v>-20189.300999999999</v>
      </c>
      <c r="D4814">
        <v>0</v>
      </c>
      <c r="E4814">
        <v>0</v>
      </c>
      <c r="F4814">
        <v>0</v>
      </c>
      <c r="G4814">
        <v>59877.777455870033</v>
      </c>
      <c r="H4814">
        <v>-86644.405530210017</v>
      </c>
      <c r="I4814">
        <v>3376.46451978</v>
      </c>
      <c r="J4814">
        <v>0</v>
      </c>
      <c r="K4814">
        <v>2681.1245434699999</v>
      </c>
      <c r="L4814">
        <v>0</v>
      </c>
      <c r="M4814">
        <v>0</v>
      </c>
      <c r="N4814">
        <v>0</v>
      </c>
      <c r="O4814">
        <v>6608.3400110899893</v>
      </c>
      <c r="P4814">
        <v>4355886</v>
      </c>
    </row>
    <row r="4815" spans="1:16" x14ac:dyDescent="0.25">
      <c r="A4815" s="10">
        <v>44777</v>
      </c>
      <c r="B4815">
        <v>2005</v>
      </c>
      <c r="C4815">
        <v>-19598.739399999999</v>
      </c>
      <c r="D4815">
        <v>0</v>
      </c>
      <c r="E4815">
        <v>0</v>
      </c>
      <c r="F4815">
        <v>0</v>
      </c>
      <c r="G4815">
        <v>248.24078732000001</v>
      </c>
      <c r="H4815">
        <v>-21637.55835014</v>
      </c>
      <c r="I4815">
        <v>9208.5234777899968</v>
      </c>
      <c r="J4815">
        <v>0</v>
      </c>
      <c r="K4815">
        <v>39528.312069539999</v>
      </c>
      <c r="L4815">
        <v>0</v>
      </c>
      <c r="M4815">
        <v>0</v>
      </c>
      <c r="N4815">
        <v>0</v>
      </c>
      <c r="O4815">
        <v>-5743.778584509997</v>
      </c>
      <c r="P4815">
        <v>4357891</v>
      </c>
    </row>
    <row r="4816" spans="1:16" x14ac:dyDescent="0.25">
      <c r="A4816" s="10">
        <v>44778</v>
      </c>
      <c r="B4816">
        <v>-56862</v>
      </c>
      <c r="C4816">
        <v>-12749.3105</v>
      </c>
      <c r="D4816">
        <v>0</v>
      </c>
      <c r="E4816">
        <v>0</v>
      </c>
      <c r="F4816">
        <v>0</v>
      </c>
      <c r="G4816">
        <v>-305.03858745000002</v>
      </c>
      <c r="H4816">
        <v>-29010.070665169998</v>
      </c>
      <c r="I4816">
        <v>0</v>
      </c>
      <c r="J4816">
        <v>0</v>
      </c>
      <c r="K4816">
        <v>1200.7066094899999</v>
      </c>
      <c r="L4816">
        <v>0</v>
      </c>
      <c r="M4816">
        <v>0</v>
      </c>
      <c r="N4816">
        <v>0</v>
      </c>
      <c r="O4816">
        <v>-15998.28685687</v>
      </c>
      <c r="P4816">
        <v>4301029</v>
      </c>
    </row>
    <row r="4817" spans="1:16" x14ac:dyDescent="0.25">
      <c r="A4817" s="10">
        <v>44781</v>
      </c>
      <c r="B4817">
        <v>63265</v>
      </c>
      <c r="C4817">
        <v>-10840.719499999999</v>
      </c>
      <c r="D4817">
        <v>-13000</v>
      </c>
      <c r="E4817">
        <v>-10000</v>
      </c>
      <c r="F4817">
        <v>0</v>
      </c>
      <c r="G4817">
        <v>95519.403900779987</v>
      </c>
      <c r="H4817">
        <v>475.40884482000052</v>
      </c>
      <c r="I4817">
        <v>0</v>
      </c>
      <c r="J4817">
        <v>0</v>
      </c>
      <c r="K4817">
        <v>3733.2612434900002</v>
      </c>
      <c r="L4817">
        <v>0</v>
      </c>
      <c r="M4817">
        <v>0</v>
      </c>
      <c r="N4817">
        <v>0</v>
      </c>
      <c r="O4817">
        <v>-2622.3544890899939</v>
      </c>
      <c r="P4817">
        <v>4364294</v>
      </c>
    </row>
    <row r="4818" spans="1:16" x14ac:dyDescent="0.25">
      <c r="A4818" s="10">
        <v>44782</v>
      </c>
      <c r="B4818">
        <v>4298</v>
      </c>
      <c r="C4818">
        <v>-8413.36</v>
      </c>
      <c r="D4818">
        <v>0</v>
      </c>
      <c r="E4818">
        <v>0</v>
      </c>
      <c r="F4818">
        <v>0</v>
      </c>
      <c r="G4818">
        <v>-186.57127763</v>
      </c>
      <c r="H4818">
        <v>-160147.85238011001</v>
      </c>
      <c r="I4818">
        <v>121339.47355721</v>
      </c>
      <c r="J4818">
        <v>0</v>
      </c>
      <c r="K4818">
        <v>30983.376861919998</v>
      </c>
      <c r="L4818">
        <v>0</v>
      </c>
      <c r="M4818">
        <v>0</v>
      </c>
      <c r="N4818">
        <v>0</v>
      </c>
      <c r="O4818">
        <v>20722.933238610029</v>
      </c>
      <c r="P4818">
        <v>4368592</v>
      </c>
    </row>
    <row r="4819" spans="1:16" x14ac:dyDescent="0.25">
      <c r="A4819" s="10">
        <v>44783</v>
      </c>
      <c r="B4819">
        <v>43073</v>
      </c>
      <c r="C4819">
        <v>1969.2585999999999</v>
      </c>
      <c r="D4819">
        <v>0</v>
      </c>
      <c r="E4819">
        <v>0</v>
      </c>
      <c r="F4819">
        <v>0</v>
      </c>
      <c r="G4819">
        <v>371.51207226999998</v>
      </c>
      <c r="H4819">
        <v>54654.818534940001</v>
      </c>
      <c r="I4819">
        <v>-17945.1831575</v>
      </c>
      <c r="J4819">
        <v>0</v>
      </c>
      <c r="K4819">
        <v>1530.2058840499999</v>
      </c>
      <c r="L4819">
        <v>0</v>
      </c>
      <c r="M4819">
        <v>0</v>
      </c>
      <c r="N4819">
        <v>0</v>
      </c>
      <c r="O4819">
        <v>2492.388066239997</v>
      </c>
      <c r="P4819">
        <v>4411665</v>
      </c>
    </row>
    <row r="4820" spans="1:16" x14ac:dyDescent="0.25">
      <c r="A4820" s="10">
        <v>44784</v>
      </c>
      <c r="B4820">
        <v>-98864</v>
      </c>
      <c r="C4820">
        <v>410.88</v>
      </c>
      <c r="D4820">
        <v>0</v>
      </c>
      <c r="E4820">
        <v>0</v>
      </c>
      <c r="F4820">
        <v>0</v>
      </c>
      <c r="G4820">
        <v>16310.621992079999</v>
      </c>
      <c r="H4820">
        <v>77209.536464699995</v>
      </c>
      <c r="I4820">
        <v>-173769.93343266001</v>
      </c>
      <c r="J4820">
        <v>0</v>
      </c>
      <c r="K4820">
        <v>12043.903065259999</v>
      </c>
      <c r="L4820">
        <v>0</v>
      </c>
      <c r="M4820">
        <v>0</v>
      </c>
      <c r="N4820">
        <v>0</v>
      </c>
      <c r="O4820">
        <v>-31069.008089380019</v>
      </c>
      <c r="P4820">
        <v>4312801</v>
      </c>
    </row>
    <row r="4821" spans="1:16" x14ac:dyDescent="0.25">
      <c r="A4821" s="10">
        <v>44785</v>
      </c>
      <c r="B4821">
        <v>-37506</v>
      </c>
      <c r="C4821">
        <v>155.97380000000001</v>
      </c>
      <c r="D4821">
        <v>0</v>
      </c>
      <c r="E4821">
        <v>0</v>
      </c>
      <c r="F4821">
        <v>0</v>
      </c>
      <c r="G4821">
        <v>-16749.86469106999</v>
      </c>
      <c r="H4821">
        <v>-32791.563270029998</v>
      </c>
      <c r="I4821">
        <v>0</v>
      </c>
      <c r="J4821">
        <v>0</v>
      </c>
      <c r="K4821">
        <v>1508.50607973</v>
      </c>
      <c r="L4821">
        <v>0</v>
      </c>
      <c r="M4821">
        <v>0</v>
      </c>
      <c r="N4821">
        <v>0</v>
      </c>
      <c r="O4821">
        <v>10370.94808136999</v>
      </c>
      <c r="P4821">
        <v>4275295</v>
      </c>
    </row>
    <row r="4822" spans="1:16" x14ac:dyDescent="0.25">
      <c r="A4822" s="10">
        <v>44789</v>
      </c>
      <c r="B4822">
        <v>88703</v>
      </c>
      <c r="C4822">
        <v>2399.1464000000001</v>
      </c>
      <c r="D4822">
        <v>0</v>
      </c>
      <c r="E4822">
        <v>0</v>
      </c>
      <c r="F4822">
        <v>0</v>
      </c>
      <c r="G4822">
        <v>-45979.016349370002</v>
      </c>
      <c r="H4822">
        <v>53968.197502549832</v>
      </c>
      <c r="I4822">
        <v>56244.93672196001</v>
      </c>
      <c r="J4822">
        <v>0</v>
      </c>
      <c r="K4822">
        <v>22611.794349160002</v>
      </c>
      <c r="L4822">
        <v>0</v>
      </c>
      <c r="M4822">
        <v>0</v>
      </c>
      <c r="N4822">
        <v>0</v>
      </c>
      <c r="O4822">
        <v>-542.05862429983972</v>
      </c>
      <c r="P4822">
        <v>4363998</v>
      </c>
    </row>
    <row r="4823" spans="1:16" x14ac:dyDescent="0.25">
      <c r="A4823" s="10">
        <v>44790</v>
      </c>
      <c r="B4823">
        <v>-3886</v>
      </c>
      <c r="C4823">
        <v>11151.740599999999</v>
      </c>
      <c r="D4823">
        <v>0</v>
      </c>
      <c r="E4823">
        <v>0</v>
      </c>
      <c r="F4823">
        <v>0</v>
      </c>
      <c r="G4823">
        <v>310.41659691000308</v>
      </c>
      <c r="H4823">
        <v>6764.2887710701261</v>
      </c>
      <c r="I4823">
        <v>-22854.538522999999</v>
      </c>
      <c r="J4823">
        <v>0</v>
      </c>
      <c r="K4823">
        <v>1850.2044145499999</v>
      </c>
      <c r="L4823">
        <v>0</v>
      </c>
      <c r="M4823">
        <v>0</v>
      </c>
      <c r="N4823">
        <v>0</v>
      </c>
      <c r="O4823">
        <v>-1108.111859530128</v>
      </c>
      <c r="P4823">
        <v>4360112</v>
      </c>
    </row>
    <row r="4824" spans="1:16" x14ac:dyDescent="0.25">
      <c r="A4824" s="10">
        <v>44791</v>
      </c>
      <c r="B4824">
        <v>-103732</v>
      </c>
      <c r="C4824">
        <v>2445.8000000000002</v>
      </c>
      <c r="D4824">
        <v>0</v>
      </c>
      <c r="E4824">
        <v>0</v>
      </c>
      <c r="F4824">
        <v>0</v>
      </c>
      <c r="G4824">
        <v>337.66946696999997</v>
      </c>
      <c r="H4824">
        <v>-124612.2015503899</v>
      </c>
      <c r="I4824">
        <v>3552.9215547099989</v>
      </c>
      <c r="J4824">
        <v>0</v>
      </c>
      <c r="K4824">
        <v>16517.920612959999</v>
      </c>
      <c r="L4824">
        <v>0</v>
      </c>
      <c r="M4824">
        <v>0</v>
      </c>
      <c r="N4824">
        <v>0</v>
      </c>
      <c r="O4824">
        <v>-1974.110084250045</v>
      </c>
      <c r="P4824">
        <v>4256380</v>
      </c>
    </row>
    <row r="4825" spans="1:16" x14ac:dyDescent="0.25">
      <c r="A4825" s="10">
        <v>44792</v>
      </c>
      <c r="B4825">
        <v>-9913</v>
      </c>
      <c r="C4825">
        <v>605.21029199999998</v>
      </c>
      <c r="D4825">
        <v>0</v>
      </c>
      <c r="E4825">
        <v>0</v>
      </c>
      <c r="F4825">
        <v>0</v>
      </c>
      <c r="G4825">
        <v>2477.6859599200002</v>
      </c>
      <c r="H4825">
        <v>-15682.958853259959</v>
      </c>
      <c r="I4825">
        <v>0</v>
      </c>
      <c r="J4825">
        <v>0</v>
      </c>
      <c r="K4825">
        <v>1678.1770511899999</v>
      </c>
      <c r="L4825">
        <v>0</v>
      </c>
      <c r="M4825">
        <v>0</v>
      </c>
      <c r="N4825">
        <v>0</v>
      </c>
      <c r="O4825">
        <v>1008.88555014996</v>
      </c>
      <c r="P4825">
        <v>4246467</v>
      </c>
    </row>
    <row r="4826" spans="1:16" x14ac:dyDescent="0.25">
      <c r="A4826" s="10">
        <v>44795</v>
      </c>
      <c r="B4826">
        <v>43134</v>
      </c>
      <c r="C4826">
        <v>19058.72</v>
      </c>
      <c r="D4826">
        <v>-10000</v>
      </c>
      <c r="E4826">
        <v>0</v>
      </c>
      <c r="F4826">
        <v>0</v>
      </c>
      <c r="G4826">
        <v>10566.210809710001</v>
      </c>
      <c r="H4826">
        <v>18424.095594919869</v>
      </c>
      <c r="I4826">
        <v>0</v>
      </c>
      <c r="J4826">
        <v>0</v>
      </c>
      <c r="K4826">
        <v>5114.911594350001</v>
      </c>
      <c r="L4826">
        <v>0</v>
      </c>
      <c r="M4826">
        <v>0</v>
      </c>
      <c r="N4826">
        <v>0</v>
      </c>
      <c r="O4826">
        <v>-29.937998979869011</v>
      </c>
      <c r="P4826">
        <v>4289601</v>
      </c>
    </row>
    <row r="4827" spans="1:16" x14ac:dyDescent="0.25">
      <c r="A4827" s="10">
        <v>44796</v>
      </c>
      <c r="B4827">
        <v>-142535</v>
      </c>
      <c r="C4827">
        <v>205.30500000000001</v>
      </c>
      <c r="D4827">
        <v>0</v>
      </c>
      <c r="E4827">
        <v>0</v>
      </c>
      <c r="F4827">
        <v>0</v>
      </c>
      <c r="G4827">
        <v>93.715228730000007</v>
      </c>
      <c r="H4827">
        <v>-121340.7494449099</v>
      </c>
      <c r="I4827">
        <v>-35369.197535179999</v>
      </c>
      <c r="J4827">
        <v>0</v>
      </c>
      <c r="K4827">
        <v>19182.224856190001</v>
      </c>
      <c r="L4827">
        <v>0</v>
      </c>
      <c r="M4827">
        <v>0</v>
      </c>
      <c r="N4827">
        <v>0</v>
      </c>
      <c r="O4827">
        <v>-5306.2981048301153</v>
      </c>
      <c r="P4827">
        <v>4147066</v>
      </c>
    </row>
    <row r="4828" spans="1:16" x14ac:dyDescent="0.25">
      <c r="A4828" s="10">
        <v>44797</v>
      </c>
      <c r="B4828">
        <v>46015</v>
      </c>
      <c r="C4828">
        <v>822.9</v>
      </c>
      <c r="D4828">
        <v>0</v>
      </c>
      <c r="E4828">
        <v>0</v>
      </c>
      <c r="F4828">
        <v>0</v>
      </c>
      <c r="G4828">
        <v>187.59379264</v>
      </c>
      <c r="H4828">
        <v>-154502.36566068011</v>
      </c>
      <c r="I4828">
        <v>136180.36850429999</v>
      </c>
      <c r="J4828">
        <v>0</v>
      </c>
      <c r="K4828">
        <v>70101.178250209996</v>
      </c>
      <c r="L4828">
        <v>0</v>
      </c>
      <c r="M4828">
        <v>0</v>
      </c>
      <c r="N4828">
        <v>0</v>
      </c>
      <c r="O4828">
        <v>-6774.6748864698966</v>
      </c>
      <c r="P4828">
        <v>4193081</v>
      </c>
    </row>
    <row r="4829" spans="1:16" x14ac:dyDescent="0.25">
      <c r="A4829" s="10">
        <v>44798</v>
      </c>
      <c r="B4829">
        <v>43523</v>
      </c>
      <c r="C4829">
        <v>1501.4</v>
      </c>
      <c r="D4829">
        <v>0</v>
      </c>
      <c r="E4829">
        <v>0</v>
      </c>
      <c r="F4829">
        <v>0</v>
      </c>
      <c r="G4829">
        <v>-149.10612764999999</v>
      </c>
      <c r="H4829">
        <v>97247.4672113899</v>
      </c>
      <c r="I4829">
        <v>-87718.987436679992</v>
      </c>
      <c r="J4829">
        <v>0</v>
      </c>
      <c r="K4829">
        <v>33798.028305299988</v>
      </c>
      <c r="L4829">
        <v>0</v>
      </c>
      <c r="M4829">
        <v>0</v>
      </c>
      <c r="N4829">
        <v>0</v>
      </c>
      <c r="O4829">
        <v>-1155.8019523599071</v>
      </c>
      <c r="P4829">
        <v>4236604</v>
      </c>
    </row>
    <row r="4830" spans="1:16" x14ac:dyDescent="0.25">
      <c r="A4830" s="10">
        <v>44799</v>
      </c>
      <c r="B4830">
        <v>-24936</v>
      </c>
      <c r="C4830">
        <v>119.625</v>
      </c>
      <c r="D4830">
        <v>0</v>
      </c>
      <c r="E4830">
        <v>0</v>
      </c>
      <c r="F4830">
        <v>0</v>
      </c>
      <c r="G4830">
        <v>4.3055990799999968</v>
      </c>
      <c r="H4830">
        <v>-26948.861724330269</v>
      </c>
      <c r="I4830">
        <v>0</v>
      </c>
      <c r="J4830">
        <v>0</v>
      </c>
      <c r="K4830">
        <v>1989.0011083899999</v>
      </c>
      <c r="L4830">
        <v>0</v>
      </c>
      <c r="M4830">
        <v>0</v>
      </c>
      <c r="N4830">
        <v>0</v>
      </c>
      <c r="O4830">
        <v>-100.06998313972871</v>
      </c>
      <c r="P4830">
        <v>4211668</v>
      </c>
    </row>
    <row r="4831" spans="1:16" x14ac:dyDescent="0.25">
      <c r="A4831" s="10">
        <v>44802</v>
      </c>
      <c r="B4831">
        <v>129300</v>
      </c>
      <c r="C4831">
        <v>1521.52</v>
      </c>
      <c r="D4831">
        <v>0</v>
      </c>
      <c r="E4831">
        <v>0</v>
      </c>
      <c r="F4831">
        <v>0</v>
      </c>
      <c r="G4831">
        <v>-182.19195655999999</v>
      </c>
      <c r="H4831">
        <v>119661.68578005</v>
      </c>
      <c r="I4831">
        <v>0</v>
      </c>
      <c r="J4831">
        <v>0</v>
      </c>
      <c r="K4831">
        <v>6109.2625645799999</v>
      </c>
      <c r="L4831">
        <v>0</v>
      </c>
      <c r="M4831">
        <v>0</v>
      </c>
      <c r="N4831">
        <v>0</v>
      </c>
      <c r="O4831">
        <v>2189.7236119299778</v>
      </c>
      <c r="P4831">
        <v>4340968</v>
      </c>
    </row>
    <row r="4832" spans="1:16" x14ac:dyDescent="0.25">
      <c r="A4832" s="10">
        <v>44803</v>
      </c>
      <c r="B4832">
        <v>-122235</v>
      </c>
      <c r="C4832">
        <v>55.41</v>
      </c>
      <c r="D4832">
        <v>0</v>
      </c>
      <c r="E4832">
        <v>0</v>
      </c>
      <c r="F4832">
        <v>0</v>
      </c>
      <c r="G4832">
        <v>124.15687469</v>
      </c>
      <c r="H4832">
        <v>-167377.88661455011</v>
      </c>
      <c r="I4832">
        <v>8337.3318370499983</v>
      </c>
      <c r="J4832">
        <v>0</v>
      </c>
      <c r="K4832">
        <v>34611.433776540012</v>
      </c>
      <c r="L4832">
        <v>0</v>
      </c>
      <c r="M4832">
        <v>0</v>
      </c>
      <c r="N4832">
        <v>0</v>
      </c>
      <c r="O4832">
        <v>2014.554126270086</v>
      </c>
      <c r="P4832">
        <v>4218733</v>
      </c>
    </row>
    <row r="4833" spans="1:16" x14ac:dyDescent="0.25">
      <c r="A4833" s="10">
        <v>44804</v>
      </c>
      <c r="B4833">
        <v>-27349</v>
      </c>
      <c r="C4833">
        <v>443.92099999999999</v>
      </c>
      <c r="D4833">
        <v>0</v>
      </c>
      <c r="E4833">
        <v>0</v>
      </c>
      <c r="F4833">
        <v>0</v>
      </c>
      <c r="G4833">
        <v>-237783.29871388999</v>
      </c>
      <c r="H4833">
        <v>205454.20258174001</v>
      </c>
      <c r="I4833">
        <v>-7090.7996900000016</v>
      </c>
      <c r="J4833">
        <v>0</v>
      </c>
      <c r="K4833">
        <v>11325.77147344</v>
      </c>
      <c r="L4833">
        <v>0</v>
      </c>
      <c r="M4833">
        <v>0</v>
      </c>
      <c r="N4833">
        <v>0</v>
      </c>
      <c r="O4833">
        <v>301.20334870997613</v>
      </c>
      <c r="P4833">
        <v>4191384</v>
      </c>
    </row>
    <row r="4834" spans="1:16" x14ac:dyDescent="0.25">
      <c r="A4834" s="10">
        <v>44805</v>
      </c>
      <c r="B4834">
        <v>127109</v>
      </c>
      <c r="C4834">
        <v>72.211399999999998</v>
      </c>
      <c r="D4834">
        <v>0</v>
      </c>
      <c r="E4834">
        <v>0</v>
      </c>
      <c r="F4834">
        <v>0</v>
      </c>
      <c r="G4834">
        <v>449.67098518</v>
      </c>
      <c r="H4834">
        <v>-59666.482024610013</v>
      </c>
      <c r="I4834">
        <v>143589.90438237</v>
      </c>
      <c r="J4834">
        <v>0</v>
      </c>
      <c r="K4834">
        <v>45595.664383299998</v>
      </c>
      <c r="L4834">
        <v>0</v>
      </c>
      <c r="M4834">
        <v>0</v>
      </c>
      <c r="N4834">
        <v>0</v>
      </c>
      <c r="O4834">
        <v>-2931.969126239987</v>
      </c>
      <c r="P4834">
        <v>4318493</v>
      </c>
    </row>
    <row r="4835" spans="1:16" x14ac:dyDescent="0.25">
      <c r="A4835" s="10">
        <v>44809</v>
      </c>
      <c r="B4835">
        <v>89885</v>
      </c>
      <c r="C4835">
        <v>-1151.0999999999999</v>
      </c>
      <c r="D4835">
        <v>0</v>
      </c>
      <c r="E4835">
        <v>0</v>
      </c>
      <c r="F4835">
        <v>0</v>
      </c>
      <c r="G4835">
        <v>80058.831803099994</v>
      </c>
      <c r="H4835">
        <v>-20469.339262420512</v>
      </c>
      <c r="I4835">
        <v>0</v>
      </c>
      <c r="J4835">
        <v>0</v>
      </c>
      <c r="K4835">
        <v>7454.03983427</v>
      </c>
      <c r="L4835">
        <v>0</v>
      </c>
      <c r="M4835">
        <v>0</v>
      </c>
      <c r="N4835">
        <v>0</v>
      </c>
      <c r="O4835">
        <v>23992.56762505052</v>
      </c>
      <c r="P4835">
        <v>4408378</v>
      </c>
    </row>
    <row r="4836" spans="1:16" x14ac:dyDescent="0.25">
      <c r="A4836" s="10">
        <v>44810</v>
      </c>
      <c r="B4836">
        <v>-14541</v>
      </c>
      <c r="C4836">
        <v>38858.764199999998</v>
      </c>
      <c r="D4836">
        <v>0</v>
      </c>
      <c r="E4836">
        <v>0</v>
      </c>
      <c r="F4836">
        <v>0</v>
      </c>
      <c r="G4836">
        <v>3196.4641743900202</v>
      </c>
      <c r="H4836">
        <v>-239507.79986904989</v>
      </c>
      <c r="I4836">
        <v>158123.15529620001</v>
      </c>
      <c r="J4836">
        <v>0</v>
      </c>
      <c r="K4836">
        <v>30630.007323680002</v>
      </c>
      <c r="L4836">
        <v>0</v>
      </c>
      <c r="M4836">
        <v>0</v>
      </c>
      <c r="N4836">
        <v>0</v>
      </c>
      <c r="O4836">
        <v>-5841.591125220104</v>
      </c>
      <c r="P4836">
        <v>4393837</v>
      </c>
    </row>
    <row r="4837" spans="1:16" x14ac:dyDescent="0.25">
      <c r="A4837" s="10">
        <v>44811</v>
      </c>
      <c r="B4837">
        <v>-139272</v>
      </c>
      <c r="C4837">
        <v>65881.74059999999</v>
      </c>
      <c r="D4837">
        <v>0</v>
      </c>
      <c r="E4837">
        <v>0</v>
      </c>
      <c r="F4837">
        <v>0</v>
      </c>
      <c r="G4837">
        <v>622.73784955999997</v>
      </c>
      <c r="H4837">
        <v>-238283.19772438909</v>
      </c>
      <c r="I4837">
        <v>19975</v>
      </c>
      <c r="J4837">
        <v>0</v>
      </c>
      <c r="K4837">
        <v>15885.335827860001</v>
      </c>
      <c r="L4837">
        <v>0</v>
      </c>
      <c r="M4837">
        <v>0</v>
      </c>
      <c r="N4837">
        <v>0</v>
      </c>
      <c r="O4837">
        <v>-3353.6165530309081</v>
      </c>
      <c r="P4837">
        <v>4254565</v>
      </c>
    </row>
    <row r="4838" spans="1:16" x14ac:dyDescent="0.25">
      <c r="A4838" s="10">
        <v>44812</v>
      </c>
      <c r="B4838">
        <v>-25644</v>
      </c>
      <c r="C4838">
        <v>97908.722399999999</v>
      </c>
      <c r="D4838">
        <v>0</v>
      </c>
      <c r="E4838">
        <v>0</v>
      </c>
      <c r="F4838">
        <v>0</v>
      </c>
      <c r="G4838">
        <v>122414.50745827</v>
      </c>
      <c r="H4838">
        <v>132626.54790973</v>
      </c>
      <c r="I4838">
        <v>-373956.47623977001</v>
      </c>
      <c r="J4838">
        <v>0</v>
      </c>
      <c r="K4838">
        <v>26231.47850691</v>
      </c>
      <c r="L4838">
        <v>0</v>
      </c>
      <c r="M4838">
        <v>0</v>
      </c>
      <c r="N4838">
        <v>0</v>
      </c>
      <c r="O4838">
        <v>-30868.780035139989</v>
      </c>
      <c r="P4838">
        <v>4228921</v>
      </c>
    </row>
    <row r="4839" spans="1:16" x14ac:dyDescent="0.25">
      <c r="A4839" s="10">
        <v>44813</v>
      </c>
      <c r="B4839">
        <v>-85081</v>
      </c>
      <c r="C4839">
        <v>40475.232799999998</v>
      </c>
      <c r="D4839">
        <v>0</v>
      </c>
      <c r="E4839">
        <v>0</v>
      </c>
      <c r="F4839">
        <v>0</v>
      </c>
      <c r="G4839">
        <v>-2039.64730156</v>
      </c>
      <c r="H4839">
        <v>-126279.40748723</v>
      </c>
      <c r="I4839">
        <v>0</v>
      </c>
      <c r="J4839">
        <v>0</v>
      </c>
      <c r="K4839">
        <v>2510.57594509</v>
      </c>
      <c r="L4839">
        <v>0</v>
      </c>
      <c r="M4839">
        <v>0</v>
      </c>
      <c r="N4839">
        <v>0</v>
      </c>
      <c r="O4839">
        <v>252.2460437000118</v>
      </c>
      <c r="P4839">
        <v>4143840</v>
      </c>
    </row>
    <row r="4840" spans="1:16" x14ac:dyDescent="0.25">
      <c r="A4840" s="10">
        <v>44816</v>
      </c>
      <c r="B4840">
        <v>132749</v>
      </c>
      <c r="C4840">
        <v>41002.499900000003</v>
      </c>
      <c r="D4840">
        <v>0</v>
      </c>
      <c r="E4840">
        <v>0</v>
      </c>
      <c r="F4840">
        <v>0</v>
      </c>
      <c r="G4840">
        <v>1697.7386742799999</v>
      </c>
      <c r="H4840">
        <v>88948.732227709988</v>
      </c>
      <c r="I4840">
        <v>0</v>
      </c>
      <c r="J4840">
        <v>0</v>
      </c>
      <c r="K4840">
        <v>8200.5863828000001</v>
      </c>
      <c r="L4840">
        <v>0</v>
      </c>
      <c r="M4840">
        <v>0</v>
      </c>
      <c r="N4840">
        <v>0</v>
      </c>
      <c r="O4840">
        <v>-7100.5571847899701</v>
      </c>
      <c r="P4840">
        <v>4276589</v>
      </c>
    </row>
    <row r="4841" spans="1:16" x14ac:dyDescent="0.25">
      <c r="A4841" s="10">
        <v>44817</v>
      </c>
      <c r="B4841">
        <v>-102964</v>
      </c>
      <c r="C4841">
        <v>42585.7618</v>
      </c>
      <c r="D4841">
        <v>0</v>
      </c>
      <c r="E4841">
        <v>0</v>
      </c>
      <c r="F4841">
        <v>0</v>
      </c>
      <c r="G4841">
        <v>-638.71740940999996</v>
      </c>
      <c r="H4841">
        <v>78046.343346089983</v>
      </c>
      <c r="I4841">
        <v>-238608.63316694999</v>
      </c>
      <c r="J4841">
        <v>0</v>
      </c>
      <c r="K4841">
        <v>21424.653777399999</v>
      </c>
      <c r="L4841">
        <v>0</v>
      </c>
      <c r="M4841">
        <v>0</v>
      </c>
      <c r="N4841">
        <v>0</v>
      </c>
      <c r="O4841">
        <v>-5773.4083471299964</v>
      </c>
      <c r="P4841">
        <v>4173625</v>
      </c>
    </row>
    <row r="4842" spans="1:16" x14ac:dyDescent="0.25">
      <c r="A4842" s="10">
        <v>44818</v>
      </c>
      <c r="B4842">
        <v>-66576</v>
      </c>
      <c r="C4842">
        <v>66152.839640000006</v>
      </c>
      <c r="D4842">
        <v>0</v>
      </c>
      <c r="E4842">
        <v>0</v>
      </c>
      <c r="F4842">
        <v>0</v>
      </c>
      <c r="G4842">
        <v>-211.7603469</v>
      </c>
      <c r="H4842">
        <v>-79663.08415730999</v>
      </c>
      <c r="I4842">
        <v>-61825</v>
      </c>
      <c r="J4842">
        <v>0</v>
      </c>
      <c r="K4842">
        <v>10137.658330640001</v>
      </c>
      <c r="L4842">
        <v>0</v>
      </c>
      <c r="M4842">
        <v>0</v>
      </c>
      <c r="N4842">
        <v>0</v>
      </c>
      <c r="O4842">
        <v>-1166.653466430012</v>
      </c>
      <c r="P4842">
        <v>4107049</v>
      </c>
    </row>
    <row r="4843" spans="1:16" x14ac:dyDescent="0.25">
      <c r="A4843" s="10">
        <v>44819</v>
      </c>
      <c r="B4843">
        <v>157766</v>
      </c>
      <c r="C4843">
        <v>68658.732068000012</v>
      </c>
      <c r="D4843">
        <v>0</v>
      </c>
      <c r="E4843">
        <v>0</v>
      </c>
      <c r="F4843">
        <v>0</v>
      </c>
      <c r="G4843">
        <v>-703.16468342000076</v>
      </c>
      <c r="H4843">
        <v>96601.106025429763</v>
      </c>
      <c r="I4843">
        <v>-26796.350697810001</v>
      </c>
      <c r="J4843">
        <v>0</v>
      </c>
      <c r="K4843">
        <v>22517.759601469999</v>
      </c>
      <c r="L4843">
        <v>0</v>
      </c>
      <c r="M4843">
        <v>0</v>
      </c>
      <c r="N4843">
        <v>0</v>
      </c>
      <c r="O4843">
        <v>-2512.0823136697582</v>
      </c>
      <c r="P4843">
        <v>4264815</v>
      </c>
    </row>
    <row r="4844" spans="1:16" x14ac:dyDescent="0.25">
      <c r="A4844" s="10">
        <v>44820</v>
      </c>
      <c r="B4844">
        <v>-154645</v>
      </c>
      <c r="C4844">
        <v>49379.963959999986</v>
      </c>
      <c r="D4844">
        <v>0</v>
      </c>
      <c r="E4844">
        <v>0</v>
      </c>
      <c r="F4844">
        <v>0</v>
      </c>
      <c r="G4844">
        <v>50567.915732250003</v>
      </c>
      <c r="H4844">
        <v>-266691.46859767009</v>
      </c>
      <c r="I4844">
        <v>0</v>
      </c>
      <c r="J4844">
        <v>0</v>
      </c>
      <c r="K4844">
        <v>2407.45818706</v>
      </c>
      <c r="L4844">
        <v>0</v>
      </c>
      <c r="M4844">
        <v>0</v>
      </c>
      <c r="N4844">
        <v>0</v>
      </c>
      <c r="O4844">
        <v>9691.1307183601602</v>
      </c>
      <c r="P4844">
        <v>4110170</v>
      </c>
    </row>
    <row r="4845" spans="1:16" x14ac:dyDescent="0.25">
      <c r="A4845" s="10">
        <v>44823</v>
      </c>
      <c r="B4845">
        <v>174058</v>
      </c>
      <c r="C4845">
        <v>47977.828399999999</v>
      </c>
      <c r="D4845">
        <v>0</v>
      </c>
      <c r="E4845">
        <v>0</v>
      </c>
      <c r="F4845">
        <v>0</v>
      </c>
      <c r="G4845">
        <v>1169.2017295400001</v>
      </c>
      <c r="H4845">
        <v>116635.271651459</v>
      </c>
      <c r="I4845">
        <v>0</v>
      </c>
      <c r="J4845">
        <v>0</v>
      </c>
      <c r="K4845">
        <v>9374.5293343499998</v>
      </c>
      <c r="L4845">
        <v>0</v>
      </c>
      <c r="M4845">
        <v>0</v>
      </c>
      <c r="N4845">
        <v>0</v>
      </c>
      <c r="O4845">
        <v>-1098.8311153489631</v>
      </c>
      <c r="P4845">
        <v>4284228</v>
      </c>
    </row>
    <row r="4846" spans="1:16" x14ac:dyDescent="0.25">
      <c r="A4846" s="10">
        <v>44824</v>
      </c>
      <c r="B4846">
        <v>-221459</v>
      </c>
      <c r="C4846">
        <v>44637.991521999997</v>
      </c>
      <c r="D4846">
        <v>-138000</v>
      </c>
      <c r="E4846">
        <v>0</v>
      </c>
      <c r="F4846">
        <v>0</v>
      </c>
      <c r="G4846">
        <v>-95513.051416140006</v>
      </c>
      <c r="H4846">
        <v>236012.45267912999</v>
      </c>
      <c r="I4846">
        <v>-303433.44127228</v>
      </c>
      <c r="J4846">
        <v>0</v>
      </c>
      <c r="K4846">
        <v>28189.825956029999</v>
      </c>
      <c r="L4846">
        <v>0</v>
      </c>
      <c r="M4846">
        <v>0</v>
      </c>
      <c r="N4846">
        <v>0</v>
      </c>
      <c r="O4846">
        <v>6647.2225312599912</v>
      </c>
      <c r="P4846">
        <v>4062769</v>
      </c>
    </row>
    <row r="4847" spans="1:16" x14ac:dyDescent="0.25">
      <c r="A4847" s="10">
        <v>44825</v>
      </c>
      <c r="B4847">
        <v>-30754</v>
      </c>
      <c r="C4847">
        <v>54673.358200000002</v>
      </c>
      <c r="D4847">
        <v>0</v>
      </c>
      <c r="E4847">
        <v>0</v>
      </c>
      <c r="F4847">
        <v>0</v>
      </c>
      <c r="G4847">
        <v>434.78346549000003</v>
      </c>
      <c r="H4847">
        <v>-86272.532712280052</v>
      </c>
      <c r="I4847">
        <v>-35055</v>
      </c>
      <c r="J4847">
        <v>0</v>
      </c>
      <c r="K4847">
        <v>11962.501230489999</v>
      </c>
      <c r="L4847">
        <v>0</v>
      </c>
      <c r="M4847">
        <v>0</v>
      </c>
      <c r="N4847">
        <v>0</v>
      </c>
      <c r="O4847">
        <v>23502.889816300041</v>
      </c>
      <c r="P4847">
        <v>4032015</v>
      </c>
    </row>
    <row r="4848" spans="1:16" x14ac:dyDescent="0.25">
      <c r="A4848" s="10">
        <v>44826</v>
      </c>
      <c r="B4848">
        <v>50449</v>
      </c>
      <c r="C4848">
        <v>74536.82078400001</v>
      </c>
      <c r="D4848">
        <v>0</v>
      </c>
      <c r="E4848">
        <v>0</v>
      </c>
      <c r="F4848">
        <v>0</v>
      </c>
      <c r="G4848">
        <v>710.37734735004983</v>
      </c>
      <c r="H4848">
        <v>5945.0041933097</v>
      </c>
      <c r="I4848">
        <v>-98716.501247600012</v>
      </c>
      <c r="J4848">
        <v>0</v>
      </c>
      <c r="K4848">
        <v>43939.488636690003</v>
      </c>
      <c r="L4848">
        <v>0</v>
      </c>
      <c r="M4848">
        <v>0</v>
      </c>
      <c r="N4848">
        <v>0</v>
      </c>
      <c r="O4848">
        <v>24033.810286250238</v>
      </c>
      <c r="P4848">
        <v>4082464</v>
      </c>
    </row>
    <row r="4849" spans="1:16" x14ac:dyDescent="0.25">
      <c r="A4849" s="10">
        <v>44827</v>
      </c>
      <c r="B4849">
        <v>-11566</v>
      </c>
      <c r="C4849">
        <v>39092.346862000013</v>
      </c>
      <c r="D4849">
        <v>0</v>
      </c>
      <c r="E4849">
        <v>0</v>
      </c>
      <c r="F4849">
        <v>0</v>
      </c>
      <c r="G4849">
        <v>-38.399629649999987</v>
      </c>
      <c r="H4849">
        <v>-50124.700430500292</v>
      </c>
      <c r="I4849">
        <v>0</v>
      </c>
      <c r="J4849">
        <v>0</v>
      </c>
      <c r="K4849">
        <v>2601.8437626899999</v>
      </c>
      <c r="L4849">
        <v>0</v>
      </c>
      <c r="M4849">
        <v>0</v>
      </c>
      <c r="N4849">
        <v>0</v>
      </c>
      <c r="O4849">
        <v>-3097.0905645397161</v>
      </c>
      <c r="P4849">
        <v>4070898</v>
      </c>
    </row>
    <row r="4850" spans="1:16" x14ac:dyDescent="0.25">
      <c r="A4850" s="10">
        <v>44830</v>
      </c>
      <c r="B4850">
        <v>24021</v>
      </c>
      <c r="C4850">
        <v>80611.599599999987</v>
      </c>
      <c r="D4850">
        <v>0</v>
      </c>
      <c r="E4850">
        <v>0</v>
      </c>
      <c r="F4850">
        <v>0</v>
      </c>
      <c r="G4850">
        <v>12105.449578219959</v>
      </c>
      <c r="H4850">
        <v>-40616.896140679637</v>
      </c>
      <c r="I4850">
        <v>0</v>
      </c>
      <c r="J4850">
        <v>0</v>
      </c>
      <c r="K4850">
        <v>8097.7237191200002</v>
      </c>
      <c r="L4850">
        <v>0</v>
      </c>
      <c r="M4850">
        <v>0</v>
      </c>
      <c r="N4850">
        <v>0</v>
      </c>
      <c r="O4850">
        <v>-36176.876756660313</v>
      </c>
      <c r="P4850">
        <v>4094919</v>
      </c>
    </row>
    <row r="4851" spans="1:16" x14ac:dyDescent="0.25">
      <c r="A4851" s="10">
        <v>44831</v>
      </c>
      <c r="B4851">
        <v>73123</v>
      </c>
      <c r="C4851">
        <v>69551.983017999999</v>
      </c>
      <c r="D4851">
        <v>0</v>
      </c>
      <c r="E4851">
        <v>0</v>
      </c>
      <c r="F4851">
        <v>0</v>
      </c>
      <c r="G4851">
        <v>548.08130826000024</v>
      </c>
      <c r="H4851">
        <v>60495.290468349987</v>
      </c>
      <c r="I4851">
        <v>-65473.69568859</v>
      </c>
      <c r="J4851">
        <v>0</v>
      </c>
      <c r="K4851">
        <v>40308.127014960002</v>
      </c>
      <c r="L4851">
        <v>0</v>
      </c>
      <c r="M4851">
        <v>0</v>
      </c>
      <c r="N4851">
        <v>0</v>
      </c>
      <c r="O4851">
        <v>-32306.786120979988</v>
      </c>
      <c r="P4851">
        <v>4168042</v>
      </c>
    </row>
    <row r="4852" spans="1:16" x14ac:dyDescent="0.25">
      <c r="A4852" s="10">
        <v>44832</v>
      </c>
      <c r="B4852">
        <v>-129099</v>
      </c>
      <c r="C4852">
        <v>63332.839449999999</v>
      </c>
      <c r="D4852">
        <v>0</v>
      </c>
      <c r="E4852">
        <v>0</v>
      </c>
      <c r="F4852">
        <v>0</v>
      </c>
      <c r="G4852">
        <v>-1575.293909029996</v>
      </c>
      <c r="H4852">
        <v>-178740.18547666891</v>
      </c>
      <c r="I4852">
        <v>-26570.799999999999</v>
      </c>
      <c r="J4852">
        <v>0</v>
      </c>
      <c r="K4852">
        <v>22194.567436820002</v>
      </c>
      <c r="L4852">
        <v>0</v>
      </c>
      <c r="M4852">
        <v>0</v>
      </c>
      <c r="N4852">
        <v>0</v>
      </c>
      <c r="O4852">
        <v>-7740.1275011210964</v>
      </c>
      <c r="P4852">
        <v>4038943</v>
      </c>
    </row>
    <row r="4853" spans="1:16" x14ac:dyDescent="0.25">
      <c r="A4853" s="10">
        <v>44833</v>
      </c>
      <c r="B4853">
        <v>139412</v>
      </c>
      <c r="C4853">
        <v>78516.655761999995</v>
      </c>
      <c r="D4853">
        <v>-1200</v>
      </c>
      <c r="E4853">
        <v>0</v>
      </c>
      <c r="F4853">
        <v>0</v>
      </c>
      <c r="G4853">
        <v>1870.1124955099999</v>
      </c>
      <c r="H4853">
        <v>10039.481377200371</v>
      </c>
      <c r="I4853">
        <v>12936.495815820001</v>
      </c>
      <c r="J4853">
        <v>0</v>
      </c>
      <c r="K4853">
        <v>46126.319700829998</v>
      </c>
      <c r="L4853">
        <v>0</v>
      </c>
      <c r="M4853">
        <v>0</v>
      </c>
      <c r="N4853">
        <v>0</v>
      </c>
      <c r="O4853">
        <v>-8877.0651513603807</v>
      </c>
      <c r="P4853">
        <v>4178355</v>
      </c>
    </row>
    <row r="4854" spans="1:16" x14ac:dyDescent="0.25">
      <c r="A4854" s="10">
        <v>44834</v>
      </c>
      <c r="B4854">
        <v>-79306</v>
      </c>
      <c r="C4854">
        <v>72581.306156000006</v>
      </c>
      <c r="D4854">
        <v>0</v>
      </c>
      <c r="E4854">
        <v>0</v>
      </c>
      <c r="F4854">
        <v>0</v>
      </c>
      <c r="G4854">
        <v>-214755.30431846</v>
      </c>
      <c r="H4854">
        <v>67307.318935290023</v>
      </c>
      <c r="I4854">
        <v>0</v>
      </c>
      <c r="J4854">
        <v>0</v>
      </c>
      <c r="K4854">
        <v>2983.5922578200002</v>
      </c>
      <c r="L4854">
        <v>0</v>
      </c>
      <c r="M4854">
        <v>0</v>
      </c>
      <c r="N4854">
        <v>0</v>
      </c>
      <c r="O4854">
        <v>-7422.9130306500447</v>
      </c>
      <c r="P4854">
        <v>4099049</v>
      </c>
    </row>
    <row r="4855" spans="1:16" x14ac:dyDescent="0.25">
      <c r="A4855" s="10">
        <v>44837</v>
      </c>
      <c r="B4855">
        <v>91609</v>
      </c>
      <c r="C4855">
        <v>11860.876</v>
      </c>
      <c r="D4855">
        <v>-12000</v>
      </c>
      <c r="E4855">
        <v>0</v>
      </c>
      <c r="F4855">
        <v>0</v>
      </c>
      <c r="G4855">
        <v>11932.393974430001</v>
      </c>
      <c r="H4855">
        <v>76465.681020539923</v>
      </c>
      <c r="I4855">
        <v>0</v>
      </c>
      <c r="J4855">
        <v>0</v>
      </c>
      <c r="K4855">
        <v>8566.42255707</v>
      </c>
      <c r="L4855">
        <v>0</v>
      </c>
      <c r="M4855">
        <v>0</v>
      </c>
      <c r="N4855">
        <v>0</v>
      </c>
      <c r="O4855">
        <v>-5216.373552039935</v>
      </c>
      <c r="P4855">
        <v>4190658</v>
      </c>
    </row>
    <row r="4856" spans="1:16" x14ac:dyDescent="0.25">
      <c r="A4856" s="10">
        <v>44838</v>
      </c>
      <c r="B4856">
        <v>-33968</v>
      </c>
      <c r="C4856">
        <v>3256.692</v>
      </c>
      <c r="D4856">
        <v>-185000</v>
      </c>
      <c r="E4856">
        <v>0</v>
      </c>
      <c r="F4856">
        <v>0</v>
      </c>
      <c r="G4856">
        <v>191523.67451377999</v>
      </c>
      <c r="H4856">
        <v>84554.822663660714</v>
      </c>
      <c r="I4856">
        <v>-148199.08693419001</v>
      </c>
      <c r="J4856">
        <v>0</v>
      </c>
      <c r="K4856">
        <v>27557.534545530001</v>
      </c>
      <c r="L4856">
        <v>0</v>
      </c>
      <c r="M4856">
        <v>0</v>
      </c>
      <c r="N4856">
        <v>0</v>
      </c>
      <c r="O4856">
        <v>-7661.6367887806737</v>
      </c>
      <c r="P4856">
        <v>4156690</v>
      </c>
    </row>
    <row r="4857" spans="1:16" x14ac:dyDescent="0.25">
      <c r="A4857" s="10">
        <v>44839</v>
      </c>
      <c r="B4857">
        <v>139759</v>
      </c>
      <c r="C4857">
        <v>-5186.2550000000001</v>
      </c>
      <c r="D4857">
        <v>0</v>
      </c>
      <c r="E4857">
        <v>0</v>
      </c>
      <c r="F4857">
        <v>0</v>
      </c>
      <c r="G4857">
        <v>2941.8281651900002</v>
      </c>
      <c r="H4857">
        <v>31516.619914469629</v>
      </c>
      <c r="I4857">
        <v>54744.999999999993</v>
      </c>
      <c r="J4857">
        <v>0</v>
      </c>
      <c r="K4857">
        <v>29097.091449989999</v>
      </c>
      <c r="L4857">
        <v>0</v>
      </c>
      <c r="M4857">
        <v>0</v>
      </c>
      <c r="N4857">
        <v>0</v>
      </c>
      <c r="O4857">
        <v>26644.71547035038</v>
      </c>
      <c r="P4857">
        <v>4296449</v>
      </c>
    </row>
    <row r="4858" spans="1:16" x14ac:dyDescent="0.25">
      <c r="A4858" s="10">
        <v>44840</v>
      </c>
      <c r="B4858">
        <v>15926</v>
      </c>
      <c r="C4858">
        <v>-8746.4249999999993</v>
      </c>
      <c r="D4858">
        <v>0</v>
      </c>
      <c r="E4858">
        <v>0</v>
      </c>
      <c r="F4858">
        <v>0</v>
      </c>
      <c r="G4858">
        <v>89.693448360000005</v>
      </c>
      <c r="H4858">
        <v>69060.940657269646</v>
      </c>
      <c r="I4858">
        <v>-87827.325732189987</v>
      </c>
      <c r="J4858">
        <v>0</v>
      </c>
      <c r="K4858">
        <v>45910.894025480004</v>
      </c>
      <c r="L4858">
        <v>0</v>
      </c>
      <c r="M4858">
        <v>0</v>
      </c>
      <c r="N4858">
        <v>0</v>
      </c>
      <c r="O4858">
        <v>-2561.7773989196612</v>
      </c>
      <c r="P4858">
        <v>4312375</v>
      </c>
    </row>
    <row r="4859" spans="1:16" x14ac:dyDescent="0.25">
      <c r="A4859" s="10">
        <v>44845</v>
      </c>
      <c r="B4859">
        <v>38812</v>
      </c>
      <c r="C4859">
        <v>-5861.9539999999997</v>
      </c>
      <c r="D4859">
        <v>0</v>
      </c>
      <c r="E4859">
        <v>0</v>
      </c>
      <c r="F4859">
        <v>0</v>
      </c>
      <c r="G4859">
        <v>-321.02517504999997</v>
      </c>
      <c r="H4859">
        <v>35406.863599419907</v>
      </c>
      <c r="I4859">
        <v>-963.45013621999897</v>
      </c>
      <c r="J4859">
        <v>0</v>
      </c>
      <c r="K4859">
        <v>43339.098048969987</v>
      </c>
      <c r="L4859">
        <v>0</v>
      </c>
      <c r="M4859">
        <v>0</v>
      </c>
      <c r="N4859">
        <v>0</v>
      </c>
      <c r="O4859">
        <v>-32787.53233711989</v>
      </c>
      <c r="P4859">
        <v>4351187</v>
      </c>
    </row>
    <row r="4860" spans="1:16" x14ac:dyDescent="0.25">
      <c r="A4860" s="10">
        <v>44846</v>
      </c>
      <c r="B4860">
        <v>-177948</v>
      </c>
      <c r="C4860">
        <v>-13155.9488</v>
      </c>
      <c r="D4860">
        <v>0</v>
      </c>
      <c r="E4860">
        <v>0</v>
      </c>
      <c r="F4860">
        <v>0</v>
      </c>
      <c r="G4860">
        <v>245.77093010999999</v>
      </c>
      <c r="H4860">
        <v>-166621.1356555089</v>
      </c>
      <c r="I4860">
        <v>-5430</v>
      </c>
      <c r="J4860">
        <v>0</v>
      </c>
      <c r="K4860">
        <v>8639.9302136700007</v>
      </c>
      <c r="L4860">
        <v>0</v>
      </c>
      <c r="M4860">
        <v>0</v>
      </c>
      <c r="N4860">
        <v>0</v>
      </c>
      <c r="O4860">
        <v>-1626.6166882711109</v>
      </c>
      <c r="P4860">
        <v>4173239</v>
      </c>
    </row>
    <row r="4861" spans="1:16" x14ac:dyDescent="0.25">
      <c r="A4861" s="10">
        <v>44847</v>
      </c>
      <c r="B4861">
        <v>35992</v>
      </c>
      <c r="C4861">
        <v>-9532.1200000000008</v>
      </c>
      <c r="D4861">
        <v>0</v>
      </c>
      <c r="E4861">
        <v>0</v>
      </c>
      <c r="F4861">
        <v>0</v>
      </c>
      <c r="G4861">
        <v>-202.79</v>
      </c>
      <c r="H4861">
        <v>162891.99</v>
      </c>
      <c r="I4861">
        <v>-139935.79999999999</v>
      </c>
      <c r="J4861">
        <v>0</v>
      </c>
      <c r="K4861">
        <v>23973.439999999999</v>
      </c>
      <c r="L4861">
        <v>0</v>
      </c>
      <c r="M4861">
        <v>0</v>
      </c>
      <c r="N4861">
        <v>0</v>
      </c>
      <c r="O4861">
        <v>-1202.7199999999939</v>
      </c>
      <c r="P4861">
        <v>4209231</v>
      </c>
    </row>
    <row r="4862" spans="1:16" x14ac:dyDescent="0.25">
      <c r="A4862" s="10">
        <v>44848</v>
      </c>
      <c r="B4862">
        <v>-71818</v>
      </c>
      <c r="C4862">
        <v>-10259.469999999999</v>
      </c>
      <c r="D4862">
        <v>0</v>
      </c>
      <c r="E4862">
        <v>0</v>
      </c>
      <c r="F4862">
        <v>0</v>
      </c>
      <c r="G4862">
        <v>-1216.69</v>
      </c>
      <c r="H4862">
        <v>-71263.399999999994</v>
      </c>
      <c r="I4862">
        <v>0</v>
      </c>
      <c r="J4862">
        <v>0</v>
      </c>
      <c r="K4862">
        <v>2293.1888031499998</v>
      </c>
      <c r="L4862">
        <v>0</v>
      </c>
      <c r="M4862">
        <v>0</v>
      </c>
      <c r="N4862">
        <v>0</v>
      </c>
      <c r="O4862">
        <v>8628.3711968499993</v>
      </c>
      <c r="P4862">
        <v>4137413</v>
      </c>
    </row>
    <row r="4863" spans="1:16" x14ac:dyDescent="0.25">
      <c r="A4863" s="10">
        <v>44851</v>
      </c>
      <c r="B4863">
        <v>83075</v>
      </c>
      <c r="C4863">
        <v>3597.02</v>
      </c>
      <c r="D4863">
        <v>-17000</v>
      </c>
      <c r="E4863">
        <v>0</v>
      </c>
      <c r="F4863">
        <v>0</v>
      </c>
      <c r="G4863">
        <v>29138.13327449001</v>
      </c>
      <c r="H4863">
        <v>27023.37641856034</v>
      </c>
      <c r="I4863">
        <v>0</v>
      </c>
      <c r="J4863">
        <v>0</v>
      </c>
      <c r="K4863">
        <v>7289.3358220500004</v>
      </c>
      <c r="L4863">
        <v>0</v>
      </c>
      <c r="M4863">
        <v>0</v>
      </c>
      <c r="N4863">
        <v>0</v>
      </c>
      <c r="O4863">
        <v>33027.134484899652</v>
      </c>
      <c r="P4863">
        <v>4220488</v>
      </c>
    </row>
    <row r="4864" spans="1:16" x14ac:dyDescent="0.25">
      <c r="A4864" s="10">
        <v>44852</v>
      </c>
      <c r="B4864">
        <v>22828</v>
      </c>
      <c r="C4864">
        <v>3195.7179999999998</v>
      </c>
      <c r="D4864">
        <v>0</v>
      </c>
      <c r="E4864">
        <v>0</v>
      </c>
      <c r="F4864">
        <v>0</v>
      </c>
      <c r="G4864">
        <v>381.06578781999929</v>
      </c>
      <c r="H4864">
        <v>-84925.471878129523</v>
      </c>
      <c r="I4864">
        <v>24579.102202010341</v>
      </c>
      <c r="J4864">
        <v>0</v>
      </c>
      <c r="K4864">
        <v>47125.345283870003</v>
      </c>
      <c r="L4864">
        <v>0</v>
      </c>
      <c r="M4864">
        <v>0</v>
      </c>
      <c r="N4864">
        <v>0</v>
      </c>
      <c r="O4864">
        <v>32472.240604429189</v>
      </c>
      <c r="P4864">
        <v>4243316</v>
      </c>
    </row>
    <row r="4865" spans="1:16" x14ac:dyDescent="0.25">
      <c r="A4865" s="10">
        <v>44853</v>
      </c>
      <c r="B4865">
        <v>-78450</v>
      </c>
      <c r="C4865">
        <v>-1.6E-2</v>
      </c>
      <c r="D4865">
        <v>0</v>
      </c>
      <c r="E4865">
        <v>0</v>
      </c>
      <c r="F4865">
        <v>0</v>
      </c>
      <c r="G4865">
        <v>3151.7075360600011</v>
      </c>
      <c r="H4865">
        <v>-75794.713621810311</v>
      </c>
      <c r="I4865">
        <v>9420</v>
      </c>
      <c r="J4865">
        <v>0</v>
      </c>
      <c r="K4865">
        <v>10067.09524149</v>
      </c>
      <c r="L4865">
        <v>0</v>
      </c>
      <c r="M4865">
        <v>0</v>
      </c>
      <c r="N4865">
        <v>0</v>
      </c>
      <c r="O4865">
        <v>-25294.07315573969</v>
      </c>
      <c r="P4865">
        <v>4164866</v>
      </c>
    </row>
    <row r="4866" spans="1:16" x14ac:dyDescent="0.25">
      <c r="A4866" s="10">
        <v>44854</v>
      </c>
      <c r="B4866">
        <v>54749</v>
      </c>
      <c r="C4866">
        <v>682.93499999999995</v>
      </c>
      <c r="D4866">
        <v>0</v>
      </c>
      <c r="E4866">
        <v>0</v>
      </c>
      <c r="F4866">
        <v>0</v>
      </c>
      <c r="G4866">
        <v>-2399.0646729199939</v>
      </c>
      <c r="H4866">
        <v>-112557.15204767</v>
      </c>
      <c r="I4866">
        <v>116560.53048165049</v>
      </c>
      <c r="J4866">
        <v>0</v>
      </c>
      <c r="K4866">
        <v>52961.486516249992</v>
      </c>
      <c r="L4866">
        <v>0</v>
      </c>
      <c r="M4866">
        <v>0</v>
      </c>
      <c r="N4866">
        <v>0</v>
      </c>
      <c r="O4866">
        <v>-499.73527731050848</v>
      </c>
      <c r="P4866">
        <v>4219615</v>
      </c>
    </row>
    <row r="4867" spans="1:16" x14ac:dyDescent="0.25">
      <c r="A4867" s="10">
        <v>44855</v>
      </c>
      <c r="B4867">
        <v>-43536.799999999806</v>
      </c>
      <c r="C4867">
        <v>-6998.94</v>
      </c>
      <c r="D4867">
        <v>0</v>
      </c>
      <c r="E4867">
        <v>0</v>
      </c>
      <c r="F4867">
        <v>0</v>
      </c>
      <c r="G4867">
        <v>-40395.874447939983</v>
      </c>
      <c r="H4867">
        <v>-8454.4493635795625</v>
      </c>
      <c r="I4867">
        <v>0</v>
      </c>
      <c r="J4867">
        <v>0</v>
      </c>
      <c r="K4867">
        <v>2901.4092857300002</v>
      </c>
      <c r="L4867">
        <v>0</v>
      </c>
      <c r="M4867">
        <v>0</v>
      </c>
      <c r="N4867">
        <v>0</v>
      </c>
      <c r="O4867">
        <v>9411.054525789732</v>
      </c>
      <c r="P4867">
        <v>4176078.2</v>
      </c>
    </row>
    <row r="4868" spans="1:16" x14ac:dyDescent="0.25">
      <c r="A4868" s="10">
        <v>44858</v>
      </c>
      <c r="B4868">
        <v>76141.799999999814</v>
      </c>
      <c r="C4868">
        <v>469.44</v>
      </c>
      <c r="D4868">
        <v>0</v>
      </c>
      <c r="E4868">
        <v>0</v>
      </c>
      <c r="F4868">
        <v>0</v>
      </c>
      <c r="G4868">
        <v>60.423909599999988</v>
      </c>
      <c r="H4868">
        <v>36245.572791770479</v>
      </c>
      <c r="I4868">
        <v>0</v>
      </c>
      <c r="J4868">
        <v>0</v>
      </c>
      <c r="K4868">
        <v>8753.1282526399991</v>
      </c>
      <c r="L4868">
        <v>0</v>
      </c>
      <c r="M4868">
        <v>0</v>
      </c>
      <c r="N4868">
        <v>0</v>
      </c>
      <c r="O4868">
        <v>30613.235045989339</v>
      </c>
      <c r="P4868">
        <v>4252220</v>
      </c>
    </row>
    <row r="4869" spans="1:16" x14ac:dyDescent="0.25">
      <c r="A4869" s="10">
        <v>44859</v>
      </c>
      <c r="B4869">
        <v>-78763</v>
      </c>
      <c r="C4869">
        <v>190.96610000000001</v>
      </c>
      <c r="D4869">
        <v>0</v>
      </c>
      <c r="E4869">
        <v>0</v>
      </c>
      <c r="F4869">
        <v>0</v>
      </c>
      <c r="G4869">
        <v>-25.42939058</v>
      </c>
      <c r="H4869">
        <v>-132749.62647484001</v>
      </c>
      <c r="I4869">
        <v>-20382.32113769</v>
      </c>
      <c r="J4869">
        <v>0</v>
      </c>
      <c r="K4869">
        <v>47118.338487570007</v>
      </c>
      <c r="L4869">
        <v>0</v>
      </c>
      <c r="M4869">
        <v>0</v>
      </c>
      <c r="N4869">
        <v>0</v>
      </c>
      <c r="O4869">
        <v>27085.07241554002</v>
      </c>
      <c r="P4869">
        <v>4173457</v>
      </c>
    </row>
    <row r="4870" spans="1:16" x14ac:dyDescent="0.25">
      <c r="A4870" s="10">
        <v>44860</v>
      </c>
      <c r="B4870">
        <v>33869</v>
      </c>
      <c r="C4870">
        <v>-7613.24</v>
      </c>
      <c r="D4870">
        <v>0</v>
      </c>
      <c r="E4870">
        <v>0</v>
      </c>
      <c r="F4870">
        <v>0</v>
      </c>
      <c r="G4870">
        <v>7.5785211399999994</v>
      </c>
      <c r="H4870">
        <v>55818.493099450177</v>
      </c>
      <c r="I4870">
        <v>-12960</v>
      </c>
      <c r="J4870">
        <v>0</v>
      </c>
      <c r="K4870">
        <v>10980.176066579999</v>
      </c>
      <c r="L4870">
        <v>0</v>
      </c>
      <c r="M4870">
        <v>0</v>
      </c>
      <c r="N4870">
        <v>0</v>
      </c>
      <c r="O4870">
        <v>-12364.007687170189</v>
      </c>
      <c r="P4870">
        <v>4207326</v>
      </c>
    </row>
    <row r="4871" spans="1:16" x14ac:dyDescent="0.25">
      <c r="A4871" s="10">
        <v>44861</v>
      </c>
      <c r="B4871">
        <v>110437</v>
      </c>
      <c r="C4871">
        <v>95.147000000000006</v>
      </c>
      <c r="D4871">
        <v>0</v>
      </c>
      <c r="E4871">
        <v>0</v>
      </c>
      <c r="F4871">
        <v>0</v>
      </c>
      <c r="G4871">
        <v>4302.2110636300076</v>
      </c>
      <c r="H4871">
        <v>-151613.7763640201</v>
      </c>
      <c r="I4871">
        <v>172140.85402425</v>
      </c>
      <c r="J4871">
        <v>0</v>
      </c>
      <c r="K4871">
        <v>48785.328615209997</v>
      </c>
      <c r="L4871">
        <v>0</v>
      </c>
      <c r="M4871">
        <v>0</v>
      </c>
      <c r="N4871">
        <v>0</v>
      </c>
      <c r="O4871">
        <v>36727.235660930062</v>
      </c>
      <c r="P4871">
        <v>4317763</v>
      </c>
    </row>
    <row r="4872" spans="1:16" x14ac:dyDescent="0.25">
      <c r="A4872" s="10">
        <v>44862</v>
      </c>
      <c r="B4872">
        <v>-49920</v>
      </c>
      <c r="C4872">
        <v>-4443.1350000000002</v>
      </c>
      <c r="D4872">
        <v>0</v>
      </c>
      <c r="E4872">
        <v>0</v>
      </c>
      <c r="F4872">
        <v>0</v>
      </c>
      <c r="G4872">
        <v>218.18293878995121</v>
      </c>
      <c r="H4872">
        <v>-80809.67631361018</v>
      </c>
      <c r="I4872">
        <v>0</v>
      </c>
      <c r="J4872">
        <v>0</v>
      </c>
      <c r="K4872">
        <v>3286.0374028000001</v>
      </c>
      <c r="L4872">
        <v>0</v>
      </c>
      <c r="M4872">
        <v>0</v>
      </c>
      <c r="N4872">
        <v>0</v>
      </c>
      <c r="O4872">
        <v>31828.590972020229</v>
      </c>
      <c r="P4872">
        <v>4267843</v>
      </c>
    </row>
    <row r="4873" spans="1:16" x14ac:dyDescent="0.25">
      <c r="A4873" s="10">
        <v>44865</v>
      </c>
      <c r="B4873">
        <v>31046</v>
      </c>
      <c r="C4873">
        <v>-19750.665000000001</v>
      </c>
      <c r="D4873">
        <v>0</v>
      </c>
      <c r="E4873">
        <v>0</v>
      </c>
      <c r="F4873">
        <v>0</v>
      </c>
      <c r="G4873">
        <v>-28683.136276309961</v>
      </c>
      <c r="H4873">
        <v>33049.113219629653</v>
      </c>
      <c r="I4873">
        <v>0</v>
      </c>
      <c r="J4873">
        <v>0</v>
      </c>
      <c r="K4873">
        <v>10321.750425050001</v>
      </c>
      <c r="L4873">
        <v>0</v>
      </c>
      <c r="M4873">
        <v>0</v>
      </c>
      <c r="N4873">
        <v>0</v>
      </c>
      <c r="O4873">
        <v>36108.937631630317</v>
      </c>
      <c r="P4873">
        <v>4298889</v>
      </c>
    </row>
    <row r="4874" spans="1:16" x14ac:dyDescent="0.25">
      <c r="A4874" s="10">
        <v>44866</v>
      </c>
      <c r="B4874">
        <v>43691</v>
      </c>
      <c r="C4874">
        <v>-4306.92</v>
      </c>
      <c r="D4874">
        <v>0</v>
      </c>
      <c r="E4874">
        <v>0</v>
      </c>
      <c r="F4874">
        <v>0</v>
      </c>
      <c r="G4874">
        <v>1062.6126683099731</v>
      </c>
      <c r="H4874">
        <v>128663.3197118</v>
      </c>
      <c r="I4874">
        <v>-125201.14442585999</v>
      </c>
      <c r="J4874">
        <v>0</v>
      </c>
      <c r="K4874">
        <v>38719.779839690003</v>
      </c>
      <c r="L4874">
        <v>0</v>
      </c>
      <c r="M4874">
        <v>0</v>
      </c>
      <c r="N4874">
        <v>0</v>
      </c>
      <c r="O4874">
        <v>4753.3522060600226</v>
      </c>
      <c r="P4874">
        <v>4342580</v>
      </c>
    </row>
    <row r="4875" spans="1:16" x14ac:dyDescent="0.25">
      <c r="A4875" s="10">
        <v>44867</v>
      </c>
      <c r="B4875">
        <v>-64972</v>
      </c>
      <c r="C4875">
        <v>-13208.1</v>
      </c>
      <c r="D4875">
        <v>0</v>
      </c>
      <c r="E4875">
        <v>0</v>
      </c>
      <c r="F4875">
        <v>0</v>
      </c>
      <c r="G4875">
        <v>-74.010675910000003</v>
      </c>
      <c r="H4875">
        <v>-116768.4320770701</v>
      </c>
      <c r="I4875">
        <v>40129.999999999993</v>
      </c>
      <c r="J4875">
        <v>0</v>
      </c>
      <c r="K4875">
        <v>24087.22625924</v>
      </c>
      <c r="L4875">
        <v>0</v>
      </c>
      <c r="M4875">
        <v>0</v>
      </c>
      <c r="N4875">
        <v>0</v>
      </c>
      <c r="O4875">
        <v>861.31649374010158</v>
      </c>
      <c r="P4875">
        <v>4277608</v>
      </c>
    </row>
    <row r="4876" spans="1:16" x14ac:dyDescent="0.25">
      <c r="A4876" s="10">
        <v>44868</v>
      </c>
      <c r="B4876">
        <v>30153.599999999631</v>
      </c>
      <c r="C4876">
        <v>-13310.912</v>
      </c>
      <c r="D4876">
        <v>0</v>
      </c>
      <c r="E4876">
        <v>0</v>
      </c>
      <c r="F4876">
        <v>0</v>
      </c>
      <c r="G4876">
        <v>-123.86571549999999</v>
      </c>
      <c r="H4876">
        <v>50819.801576580117</v>
      </c>
      <c r="I4876">
        <v>-34245.648786100013</v>
      </c>
      <c r="J4876">
        <v>0</v>
      </c>
      <c r="K4876">
        <v>55269.59163658</v>
      </c>
      <c r="L4876">
        <v>0</v>
      </c>
      <c r="M4876">
        <v>0</v>
      </c>
      <c r="N4876">
        <v>0</v>
      </c>
      <c r="O4876">
        <v>-28255.366711560491</v>
      </c>
      <c r="P4876">
        <v>4307761.5999999996</v>
      </c>
    </row>
    <row r="4877" spans="1:16" x14ac:dyDescent="0.25">
      <c r="A4877" s="10">
        <v>44869</v>
      </c>
      <c r="B4877">
        <v>17025.400000000369</v>
      </c>
      <c r="C4877">
        <v>-7817.78</v>
      </c>
      <c r="D4877">
        <v>0</v>
      </c>
      <c r="E4877">
        <v>0</v>
      </c>
      <c r="F4877">
        <v>0</v>
      </c>
      <c r="G4877">
        <v>69995.053245670002</v>
      </c>
      <c r="H4877">
        <v>-21705.14981106999</v>
      </c>
      <c r="I4877">
        <v>0</v>
      </c>
      <c r="J4877">
        <v>0</v>
      </c>
      <c r="K4877">
        <v>3256.98813174</v>
      </c>
      <c r="L4877">
        <v>0</v>
      </c>
      <c r="M4877">
        <v>0</v>
      </c>
      <c r="N4877">
        <v>0</v>
      </c>
      <c r="O4877">
        <v>-26703.71156633964</v>
      </c>
      <c r="P4877">
        <v>4324787</v>
      </c>
    </row>
    <row r="4878" spans="1:16" x14ac:dyDescent="0.25">
      <c r="A4878" s="10">
        <v>44872</v>
      </c>
      <c r="B4878">
        <v>88670</v>
      </c>
      <c r="C4878">
        <v>-24454.223999999998</v>
      </c>
      <c r="D4878">
        <v>0</v>
      </c>
      <c r="E4878">
        <v>0</v>
      </c>
      <c r="F4878">
        <v>0</v>
      </c>
      <c r="G4878">
        <v>15659.865211030001</v>
      </c>
      <c r="H4878">
        <v>88399.255294700313</v>
      </c>
      <c r="I4878">
        <v>0</v>
      </c>
      <c r="J4878">
        <v>0</v>
      </c>
      <c r="K4878">
        <v>9898.7074797299992</v>
      </c>
      <c r="L4878">
        <v>0</v>
      </c>
      <c r="M4878">
        <v>0</v>
      </c>
      <c r="N4878">
        <v>0</v>
      </c>
      <c r="O4878">
        <v>-833.60398546031502</v>
      </c>
      <c r="P4878">
        <v>4413457</v>
      </c>
    </row>
    <row r="4879" spans="1:16" x14ac:dyDescent="0.25">
      <c r="A4879" s="10">
        <v>44873</v>
      </c>
      <c r="B4879">
        <v>-73487</v>
      </c>
      <c r="C4879">
        <v>-23847.851999999999</v>
      </c>
      <c r="D4879">
        <v>0</v>
      </c>
      <c r="E4879">
        <v>0</v>
      </c>
      <c r="F4879">
        <v>0</v>
      </c>
      <c r="G4879">
        <v>-15.67425519</v>
      </c>
      <c r="H4879">
        <v>2842.211523009561</v>
      </c>
      <c r="I4879">
        <v>-124575.21955989</v>
      </c>
      <c r="J4879">
        <v>0</v>
      </c>
      <c r="K4879">
        <v>37253.235425580002</v>
      </c>
      <c r="L4879">
        <v>0</v>
      </c>
      <c r="M4879">
        <v>0</v>
      </c>
      <c r="N4879">
        <v>0</v>
      </c>
      <c r="O4879">
        <v>34856.298866490433</v>
      </c>
      <c r="P4879">
        <v>4339970</v>
      </c>
    </row>
    <row r="4880" spans="1:16" x14ac:dyDescent="0.25">
      <c r="A4880" s="10">
        <v>44874</v>
      </c>
      <c r="B4880">
        <v>1823</v>
      </c>
      <c r="C4880">
        <v>-12809.2165</v>
      </c>
      <c r="D4880">
        <v>0</v>
      </c>
      <c r="E4880">
        <v>0</v>
      </c>
      <c r="F4880">
        <v>0</v>
      </c>
      <c r="G4880">
        <v>-45526.823551329988</v>
      </c>
      <c r="H4880">
        <v>9924.0229311301991</v>
      </c>
      <c r="I4880">
        <v>10650</v>
      </c>
      <c r="J4880">
        <v>0</v>
      </c>
      <c r="K4880">
        <v>13297.53245445</v>
      </c>
      <c r="L4880">
        <v>0</v>
      </c>
      <c r="M4880">
        <v>0</v>
      </c>
      <c r="N4880">
        <v>0</v>
      </c>
      <c r="O4880">
        <v>26287.484665749798</v>
      </c>
      <c r="P4880">
        <v>4341793</v>
      </c>
    </row>
    <row r="4881" spans="1:16" x14ac:dyDescent="0.25">
      <c r="A4881" s="10">
        <v>44875</v>
      </c>
      <c r="B4881">
        <v>41086.400000000373</v>
      </c>
      <c r="C4881">
        <v>-15244.634</v>
      </c>
      <c r="D4881">
        <v>0</v>
      </c>
      <c r="E4881">
        <v>0</v>
      </c>
      <c r="F4881">
        <v>0</v>
      </c>
      <c r="G4881">
        <v>80714.382244580003</v>
      </c>
      <c r="H4881">
        <v>189282.03895344009</v>
      </c>
      <c r="I4881">
        <v>-222328.78167425</v>
      </c>
      <c r="J4881">
        <v>0</v>
      </c>
      <c r="K4881">
        <v>34214.080579430003</v>
      </c>
      <c r="L4881">
        <v>0</v>
      </c>
      <c r="M4881">
        <v>0</v>
      </c>
      <c r="N4881">
        <v>0</v>
      </c>
      <c r="O4881">
        <v>-25550.68610319974</v>
      </c>
      <c r="P4881">
        <v>4382879.4000000004</v>
      </c>
    </row>
    <row r="4882" spans="1:16" x14ac:dyDescent="0.25">
      <c r="A4882" s="10">
        <v>44876</v>
      </c>
      <c r="B4882">
        <v>-44487.400000000373</v>
      </c>
      <c r="C4882">
        <v>-8189.55</v>
      </c>
      <c r="D4882">
        <v>0</v>
      </c>
      <c r="E4882">
        <v>0</v>
      </c>
      <c r="F4882">
        <v>0</v>
      </c>
      <c r="G4882">
        <v>-93.642278559999994</v>
      </c>
      <c r="H4882">
        <v>-26569.09605280032</v>
      </c>
      <c r="I4882">
        <v>0</v>
      </c>
      <c r="J4882">
        <v>0</v>
      </c>
      <c r="K4882">
        <v>2742.76681151</v>
      </c>
      <c r="L4882">
        <v>0</v>
      </c>
      <c r="M4882">
        <v>0</v>
      </c>
      <c r="N4882">
        <v>0</v>
      </c>
      <c r="O4882">
        <v>-12377.87848015005</v>
      </c>
      <c r="P4882">
        <v>4338392</v>
      </c>
    </row>
    <row r="4883" spans="1:16" x14ac:dyDescent="0.25">
      <c r="A4883" s="10">
        <v>44879</v>
      </c>
      <c r="B4883">
        <v>22650</v>
      </c>
      <c r="C4883">
        <v>-17181.195</v>
      </c>
      <c r="D4883">
        <v>0</v>
      </c>
      <c r="E4883">
        <v>0</v>
      </c>
      <c r="F4883">
        <v>0</v>
      </c>
      <c r="G4883">
        <v>-38.153254290009933</v>
      </c>
      <c r="H4883">
        <v>31218.642371060429</v>
      </c>
      <c r="I4883">
        <v>0</v>
      </c>
      <c r="J4883">
        <v>0</v>
      </c>
      <c r="K4883">
        <v>8380.8986103300012</v>
      </c>
      <c r="L4883">
        <v>0</v>
      </c>
      <c r="M4883">
        <v>0</v>
      </c>
      <c r="N4883">
        <v>0</v>
      </c>
      <c r="O4883">
        <v>269.8072728995794</v>
      </c>
      <c r="P4883">
        <v>4361042</v>
      </c>
    </row>
    <row r="4884" spans="1:16" x14ac:dyDescent="0.25">
      <c r="A4884" s="10">
        <v>44880</v>
      </c>
      <c r="B4884">
        <v>36848</v>
      </c>
      <c r="C4884">
        <v>-7871.7060000000001</v>
      </c>
      <c r="D4884">
        <v>0</v>
      </c>
      <c r="E4884">
        <v>0</v>
      </c>
      <c r="F4884">
        <v>0</v>
      </c>
      <c r="G4884">
        <v>36.308199010020743</v>
      </c>
      <c r="H4884">
        <v>-39490.329786249808</v>
      </c>
      <c r="I4884">
        <v>29758.380674750009</v>
      </c>
      <c r="J4884">
        <v>0</v>
      </c>
      <c r="K4884">
        <v>46067.172454009997</v>
      </c>
      <c r="L4884">
        <v>0</v>
      </c>
      <c r="M4884">
        <v>0</v>
      </c>
      <c r="N4884">
        <v>0</v>
      </c>
      <c r="O4884">
        <v>8348.174458479778</v>
      </c>
      <c r="P4884">
        <v>4397890</v>
      </c>
    </row>
    <row r="4885" spans="1:16" x14ac:dyDescent="0.25">
      <c r="A4885" s="10">
        <v>44881</v>
      </c>
      <c r="B4885">
        <v>-18316</v>
      </c>
      <c r="C4885">
        <v>903.04</v>
      </c>
      <c r="D4885">
        <v>0</v>
      </c>
      <c r="E4885">
        <v>0</v>
      </c>
      <c r="F4885">
        <v>0</v>
      </c>
      <c r="G4885">
        <v>369.71583648000012</v>
      </c>
      <c r="H4885">
        <v>-39958.509383050383</v>
      </c>
      <c r="I4885">
        <v>6945.0000000000018</v>
      </c>
      <c r="J4885">
        <v>0</v>
      </c>
      <c r="K4885">
        <v>11041.98414171</v>
      </c>
      <c r="L4885">
        <v>0</v>
      </c>
      <c r="M4885">
        <v>0</v>
      </c>
      <c r="N4885">
        <v>0</v>
      </c>
      <c r="O4885">
        <v>2382.7694048603839</v>
      </c>
      <c r="P4885">
        <v>4379574</v>
      </c>
    </row>
    <row r="4886" spans="1:16" x14ac:dyDescent="0.25">
      <c r="A4886" s="10">
        <v>44882</v>
      </c>
      <c r="B4886">
        <v>35150</v>
      </c>
      <c r="C4886">
        <v>504.39449999999999</v>
      </c>
      <c r="D4886">
        <v>0</v>
      </c>
      <c r="E4886">
        <v>0</v>
      </c>
      <c r="F4886">
        <v>0</v>
      </c>
      <c r="G4886">
        <v>62169.009871439986</v>
      </c>
      <c r="H4886">
        <v>-77403.818574730176</v>
      </c>
      <c r="I4886">
        <v>-3703.8600851899969</v>
      </c>
      <c r="J4886">
        <v>0</v>
      </c>
      <c r="K4886">
        <v>46453.686117650002</v>
      </c>
      <c r="L4886">
        <v>0</v>
      </c>
      <c r="M4886">
        <v>0</v>
      </c>
      <c r="N4886">
        <v>0</v>
      </c>
      <c r="O4886">
        <v>7130.5881708301931</v>
      </c>
      <c r="P4886">
        <v>4414724</v>
      </c>
    </row>
    <row r="4887" spans="1:16" x14ac:dyDescent="0.25">
      <c r="A4887" s="10">
        <v>44883</v>
      </c>
      <c r="B4887">
        <v>-60241</v>
      </c>
      <c r="C4887">
        <v>-8373.9968000000008</v>
      </c>
      <c r="D4887">
        <v>0</v>
      </c>
      <c r="E4887">
        <v>0</v>
      </c>
      <c r="F4887">
        <v>0</v>
      </c>
      <c r="G4887">
        <v>258.8459934600038</v>
      </c>
      <c r="H4887">
        <v>-96412.850891059963</v>
      </c>
      <c r="I4887">
        <v>0</v>
      </c>
      <c r="J4887">
        <v>0</v>
      </c>
      <c r="K4887">
        <v>3034.0205403300001</v>
      </c>
      <c r="L4887">
        <v>0</v>
      </c>
      <c r="M4887">
        <v>0</v>
      </c>
      <c r="N4887">
        <v>0</v>
      </c>
      <c r="O4887">
        <v>41252.98115726994</v>
      </c>
      <c r="P4887">
        <v>4354483</v>
      </c>
    </row>
    <row r="4888" spans="1:16" x14ac:dyDescent="0.25">
      <c r="A4888" s="10">
        <v>44887</v>
      </c>
      <c r="B4888">
        <v>243448</v>
      </c>
      <c r="C4888">
        <v>231.387</v>
      </c>
      <c r="D4888">
        <v>0</v>
      </c>
      <c r="E4888">
        <v>0</v>
      </c>
      <c r="F4888">
        <v>0</v>
      </c>
      <c r="G4888">
        <v>2887.24082675</v>
      </c>
      <c r="H4888">
        <v>153862.2320536199</v>
      </c>
      <c r="I4888">
        <v>-9997.4507257900041</v>
      </c>
      <c r="J4888">
        <v>0</v>
      </c>
      <c r="K4888">
        <v>58321.648640350002</v>
      </c>
      <c r="L4888">
        <v>0</v>
      </c>
      <c r="M4888">
        <v>0</v>
      </c>
      <c r="N4888">
        <v>0</v>
      </c>
      <c r="O4888">
        <v>38142.942205070081</v>
      </c>
      <c r="P4888">
        <v>4597931</v>
      </c>
    </row>
    <row r="4889" spans="1:16" x14ac:dyDescent="0.25">
      <c r="A4889" s="10">
        <v>44888</v>
      </c>
      <c r="B4889">
        <v>-139601</v>
      </c>
      <c r="C4889">
        <v>571.52099999999996</v>
      </c>
      <c r="D4889">
        <v>0</v>
      </c>
      <c r="E4889">
        <v>0</v>
      </c>
      <c r="F4889">
        <v>0</v>
      </c>
      <c r="G4889">
        <v>-6411.0336356600028</v>
      </c>
      <c r="H4889">
        <v>-161764.48633812999</v>
      </c>
      <c r="I4889">
        <v>4700</v>
      </c>
      <c r="J4889">
        <v>0</v>
      </c>
      <c r="K4889">
        <v>8737.3534550200002</v>
      </c>
      <c r="L4889">
        <v>0</v>
      </c>
      <c r="M4889">
        <v>0</v>
      </c>
      <c r="N4889">
        <v>0</v>
      </c>
      <c r="O4889">
        <v>14565.645518769999</v>
      </c>
      <c r="P4889">
        <v>4458330</v>
      </c>
    </row>
    <row r="4890" spans="1:16" x14ac:dyDescent="0.25">
      <c r="A4890" s="10">
        <v>44889</v>
      </c>
      <c r="B4890">
        <v>-28062</v>
      </c>
      <c r="C4890">
        <v>261.36500000000001</v>
      </c>
      <c r="D4890">
        <v>0</v>
      </c>
      <c r="E4890">
        <v>0</v>
      </c>
      <c r="F4890">
        <v>0</v>
      </c>
      <c r="G4890">
        <v>27.144671899999999</v>
      </c>
      <c r="H4890">
        <v>21279.490776840488</v>
      </c>
      <c r="I4890">
        <v>-83052.829878760007</v>
      </c>
      <c r="J4890">
        <v>0</v>
      </c>
      <c r="K4890">
        <v>39122.325308329993</v>
      </c>
      <c r="L4890">
        <v>0</v>
      </c>
      <c r="M4890">
        <v>0</v>
      </c>
      <c r="N4890">
        <v>0</v>
      </c>
      <c r="O4890">
        <v>-5699.4958783104739</v>
      </c>
      <c r="P4890">
        <v>4430268</v>
      </c>
    </row>
    <row r="4891" spans="1:16" x14ac:dyDescent="0.25">
      <c r="A4891" s="10">
        <v>44890</v>
      </c>
      <c r="B4891">
        <v>-1816</v>
      </c>
      <c r="C4891">
        <v>-7372.7</v>
      </c>
      <c r="D4891">
        <v>0</v>
      </c>
      <c r="E4891">
        <v>0</v>
      </c>
      <c r="F4891">
        <v>0</v>
      </c>
      <c r="G4891">
        <v>2.69</v>
      </c>
      <c r="H4891">
        <v>-37805.56</v>
      </c>
      <c r="I4891">
        <v>0</v>
      </c>
      <c r="J4891">
        <v>0</v>
      </c>
      <c r="K4891">
        <v>3193.96</v>
      </c>
      <c r="L4891">
        <v>0</v>
      </c>
      <c r="M4891">
        <v>0</v>
      </c>
      <c r="N4891">
        <v>0</v>
      </c>
      <c r="O4891">
        <v>40165.609999999993</v>
      </c>
      <c r="P4891">
        <v>4428452</v>
      </c>
    </row>
    <row r="4892" spans="1:16" x14ac:dyDescent="0.25">
      <c r="A4892" s="10">
        <v>44893</v>
      </c>
      <c r="B4892">
        <v>138860</v>
      </c>
      <c r="C4892">
        <v>50505.020210000002</v>
      </c>
      <c r="D4892">
        <v>0</v>
      </c>
      <c r="E4892">
        <v>0</v>
      </c>
      <c r="F4892">
        <v>0</v>
      </c>
      <c r="G4892">
        <v>16.614548559999999</v>
      </c>
      <c r="H4892">
        <v>47044.787131390243</v>
      </c>
      <c r="I4892">
        <v>0</v>
      </c>
      <c r="J4892">
        <v>0</v>
      </c>
      <c r="K4892">
        <v>9799.359624910001</v>
      </c>
      <c r="L4892">
        <v>0</v>
      </c>
      <c r="M4892">
        <v>0</v>
      </c>
      <c r="N4892">
        <v>0</v>
      </c>
      <c r="O4892">
        <v>31494.218485139751</v>
      </c>
      <c r="P4892">
        <v>4567312</v>
      </c>
    </row>
    <row r="4893" spans="1:16" x14ac:dyDescent="0.25">
      <c r="A4893" s="10">
        <v>44894</v>
      </c>
      <c r="B4893">
        <v>-130839</v>
      </c>
      <c r="C4893">
        <v>32957.202920399999</v>
      </c>
      <c r="D4893">
        <v>0</v>
      </c>
      <c r="E4893">
        <v>0</v>
      </c>
      <c r="F4893">
        <v>0</v>
      </c>
      <c r="G4893">
        <v>23.617344759998161</v>
      </c>
      <c r="H4893">
        <v>-251967.88002765001</v>
      </c>
      <c r="I4893">
        <v>34869.844370009989</v>
      </c>
      <c r="J4893">
        <v>0</v>
      </c>
      <c r="K4893">
        <v>45720.827661689997</v>
      </c>
      <c r="L4893">
        <v>0</v>
      </c>
      <c r="M4893">
        <v>0</v>
      </c>
      <c r="N4893">
        <v>0</v>
      </c>
      <c r="O4893">
        <v>7557.3877307900111</v>
      </c>
      <c r="P4893">
        <v>4436473</v>
      </c>
    </row>
    <row r="4894" spans="1:16" x14ac:dyDescent="0.25">
      <c r="A4894" s="10">
        <v>44895</v>
      </c>
      <c r="B4894">
        <v>71273</v>
      </c>
      <c r="C4894">
        <v>9495.6575899999989</v>
      </c>
      <c r="D4894">
        <v>0</v>
      </c>
      <c r="E4894">
        <v>0</v>
      </c>
      <c r="F4894">
        <v>0</v>
      </c>
      <c r="G4894">
        <v>35240.710571349999</v>
      </c>
      <c r="H4894">
        <v>-351.10700791880572</v>
      </c>
      <c r="I4894">
        <v>11170</v>
      </c>
      <c r="J4894">
        <v>0</v>
      </c>
      <c r="K4894">
        <v>11408.34817874</v>
      </c>
      <c r="L4894">
        <v>0</v>
      </c>
      <c r="M4894">
        <v>0</v>
      </c>
      <c r="N4894">
        <v>0</v>
      </c>
      <c r="O4894">
        <v>4309.3906678288186</v>
      </c>
      <c r="P4894">
        <v>4507746</v>
      </c>
    </row>
    <row r="4895" spans="1:16" x14ac:dyDescent="0.25">
      <c r="A4895" s="10">
        <v>44896</v>
      </c>
      <c r="B4895">
        <v>42913</v>
      </c>
      <c r="C4895">
        <v>7517.387659699998</v>
      </c>
      <c r="D4895">
        <v>0</v>
      </c>
      <c r="E4895">
        <v>0</v>
      </c>
      <c r="F4895">
        <v>0</v>
      </c>
      <c r="G4895">
        <v>-17.63358818</v>
      </c>
      <c r="H4895">
        <v>149945.42511019</v>
      </c>
      <c r="I4895">
        <v>-161174.87480685001</v>
      </c>
      <c r="J4895">
        <v>0</v>
      </c>
      <c r="K4895">
        <v>57543.442770189991</v>
      </c>
      <c r="L4895">
        <v>0</v>
      </c>
      <c r="M4895">
        <v>0</v>
      </c>
      <c r="N4895">
        <v>0</v>
      </c>
      <c r="O4895">
        <v>-10900.747145050031</v>
      </c>
      <c r="P4895">
        <v>4550659</v>
      </c>
    </row>
    <row r="4896" spans="1:16" x14ac:dyDescent="0.25">
      <c r="A4896" s="10">
        <v>44897</v>
      </c>
      <c r="B4896">
        <v>-136899</v>
      </c>
      <c r="C4896">
        <v>35870.119998499998</v>
      </c>
      <c r="D4896">
        <v>0</v>
      </c>
      <c r="E4896">
        <v>0</v>
      </c>
      <c r="F4896">
        <v>0</v>
      </c>
      <c r="G4896">
        <v>50093.617736940003</v>
      </c>
      <c r="H4896">
        <v>-227909.6442313499</v>
      </c>
      <c r="I4896">
        <v>0</v>
      </c>
      <c r="J4896">
        <v>0</v>
      </c>
      <c r="K4896">
        <v>3372.6174981300001</v>
      </c>
      <c r="L4896">
        <v>0</v>
      </c>
      <c r="M4896">
        <v>0</v>
      </c>
      <c r="N4896">
        <v>0</v>
      </c>
      <c r="O4896">
        <v>1674.2889977798909</v>
      </c>
      <c r="P4896">
        <v>4413760</v>
      </c>
    </row>
    <row r="4897" spans="1:16" x14ac:dyDescent="0.25">
      <c r="A4897" s="10">
        <v>44900</v>
      </c>
      <c r="B4897">
        <v>204527</v>
      </c>
      <c r="C4897">
        <v>20653.868175799998</v>
      </c>
      <c r="D4897">
        <v>0</v>
      </c>
      <c r="E4897">
        <v>0</v>
      </c>
      <c r="F4897">
        <v>0</v>
      </c>
      <c r="G4897">
        <v>-290.56984694999989</v>
      </c>
      <c r="H4897">
        <v>172820.20951101009</v>
      </c>
      <c r="I4897">
        <v>0</v>
      </c>
      <c r="J4897">
        <v>0</v>
      </c>
      <c r="K4897">
        <v>11427.924661610001</v>
      </c>
      <c r="L4897">
        <v>0</v>
      </c>
      <c r="M4897">
        <v>0</v>
      </c>
      <c r="N4897">
        <v>0</v>
      </c>
      <c r="O4897">
        <v>-84.432501470117131</v>
      </c>
      <c r="P4897">
        <v>4618287</v>
      </c>
    </row>
    <row r="4898" spans="1:16" x14ac:dyDescent="0.25">
      <c r="A4898" s="10">
        <v>44901</v>
      </c>
      <c r="B4898">
        <v>-18870</v>
      </c>
      <c r="C4898">
        <v>22273.471205000002</v>
      </c>
      <c r="D4898">
        <v>200229.184324</v>
      </c>
      <c r="E4898">
        <v>0</v>
      </c>
      <c r="F4898">
        <v>0</v>
      </c>
      <c r="G4898">
        <v>-199690.95752448001</v>
      </c>
      <c r="H4898">
        <v>-60827.483862229907</v>
      </c>
      <c r="I4898">
        <v>-215.11010309999261</v>
      </c>
      <c r="J4898">
        <v>0</v>
      </c>
      <c r="K4898">
        <v>44768.48420911</v>
      </c>
      <c r="L4898">
        <v>0</v>
      </c>
      <c r="M4898">
        <v>0</v>
      </c>
      <c r="N4898">
        <v>0</v>
      </c>
      <c r="O4898">
        <v>-25407.58824830013</v>
      </c>
      <c r="P4898">
        <v>4599417</v>
      </c>
    </row>
    <row r="4899" spans="1:16" x14ac:dyDescent="0.25">
      <c r="A4899" s="10">
        <v>44902</v>
      </c>
      <c r="B4899">
        <v>33701</v>
      </c>
      <c r="C4899">
        <v>21208.882000000001</v>
      </c>
      <c r="D4899">
        <v>0</v>
      </c>
      <c r="E4899">
        <v>0</v>
      </c>
      <c r="F4899">
        <v>0</v>
      </c>
      <c r="G4899">
        <v>204090.88621256</v>
      </c>
      <c r="H4899">
        <v>-110424.5584792899</v>
      </c>
      <c r="I4899">
        <v>-149900.48758824999</v>
      </c>
      <c r="J4899">
        <v>0</v>
      </c>
      <c r="K4899">
        <v>50286.682011869998</v>
      </c>
      <c r="L4899">
        <v>0</v>
      </c>
      <c r="M4899">
        <v>0</v>
      </c>
      <c r="N4899">
        <v>0</v>
      </c>
      <c r="O4899">
        <v>18439.595843109939</v>
      </c>
      <c r="P4899">
        <v>4633118</v>
      </c>
    </row>
    <row r="4900" spans="1:16" x14ac:dyDescent="0.25">
      <c r="A4900" s="10">
        <v>44907</v>
      </c>
      <c r="B4900">
        <v>211644</v>
      </c>
      <c r="C4900">
        <v>16034.717968000001</v>
      </c>
      <c r="D4900">
        <v>0</v>
      </c>
      <c r="E4900">
        <v>0</v>
      </c>
      <c r="F4900">
        <v>0</v>
      </c>
      <c r="G4900">
        <v>-630.95296278999842</v>
      </c>
      <c r="H4900">
        <v>135182.28557301001</v>
      </c>
      <c r="I4900">
        <v>0</v>
      </c>
      <c r="J4900">
        <v>0</v>
      </c>
      <c r="K4900">
        <v>19031.788665740001</v>
      </c>
      <c r="L4900">
        <v>0</v>
      </c>
      <c r="M4900">
        <v>0</v>
      </c>
      <c r="N4900">
        <v>0</v>
      </c>
      <c r="O4900">
        <v>42026.160756040037</v>
      </c>
      <c r="P4900">
        <v>4844762</v>
      </c>
    </row>
    <row r="4901" spans="1:16" x14ac:dyDescent="0.25">
      <c r="A4901" s="10">
        <v>44908</v>
      </c>
      <c r="B4901">
        <v>-95754</v>
      </c>
      <c r="C4901">
        <v>10502.499296100001</v>
      </c>
      <c r="D4901">
        <v>0</v>
      </c>
      <c r="E4901">
        <v>0</v>
      </c>
      <c r="F4901">
        <v>0</v>
      </c>
      <c r="G4901">
        <v>-591.50785022000161</v>
      </c>
      <c r="H4901">
        <v>-93558.718427639236</v>
      </c>
      <c r="I4901">
        <v>-53685.62148442</v>
      </c>
      <c r="J4901">
        <v>0</v>
      </c>
      <c r="K4901">
        <v>45168.272845949999</v>
      </c>
      <c r="L4901">
        <v>0</v>
      </c>
      <c r="M4901">
        <v>0</v>
      </c>
      <c r="N4901">
        <v>0</v>
      </c>
      <c r="O4901">
        <v>-3588.92437977076</v>
      </c>
      <c r="P4901">
        <v>4749008</v>
      </c>
    </row>
    <row r="4902" spans="1:16" x14ac:dyDescent="0.25">
      <c r="A4902" s="10">
        <v>44909</v>
      </c>
      <c r="B4902">
        <v>-61531</v>
      </c>
      <c r="C4902">
        <v>9863.5152930000004</v>
      </c>
      <c r="D4902">
        <v>0</v>
      </c>
      <c r="E4902">
        <v>0</v>
      </c>
      <c r="F4902">
        <v>0</v>
      </c>
      <c r="G4902">
        <v>705.17638312000031</v>
      </c>
      <c r="H4902">
        <v>-140865.86611880091</v>
      </c>
      <c r="I4902">
        <v>-6321.12985192</v>
      </c>
      <c r="J4902">
        <v>0</v>
      </c>
      <c r="K4902">
        <v>16142.05997414</v>
      </c>
      <c r="L4902">
        <v>0</v>
      </c>
      <c r="M4902">
        <v>0</v>
      </c>
      <c r="N4902">
        <v>0</v>
      </c>
      <c r="O4902">
        <v>58945.244320460923</v>
      </c>
      <c r="P4902">
        <v>4687477</v>
      </c>
    </row>
    <row r="4903" spans="1:16" x14ac:dyDescent="0.25">
      <c r="A4903" s="10">
        <v>44910</v>
      </c>
      <c r="B4903">
        <v>174766</v>
      </c>
      <c r="C4903">
        <v>37393.917944800007</v>
      </c>
      <c r="D4903">
        <v>0</v>
      </c>
      <c r="E4903">
        <v>0</v>
      </c>
      <c r="F4903">
        <v>0</v>
      </c>
      <c r="G4903">
        <v>274.85009931000059</v>
      </c>
      <c r="H4903">
        <v>-25614.835579008799</v>
      </c>
      <c r="I4903">
        <v>83080.090241209982</v>
      </c>
      <c r="J4903">
        <v>0</v>
      </c>
      <c r="K4903">
        <v>47779.4489082</v>
      </c>
      <c r="L4903">
        <v>0</v>
      </c>
      <c r="M4903">
        <v>0</v>
      </c>
      <c r="N4903">
        <v>0</v>
      </c>
      <c r="O4903">
        <v>31852.528385488811</v>
      </c>
      <c r="P4903">
        <v>4862243</v>
      </c>
    </row>
    <row r="4904" spans="1:16" x14ac:dyDescent="0.25">
      <c r="A4904" s="10">
        <v>44911</v>
      </c>
      <c r="B4904">
        <v>-80268</v>
      </c>
      <c r="C4904">
        <v>15675.08978</v>
      </c>
      <c r="D4904">
        <v>0</v>
      </c>
      <c r="E4904">
        <v>0</v>
      </c>
      <c r="F4904">
        <v>0</v>
      </c>
      <c r="G4904">
        <v>-269167.80912720988</v>
      </c>
      <c r="H4904">
        <v>148974.02527146891</v>
      </c>
      <c r="I4904">
        <v>0</v>
      </c>
      <c r="J4904">
        <v>0</v>
      </c>
      <c r="K4904">
        <v>4046.3580099999999</v>
      </c>
      <c r="L4904">
        <v>0</v>
      </c>
      <c r="M4904">
        <v>0</v>
      </c>
      <c r="N4904">
        <v>0</v>
      </c>
      <c r="O4904">
        <v>20204.336065741049</v>
      </c>
      <c r="P4904">
        <v>4781975</v>
      </c>
    </row>
    <row r="4905" spans="1:16" x14ac:dyDescent="0.25">
      <c r="A4905" s="10">
        <v>44914</v>
      </c>
      <c r="B4905">
        <v>76489</v>
      </c>
      <c r="C4905">
        <v>15192.314003199999</v>
      </c>
      <c r="D4905">
        <v>0</v>
      </c>
      <c r="E4905">
        <v>0</v>
      </c>
      <c r="F4905">
        <v>0</v>
      </c>
      <c r="G4905">
        <v>221.75511369</v>
      </c>
      <c r="H4905">
        <v>17644.075623530091</v>
      </c>
      <c r="I4905">
        <v>0</v>
      </c>
      <c r="J4905">
        <v>0</v>
      </c>
      <c r="K4905">
        <v>11279.75112875</v>
      </c>
      <c r="L4905">
        <v>0</v>
      </c>
      <c r="M4905">
        <v>0</v>
      </c>
      <c r="N4905">
        <v>0</v>
      </c>
      <c r="O4905">
        <v>32151.10413082991</v>
      </c>
      <c r="P4905">
        <v>4858464</v>
      </c>
    </row>
    <row r="4906" spans="1:16" x14ac:dyDescent="0.25">
      <c r="A4906" s="10">
        <v>44915</v>
      </c>
      <c r="B4906">
        <v>138019</v>
      </c>
      <c r="C4906">
        <v>-5014.79</v>
      </c>
      <c r="D4906">
        <v>0</v>
      </c>
      <c r="E4906">
        <v>0</v>
      </c>
      <c r="F4906">
        <v>0</v>
      </c>
      <c r="G4906">
        <v>150016.53</v>
      </c>
      <c r="H4906">
        <v>44977.69</v>
      </c>
      <c r="I4906">
        <v>-130140.23</v>
      </c>
      <c r="J4906">
        <v>0</v>
      </c>
      <c r="K4906">
        <v>49744.08</v>
      </c>
      <c r="L4906">
        <v>0</v>
      </c>
      <c r="M4906">
        <v>0</v>
      </c>
      <c r="N4906">
        <v>0</v>
      </c>
      <c r="O4906">
        <v>28435.72</v>
      </c>
      <c r="P4906">
        <v>4996483</v>
      </c>
    </row>
    <row r="4907" spans="1:16" x14ac:dyDescent="0.25">
      <c r="A4907" s="10">
        <v>44916</v>
      </c>
      <c r="B4907">
        <v>-212967</v>
      </c>
      <c r="C4907">
        <v>19567.709914899999</v>
      </c>
      <c r="D4907">
        <v>0</v>
      </c>
      <c r="E4907">
        <v>0</v>
      </c>
      <c r="F4907">
        <v>0</v>
      </c>
      <c r="G4907">
        <v>309.51107262000602</v>
      </c>
      <c r="H4907">
        <v>-224863.26595673009</v>
      </c>
      <c r="I4907">
        <v>-498.7739810999999</v>
      </c>
      <c r="J4907">
        <v>0</v>
      </c>
      <c r="K4907">
        <v>9603.5244564200002</v>
      </c>
      <c r="L4907">
        <v>0</v>
      </c>
      <c r="M4907">
        <v>0</v>
      </c>
      <c r="N4907">
        <v>0</v>
      </c>
      <c r="O4907">
        <v>-17085.705506109949</v>
      </c>
      <c r="P4907">
        <v>4783516</v>
      </c>
    </row>
    <row r="4908" spans="1:16" x14ac:dyDescent="0.25">
      <c r="A4908" s="10">
        <v>44917</v>
      </c>
      <c r="B4908">
        <v>69145</v>
      </c>
      <c r="C4908">
        <v>17001.801489599999</v>
      </c>
      <c r="D4908">
        <v>0</v>
      </c>
      <c r="E4908">
        <v>0</v>
      </c>
      <c r="F4908">
        <v>0</v>
      </c>
      <c r="G4908">
        <v>-1697.153938229997</v>
      </c>
      <c r="H4908">
        <v>100834.86151764001</v>
      </c>
      <c r="I4908">
        <v>-61943.872734279998</v>
      </c>
      <c r="J4908">
        <v>0</v>
      </c>
      <c r="K4908">
        <v>44737.578551910003</v>
      </c>
      <c r="L4908">
        <v>0</v>
      </c>
      <c r="M4908">
        <v>0</v>
      </c>
      <c r="N4908">
        <v>0</v>
      </c>
      <c r="O4908">
        <v>-29788.21488664002</v>
      </c>
      <c r="P4908">
        <v>4852661</v>
      </c>
    </row>
    <row r="4909" spans="1:16" x14ac:dyDescent="0.25">
      <c r="A4909" s="10">
        <v>44918</v>
      </c>
      <c r="B4909">
        <v>-13326</v>
      </c>
      <c r="C4909">
        <v>17686.240754400002</v>
      </c>
      <c r="D4909">
        <v>0</v>
      </c>
      <c r="E4909">
        <v>0</v>
      </c>
      <c r="F4909">
        <v>0</v>
      </c>
      <c r="G4909">
        <v>1622.585281329993</v>
      </c>
      <c r="H4909">
        <v>-46079.524526480724</v>
      </c>
      <c r="I4909">
        <v>0</v>
      </c>
      <c r="J4909">
        <v>0</v>
      </c>
      <c r="K4909">
        <v>3877.9272526899999</v>
      </c>
      <c r="L4909">
        <v>0</v>
      </c>
      <c r="M4909">
        <v>0</v>
      </c>
      <c r="N4909">
        <v>0</v>
      </c>
      <c r="O4909">
        <v>9566.7712380607336</v>
      </c>
      <c r="P4909">
        <v>4839335</v>
      </c>
    </row>
    <row r="4910" spans="1:16" x14ac:dyDescent="0.25">
      <c r="A4910" s="10">
        <v>44921</v>
      </c>
      <c r="B4910">
        <v>95072</v>
      </c>
      <c r="C4910">
        <v>6276.6706519999989</v>
      </c>
      <c r="D4910">
        <v>0</v>
      </c>
      <c r="E4910">
        <v>0</v>
      </c>
      <c r="F4910">
        <v>0</v>
      </c>
      <c r="G4910">
        <v>-29.906932250000001</v>
      </c>
      <c r="H4910">
        <v>-1482.444991588882</v>
      </c>
      <c r="I4910">
        <v>0</v>
      </c>
      <c r="J4910">
        <v>0</v>
      </c>
      <c r="K4910">
        <v>11900.1147416</v>
      </c>
      <c r="L4910">
        <v>0</v>
      </c>
      <c r="M4910">
        <v>0</v>
      </c>
      <c r="N4910">
        <v>0</v>
      </c>
      <c r="O4910">
        <v>78407.566530238881</v>
      </c>
      <c r="P4910">
        <v>4934407</v>
      </c>
    </row>
    <row r="4911" spans="1:16" x14ac:dyDescent="0.25">
      <c r="A4911" s="10">
        <v>44922</v>
      </c>
      <c r="B4911">
        <v>69469</v>
      </c>
      <c r="C4911">
        <v>37918.733356199999</v>
      </c>
      <c r="D4911">
        <v>0</v>
      </c>
      <c r="E4911">
        <v>0</v>
      </c>
      <c r="F4911">
        <v>0</v>
      </c>
      <c r="G4911">
        <v>-91.787766579999996</v>
      </c>
      <c r="H4911">
        <v>-47917.190381030719</v>
      </c>
      <c r="I4911">
        <v>-4349.8121464699943</v>
      </c>
      <c r="J4911">
        <v>0</v>
      </c>
      <c r="K4911">
        <v>44508.378355530003</v>
      </c>
      <c r="L4911">
        <v>0</v>
      </c>
      <c r="M4911">
        <v>0</v>
      </c>
      <c r="N4911">
        <v>0</v>
      </c>
      <c r="O4911">
        <v>39400.678582350723</v>
      </c>
      <c r="P4911">
        <v>5003876</v>
      </c>
    </row>
    <row r="4912" spans="1:16" x14ac:dyDescent="0.25">
      <c r="A4912" s="10">
        <v>44923</v>
      </c>
      <c r="B4912">
        <v>46647</v>
      </c>
      <c r="C4912">
        <v>53132.968579</v>
      </c>
      <c r="D4912">
        <v>0</v>
      </c>
      <c r="E4912">
        <v>0</v>
      </c>
      <c r="F4912">
        <v>0</v>
      </c>
      <c r="G4912">
        <v>589.37503496000011</v>
      </c>
      <c r="H4912">
        <v>-38351.636932559901</v>
      </c>
      <c r="I4912">
        <v>13959.3693069</v>
      </c>
      <c r="J4912">
        <v>0</v>
      </c>
      <c r="K4912">
        <v>15852.789096349999</v>
      </c>
      <c r="L4912">
        <v>0</v>
      </c>
      <c r="M4912">
        <v>0</v>
      </c>
      <c r="N4912">
        <v>0</v>
      </c>
      <c r="O4912">
        <v>1464.1349153499029</v>
      </c>
      <c r="P4912">
        <v>5050523</v>
      </c>
    </row>
    <row r="4913" spans="1:16" x14ac:dyDescent="0.25">
      <c r="A4913" s="10">
        <v>44924</v>
      </c>
      <c r="B4913">
        <v>119185</v>
      </c>
      <c r="C4913">
        <v>104832.00290443</v>
      </c>
      <c r="D4913">
        <v>0</v>
      </c>
      <c r="E4913">
        <v>0</v>
      </c>
      <c r="F4913">
        <v>0</v>
      </c>
      <c r="G4913">
        <v>60847.811447540007</v>
      </c>
      <c r="H4913">
        <v>-168907.90772530899</v>
      </c>
      <c r="I4913">
        <v>82143.244389600004</v>
      </c>
      <c r="J4913">
        <v>0</v>
      </c>
      <c r="K4913">
        <v>67292.005760460001</v>
      </c>
      <c r="L4913">
        <v>0</v>
      </c>
      <c r="M4913">
        <v>0</v>
      </c>
      <c r="N4913">
        <v>0</v>
      </c>
      <c r="O4913">
        <v>-27022.156776721069</v>
      </c>
      <c r="P4913">
        <v>5169708</v>
      </c>
    </row>
    <row r="4914" spans="1:16" x14ac:dyDescent="0.25">
      <c r="A4914" s="10">
        <v>44925</v>
      </c>
      <c r="B4914">
        <v>34044</v>
      </c>
      <c r="C4914">
        <v>25396.46285</v>
      </c>
      <c r="D4914">
        <v>0</v>
      </c>
      <c r="E4914">
        <v>0</v>
      </c>
      <c r="F4914">
        <v>0</v>
      </c>
      <c r="G4914">
        <v>-282583.42674217001</v>
      </c>
      <c r="H4914">
        <v>293811.78914653911</v>
      </c>
      <c r="I4914">
        <v>0</v>
      </c>
      <c r="J4914">
        <v>0</v>
      </c>
      <c r="K4914">
        <v>4458.6020899699997</v>
      </c>
      <c r="L4914">
        <v>0</v>
      </c>
      <c r="M4914">
        <v>0</v>
      </c>
      <c r="N4914">
        <v>0</v>
      </c>
      <c r="O4914">
        <v>-7039.4273443390484</v>
      </c>
      <c r="P4914">
        <v>5203752</v>
      </c>
    </row>
    <row r="4915" spans="1:16" x14ac:dyDescent="0.25">
      <c r="A4915" s="10">
        <v>44928</v>
      </c>
      <c r="B4915" s="3">
        <v>-3355</v>
      </c>
      <c r="C4915" s="3">
        <v>518.5</v>
      </c>
      <c r="D4915" s="3">
        <v>0</v>
      </c>
      <c r="E4915" s="3">
        <v>0</v>
      </c>
      <c r="F4915" s="3">
        <v>0</v>
      </c>
      <c r="G4915" s="3">
        <v>34464.316542249981</v>
      </c>
      <c r="H4915" s="3">
        <v>-81220.243197410673</v>
      </c>
      <c r="I4915" s="3">
        <v>0</v>
      </c>
      <c r="J4915" s="3">
        <v>0</v>
      </c>
      <c r="K4915" s="3">
        <v>11685.70132337</v>
      </c>
      <c r="L4915" s="3">
        <v>0</v>
      </c>
      <c r="M4915" s="3">
        <v>0</v>
      </c>
      <c r="N4915" s="3">
        <v>0</v>
      </c>
      <c r="O4915">
        <v>31196.725331790691</v>
      </c>
      <c r="P4915">
        <v>5200397</v>
      </c>
    </row>
    <row r="4916" spans="1:16" x14ac:dyDescent="0.25">
      <c r="A4916" s="10">
        <v>44929</v>
      </c>
      <c r="B4916" s="3">
        <v>19066</v>
      </c>
      <c r="C4916" s="3">
        <v>4401.709600000002</v>
      </c>
      <c r="D4916" s="3">
        <v>0</v>
      </c>
      <c r="E4916" s="3">
        <v>0</v>
      </c>
      <c r="F4916" s="3">
        <v>0</v>
      </c>
      <c r="G4916" s="3">
        <v>-85.0820905599995</v>
      </c>
      <c r="H4916" s="3">
        <v>182438.12868437899</v>
      </c>
      <c r="I4916" s="3">
        <v>-230682.25268459</v>
      </c>
      <c r="J4916" s="3">
        <v>0</v>
      </c>
      <c r="K4916" s="3">
        <v>45354.230515360003</v>
      </c>
      <c r="L4916" s="3">
        <v>0</v>
      </c>
      <c r="M4916" s="3">
        <v>0</v>
      </c>
      <c r="N4916" s="3">
        <v>0</v>
      </c>
      <c r="O4916">
        <v>17639.26597541101</v>
      </c>
      <c r="P4916">
        <v>5219463</v>
      </c>
    </row>
    <row r="4917" spans="1:16" x14ac:dyDescent="0.25">
      <c r="A4917" s="10">
        <v>44930</v>
      </c>
      <c r="B4917" s="3">
        <v>27617</v>
      </c>
      <c r="C4917" s="3">
        <v>428.73899999999998</v>
      </c>
      <c r="D4917" s="3">
        <v>0</v>
      </c>
      <c r="E4917" s="3">
        <v>0</v>
      </c>
      <c r="F4917" s="3">
        <v>0</v>
      </c>
      <c r="G4917" s="3">
        <v>91.476516840000016</v>
      </c>
      <c r="H4917" s="3">
        <v>-34865.143561491102</v>
      </c>
      <c r="I4917" s="3">
        <v>40032.267305300003</v>
      </c>
      <c r="J4917" s="3">
        <v>0</v>
      </c>
      <c r="K4917" s="3">
        <v>21606.601825540001</v>
      </c>
      <c r="L4917" s="3">
        <v>0</v>
      </c>
      <c r="M4917" s="3">
        <v>0</v>
      </c>
      <c r="N4917" s="3">
        <v>0</v>
      </c>
      <c r="O4917">
        <v>323.05891381109541</v>
      </c>
      <c r="P4917">
        <v>5247080</v>
      </c>
    </row>
    <row r="4918" spans="1:16" x14ac:dyDescent="0.25">
      <c r="A4918" s="10">
        <v>44931</v>
      </c>
      <c r="B4918" s="3">
        <v>-12589</v>
      </c>
      <c r="C4918" s="3">
        <v>10019.52</v>
      </c>
      <c r="D4918" s="3">
        <v>0</v>
      </c>
      <c r="E4918" s="3">
        <v>0</v>
      </c>
      <c r="F4918" s="3">
        <v>0</v>
      </c>
      <c r="G4918" s="3">
        <v>3579.8712241400171</v>
      </c>
      <c r="H4918" s="3">
        <v>-76256.550295279623</v>
      </c>
      <c r="I4918" s="3">
        <v>-9601.2439200399967</v>
      </c>
      <c r="J4918" s="3">
        <v>0</v>
      </c>
      <c r="K4918" s="3">
        <v>58395.97794438</v>
      </c>
      <c r="L4918" s="3">
        <v>0</v>
      </c>
      <c r="M4918" s="3">
        <v>0</v>
      </c>
      <c r="N4918" s="3">
        <v>0</v>
      </c>
      <c r="O4918">
        <v>1273.4250467995951</v>
      </c>
      <c r="P4918">
        <v>5234491</v>
      </c>
    </row>
    <row r="4919" spans="1:16" x14ac:dyDescent="0.25">
      <c r="A4919" s="10">
        <v>44932</v>
      </c>
      <c r="B4919" s="3">
        <v>-5873</v>
      </c>
      <c r="C4919" s="3">
        <v>0</v>
      </c>
      <c r="D4919" s="3">
        <v>-115000</v>
      </c>
      <c r="E4919" s="3">
        <v>0</v>
      </c>
      <c r="F4919" s="3">
        <v>0</v>
      </c>
      <c r="G4919" s="3">
        <v>115067.5288746</v>
      </c>
      <c r="H4919" s="3">
        <v>-14797.355771459759</v>
      </c>
      <c r="I4919" s="3">
        <v>0</v>
      </c>
      <c r="J4919" s="3">
        <v>0</v>
      </c>
      <c r="K4919" s="3">
        <v>3914.1541944999999</v>
      </c>
      <c r="L4919" s="3">
        <v>0</v>
      </c>
      <c r="M4919" s="3">
        <v>0</v>
      </c>
      <c r="N4919" s="3">
        <v>0</v>
      </c>
      <c r="O4919">
        <v>4942.6727023597559</v>
      </c>
      <c r="P4919">
        <v>5228618</v>
      </c>
    </row>
    <row r="4920" spans="1:16" x14ac:dyDescent="0.25">
      <c r="A4920" s="10">
        <v>44935</v>
      </c>
      <c r="B4920" s="3">
        <v>138186</v>
      </c>
      <c r="C4920" s="3">
        <v>540.27</v>
      </c>
      <c r="D4920" s="3">
        <v>0</v>
      </c>
      <c r="E4920" s="3">
        <v>0</v>
      </c>
      <c r="F4920" s="3">
        <v>0</v>
      </c>
      <c r="G4920" s="3">
        <v>202.27964298000001</v>
      </c>
      <c r="H4920" s="3">
        <v>116238.15696399999</v>
      </c>
      <c r="I4920" s="3">
        <v>0</v>
      </c>
      <c r="J4920" s="3">
        <v>0</v>
      </c>
      <c r="K4920" s="3">
        <v>11828.28006904</v>
      </c>
      <c r="L4920" s="3">
        <v>0</v>
      </c>
      <c r="M4920" s="3">
        <v>0</v>
      </c>
      <c r="N4920" s="3">
        <v>0</v>
      </c>
      <c r="O4920">
        <v>9377.0133239799761</v>
      </c>
      <c r="P4920">
        <v>5366804</v>
      </c>
    </row>
    <row r="4921" spans="1:16" x14ac:dyDescent="0.25">
      <c r="A4921" s="10">
        <v>44936</v>
      </c>
      <c r="B4921" s="3">
        <v>-62927</v>
      </c>
      <c r="C4921" s="3">
        <v>2209.19</v>
      </c>
      <c r="D4921" s="3">
        <v>0</v>
      </c>
      <c r="E4921" s="3">
        <v>0</v>
      </c>
      <c r="F4921" s="3">
        <v>0</v>
      </c>
      <c r="G4921" s="3">
        <v>-122.1978464400012</v>
      </c>
      <c r="H4921" s="3">
        <v>73317.85924774858</v>
      </c>
      <c r="I4921" s="3">
        <v>-198617.79689197999</v>
      </c>
      <c r="J4921" s="3">
        <v>0</v>
      </c>
      <c r="K4921" s="3">
        <v>48429.835752190003</v>
      </c>
      <c r="L4921" s="3">
        <v>0</v>
      </c>
      <c r="M4921" s="3">
        <v>0</v>
      </c>
      <c r="N4921" s="3">
        <v>0</v>
      </c>
      <c r="O4921">
        <v>11856.109738481409</v>
      </c>
      <c r="P4921">
        <v>5303877</v>
      </c>
    </row>
    <row r="4922" spans="1:16" x14ac:dyDescent="0.25">
      <c r="A4922" s="10">
        <v>44937</v>
      </c>
      <c r="B4922" s="3">
        <v>44940</v>
      </c>
      <c r="C4922" s="3">
        <v>722.66</v>
      </c>
      <c r="D4922" s="3">
        <v>0</v>
      </c>
      <c r="E4922" s="3">
        <v>0</v>
      </c>
      <c r="F4922" s="3">
        <v>0</v>
      </c>
      <c r="G4922" s="3">
        <v>919.15353740998376</v>
      </c>
      <c r="H4922" s="3">
        <v>-94639.73272055047</v>
      </c>
      <c r="I4922" s="3">
        <v>107590.68128</v>
      </c>
      <c r="J4922" s="3">
        <v>0</v>
      </c>
      <c r="K4922" s="3">
        <v>53264.155126830003</v>
      </c>
      <c r="L4922" s="3">
        <v>0</v>
      </c>
      <c r="M4922" s="3">
        <v>0</v>
      </c>
      <c r="N4922" s="3">
        <v>0</v>
      </c>
      <c r="O4922">
        <v>-22916.91722368951</v>
      </c>
      <c r="P4922">
        <v>5348817</v>
      </c>
    </row>
    <row r="4923" spans="1:16" x14ac:dyDescent="0.25">
      <c r="A4923" s="10">
        <v>44938</v>
      </c>
      <c r="B4923" s="3">
        <v>-55745</v>
      </c>
      <c r="C4923" s="3">
        <v>0</v>
      </c>
      <c r="D4923" s="3">
        <v>0</v>
      </c>
      <c r="E4923" s="3">
        <v>0</v>
      </c>
      <c r="F4923" s="3">
        <v>0</v>
      </c>
      <c r="G4923" s="3">
        <v>206.89567421999979</v>
      </c>
      <c r="H4923" s="3">
        <v>151903.61906664909</v>
      </c>
      <c r="I4923" s="3">
        <v>-231125.36926457001</v>
      </c>
      <c r="J4923" s="3">
        <v>0</v>
      </c>
      <c r="K4923" s="3">
        <v>42762.741366200004</v>
      </c>
      <c r="L4923" s="3">
        <v>0</v>
      </c>
      <c r="M4923" s="3">
        <v>0</v>
      </c>
      <c r="N4923" s="3">
        <v>0</v>
      </c>
      <c r="O4923">
        <v>-19492.88684249908</v>
      </c>
      <c r="P4923">
        <v>5293072</v>
      </c>
    </row>
    <row r="4924" spans="1:16" x14ac:dyDescent="0.25">
      <c r="A4924" s="10">
        <v>44939</v>
      </c>
      <c r="B4924" s="3">
        <v>26186</v>
      </c>
      <c r="C4924" s="3">
        <v>36298.902600000001</v>
      </c>
      <c r="D4924" s="3">
        <v>0</v>
      </c>
      <c r="E4924" s="3">
        <v>0</v>
      </c>
      <c r="F4924" s="3">
        <v>0</v>
      </c>
      <c r="G4924" s="3">
        <v>-610.62150737000002</v>
      </c>
      <c r="H4924" s="3">
        <v>-21601.687144840442</v>
      </c>
      <c r="I4924" s="3">
        <v>0</v>
      </c>
      <c r="J4924" s="3">
        <v>0</v>
      </c>
      <c r="K4924" s="3">
        <v>3469.4046072900001</v>
      </c>
      <c r="L4924" s="3">
        <v>0</v>
      </c>
      <c r="M4924" s="3">
        <v>0</v>
      </c>
      <c r="N4924" s="3">
        <v>0</v>
      </c>
      <c r="O4924">
        <v>8630.0014449204391</v>
      </c>
      <c r="P4924">
        <v>5319258</v>
      </c>
    </row>
    <row r="4925" spans="1:16" x14ac:dyDescent="0.25">
      <c r="A4925" s="10">
        <v>44942</v>
      </c>
      <c r="B4925" s="3">
        <v>57168</v>
      </c>
      <c r="C4925" s="3">
        <v>714.64</v>
      </c>
      <c r="D4925" s="3">
        <v>0</v>
      </c>
      <c r="E4925" s="3">
        <v>0</v>
      </c>
      <c r="F4925" s="3">
        <v>0</v>
      </c>
      <c r="G4925" s="3">
        <v>-203.8522005800034</v>
      </c>
      <c r="H4925" s="3">
        <v>38586.784886929701</v>
      </c>
      <c r="I4925" s="3">
        <v>0</v>
      </c>
      <c r="J4925" s="3">
        <v>0</v>
      </c>
      <c r="K4925" s="3">
        <v>10532.289344909999</v>
      </c>
      <c r="L4925" s="3">
        <v>0</v>
      </c>
      <c r="M4925" s="3">
        <v>0</v>
      </c>
      <c r="N4925" s="3">
        <v>0</v>
      </c>
      <c r="O4925">
        <v>7538.1379687403023</v>
      </c>
      <c r="P4925">
        <v>5376426</v>
      </c>
    </row>
    <row r="4926" spans="1:16" x14ac:dyDescent="0.25">
      <c r="A4926" s="10">
        <v>44943</v>
      </c>
      <c r="B4926" s="3">
        <v>-44672</v>
      </c>
      <c r="C4926" s="3">
        <v>-4325.0749999999998</v>
      </c>
      <c r="D4926" s="3">
        <v>0</v>
      </c>
      <c r="E4926" s="3">
        <v>0</v>
      </c>
      <c r="F4926" s="3">
        <v>0</v>
      </c>
      <c r="G4926" s="3">
        <v>495.39234567000011</v>
      </c>
      <c r="H4926" s="3">
        <v>-244293.23730613111</v>
      </c>
      <c r="I4926" s="3">
        <v>142608.01998265</v>
      </c>
      <c r="J4926" s="3">
        <v>0</v>
      </c>
      <c r="K4926" s="3">
        <v>56942.340118600012</v>
      </c>
      <c r="L4926" s="3">
        <v>0</v>
      </c>
      <c r="M4926" s="3">
        <v>0</v>
      </c>
      <c r="N4926" s="3">
        <v>0</v>
      </c>
      <c r="O4926">
        <v>3900.5598592111201</v>
      </c>
      <c r="P4926">
        <v>5331754</v>
      </c>
    </row>
    <row r="4927" spans="1:16" x14ac:dyDescent="0.25">
      <c r="A4927" s="10">
        <v>44944</v>
      </c>
      <c r="B4927" s="3">
        <v>-37511</v>
      </c>
      <c r="C4927" s="3">
        <v>-9506.42</v>
      </c>
      <c r="D4927" s="3">
        <v>0</v>
      </c>
      <c r="E4927" s="3">
        <v>0</v>
      </c>
      <c r="F4927" s="3">
        <v>0</v>
      </c>
      <c r="G4927" s="3">
        <v>1106.5906258499999</v>
      </c>
      <c r="H4927" s="3">
        <v>-117819.8608943398</v>
      </c>
      <c r="I4927" s="3">
        <v>44030.09672419999</v>
      </c>
      <c r="J4927" s="3">
        <v>0</v>
      </c>
      <c r="K4927" s="3">
        <v>41548.129159830001</v>
      </c>
      <c r="L4927" s="3">
        <v>0</v>
      </c>
      <c r="M4927" s="3">
        <v>0</v>
      </c>
      <c r="N4927" s="3">
        <v>0</v>
      </c>
      <c r="O4927">
        <v>3130.4643844598181</v>
      </c>
      <c r="P4927">
        <v>5294243</v>
      </c>
    </row>
    <row r="4928" spans="1:16" x14ac:dyDescent="0.25">
      <c r="A4928" s="10">
        <v>44945</v>
      </c>
      <c r="B4928" s="3">
        <v>8198</v>
      </c>
      <c r="C4928" s="3">
        <v>-7094.9876000000004</v>
      </c>
      <c r="D4928" s="3">
        <v>0</v>
      </c>
      <c r="E4928" s="3">
        <v>0</v>
      </c>
      <c r="F4928" s="3">
        <v>0</v>
      </c>
      <c r="G4928" s="3">
        <v>2261.0534330800001</v>
      </c>
      <c r="H4928" s="3">
        <v>-142726.38302790889</v>
      </c>
      <c r="I4928" s="3">
        <v>96876.340170029987</v>
      </c>
      <c r="J4928" s="3">
        <v>0</v>
      </c>
      <c r="K4928" s="3">
        <v>48479.077422009999</v>
      </c>
      <c r="L4928" s="3">
        <v>0</v>
      </c>
      <c r="M4928" s="3">
        <v>0</v>
      </c>
      <c r="N4928" s="3">
        <v>0</v>
      </c>
      <c r="O4928">
        <v>10402.89960278893</v>
      </c>
      <c r="P4928">
        <v>5302441</v>
      </c>
    </row>
    <row r="4929" spans="1:16" x14ac:dyDescent="0.25">
      <c r="A4929" s="10">
        <v>44946</v>
      </c>
      <c r="B4929" s="3">
        <v>8414</v>
      </c>
      <c r="C4929" s="3">
        <v>-6272.6980000000003</v>
      </c>
      <c r="D4929" s="3">
        <v>0</v>
      </c>
      <c r="E4929" s="3">
        <v>0</v>
      </c>
      <c r="F4929" s="3">
        <v>0</v>
      </c>
      <c r="G4929" s="3">
        <v>-135349.04388921999</v>
      </c>
      <c r="H4929" s="3">
        <v>137149.3054297909</v>
      </c>
      <c r="I4929" s="3">
        <v>0</v>
      </c>
      <c r="J4929" s="3">
        <v>0</v>
      </c>
      <c r="K4929" s="3">
        <v>4530.4987076199995</v>
      </c>
      <c r="L4929" s="3">
        <v>0</v>
      </c>
      <c r="M4929" s="3">
        <v>0</v>
      </c>
      <c r="N4929" s="3">
        <v>0</v>
      </c>
      <c r="O4929">
        <v>8355.9377518090623</v>
      </c>
      <c r="P4929">
        <v>5310855</v>
      </c>
    </row>
    <row r="4930" spans="1:16" x14ac:dyDescent="0.25">
      <c r="A4930" s="10">
        <v>44949</v>
      </c>
      <c r="B4930" s="3">
        <v>53640</v>
      </c>
      <c r="C4930" s="3">
        <v>-10416.3565</v>
      </c>
      <c r="D4930" s="3">
        <v>0</v>
      </c>
      <c r="E4930" s="3">
        <v>0</v>
      </c>
      <c r="F4930" s="3">
        <v>0</v>
      </c>
      <c r="G4930" s="3">
        <v>-61.278657280000012</v>
      </c>
      <c r="H4930" s="3">
        <v>47208.100360381068</v>
      </c>
      <c r="I4930" s="3">
        <v>0</v>
      </c>
      <c r="J4930" s="3">
        <v>0</v>
      </c>
      <c r="K4930" s="3">
        <v>12781.57751306</v>
      </c>
      <c r="L4930" s="3">
        <v>0</v>
      </c>
      <c r="M4930" s="3">
        <v>0</v>
      </c>
      <c r="N4930" s="3">
        <v>0</v>
      </c>
      <c r="O4930">
        <v>4127.9572838389358</v>
      </c>
      <c r="P4930">
        <v>5364495</v>
      </c>
    </row>
    <row r="4931" spans="1:16" x14ac:dyDescent="0.25">
      <c r="A4931" s="10">
        <v>44950</v>
      </c>
      <c r="B4931" s="3">
        <v>-50110</v>
      </c>
      <c r="C4931" s="3">
        <v>459.22</v>
      </c>
      <c r="D4931" s="3">
        <v>0</v>
      </c>
      <c r="E4931" s="3">
        <v>0</v>
      </c>
      <c r="F4931" s="3">
        <v>0</v>
      </c>
      <c r="G4931" s="3">
        <v>-1175.85328321</v>
      </c>
      <c r="H4931" s="3">
        <v>-343216.27376373927</v>
      </c>
      <c r="I4931" s="3">
        <v>217250.75638958</v>
      </c>
      <c r="J4931" s="3">
        <v>0</v>
      </c>
      <c r="K4931" s="3">
        <v>44943.949764650009</v>
      </c>
      <c r="L4931" s="3">
        <v>0</v>
      </c>
      <c r="M4931" s="3">
        <v>0</v>
      </c>
      <c r="N4931" s="3">
        <v>0</v>
      </c>
      <c r="O4931">
        <v>31628.200892719251</v>
      </c>
      <c r="P4931">
        <v>5314385</v>
      </c>
    </row>
    <row r="4932" spans="1:16" x14ac:dyDescent="0.25">
      <c r="A4932" s="10">
        <v>44951</v>
      </c>
      <c r="B4932" s="3">
        <v>-69152</v>
      </c>
      <c r="C4932" s="3">
        <v>-15910.17</v>
      </c>
      <c r="D4932" s="3">
        <v>0</v>
      </c>
      <c r="E4932" s="3">
        <v>0</v>
      </c>
      <c r="F4932" s="3">
        <v>0</v>
      </c>
      <c r="G4932" s="3">
        <v>7958.7673508500447</v>
      </c>
      <c r="H4932" s="3">
        <v>-191409.5895409389</v>
      </c>
      <c r="I4932" s="3">
        <v>63632.252316999999</v>
      </c>
      <c r="J4932" s="3">
        <v>0</v>
      </c>
      <c r="K4932" s="3">
        <v>35337.836339269998</v>
      </c>
      <c r="L4932" s="3">
        <v>0</v>
      </c>
      <c r="M4932" s="3">
        <v>0</v>
      </c>
      <c r="N4932" s="3">
        <v>0</v>
      </c>
      <c r="O4932">
        <v>31238.90353381887</v>
      </c>
      <c r="P4932">
        <v>5245233</v>
      </c>
    </row>
    <row r="4933" spans="1:16" x14ac:dyDescent="0.25">
      <c r="A4933" s="10">
        <v>44952</v>
      </c>
      <c r="B4933" s="3">
        <v>11608</v>
      </c>
      <c r="C4933" s="3">
        <v>-8430.4285</v>
      </c>
      <c r="D4933" s="3">
        <v>-60000</v>
      </c>
      <c r="E4933" s="3">
        <v>0</v>
      </c>
      <c r="F4933" s="3">
        <v>0</v>
      </c>
      <c r="G4933" s="3">
        <v>66116.733320479994</v>
      </c>
      <c r="H4933" s="3">
        <v>-162962.47191354909</v>
      </c>
      <c r="I4933" s="3">
        <v>108462.85435802001</v>
      </c>
      <c r="J4933" s="3">
        <v>0</v>
      </c>
      <c r="K4933" s="3">
        <v>63608.350548330003</v>
      </c>
      <c r="L4933" s="3">
        <v>0</v>
      </c>
      <c r="M4933" s="3">
        <v>0</v>
      </c>
      <c r="N4933" s="3">
        <v>0</v>
      </c>
      <c r="O4933">
        <v>4812.9621867190799</v>
      </c>
      <c r="P4933">
        <v>5256841</v>
      </c>
    </row>
    <row r="4934" spans="1:16" x14ac:dyDescent="0.25">
      <c r="A4934" s="10">
        <v>44953</v>
      </c>
      <c r="B4934" s="3">
        <v>77506</v>
      </c>
      <c r="C4934" s="3">
        <v>-4999.7939999999999</v>
      </c>
      <c r="D4934" s="3">
        <v>0</v>
      </c>
      <c r="E4934" s="3">
        <v>0</v>
      </c>
      <c r="F4934" s="3">
        <v>0</v>
      </c>
      <c r="G4934" s="3">
        <v>-116.4703043499903</v>
      </c>
      <c r="H4934" s="3">
        <v>83588.283381369722</v>
      </c>
      <c r="I4934" s="3">
        <v>0</v>
      </c>
      <c r="J4934" s="3">
        <v>0</v>
      </c>
      <c r="K4934" s="3">
        <v>5500.0002408199998</v>
      </c>
      <c r="L4934" s="3">
        <v>0</v>
      </c>
      <c r="M4934" s="3">
        <v>0</v>
      </c>
      <c r="N4934" s="3">
        <v>0</v>
      </c>
      <c r="O4934">
        <v>-6466.0193178397312</v>
      </c>
      <c r="P4934">
        <v>5334347</v>
      </c>
    </row>
    <row r="4935" spans="1:16" x14ac:dyDescent="0.25">
      <c r="A4935" s="10">
        <v>44956</v>
      </c>
      <c r="B4935" s="3">
        <v>-104151</v>
      </c>
      <c r="C4935" s="3">
        <v>-5277.2749999999996</v>
      </c>
      <c r="D4935" s="3">
        <v>0</v>
      </c>
      <c r="E4935" s="3">
        <v>0</v>
      </c>
      <c r="F4935" s="3">
        <v>0</v>
      </c>
      <c r="G4935" s="3">
        <v>51.615820240000012</v>
      </c>
      <c r="H4935" s="3">
        <v>-118539.5253513699</v>
      </c>
      <c r="I4935" s="3">
        <v>0</v>
      </c>
      <c r="J4935" s="3">
        <v>0</v>
      </c>
      <c r="K4935" s="3">
        <v>16134.408951879999</v>
      </c>
      <c r="L4935" s="3">
        <v>0</v>
      </c>
      <c r="M4935" s="3">
        <v>0</v>
      </c>
      <c r="N4935" s="3">
        <v>0</v>
      </c>
      <c r="O4935">
        <v>3479.7755792499229</v>
      </c>
      <c r="P4935">
        <v>5230196</v>
      </c>
    </row>
    <row r="4936" spans="1:16" x14ac:dyDescent="0.25">
      <c r="A4936" s="10">
        <v>44957</v>
      </c>
      <c r="B4936" s="3">
        <v>86526</v>
      </c>
      <c r="C4936" s="3">
        <v>-16414.964</v>
      </c>
      <c r="D4936" s="3">
        <v>0</v>
      </c>
      <c r="E4936" s="3">
        <v>0</v>
      </c>
      <c r="F4936" s="3">
        <v>0</v>
      </c>
      <c r="G4936" s="3">
        <v>-139776.87086488001</v>
      </c>
      <c r="H4936" s="3">
        <v>321645.40197775018</v>
      </c>
      <c r="I4936" s="3">
        <v>-151557.76734580001</v>
      </c>
      <c r="J4936" s="3">
        <v>0</v>
      </c>
      <c r="K4936" s="3">
        <v>60187.693143560013</v>
      </c>
      <c r="L4936" s="3">
        <v>0</v>
      </c>
      <c r="M4936" s="3">
        <v>0</v>
      </c>
      <c r="N4936" s="3">
        <v>0</v>
      </c>
      <c r="O4936">
        <v>12442.50708936977</v>
      </c>
      <c r="P4936">
        <v>5316722</v>
      </c>
    </row>
    <row r="4937" spans="1:16" x14ac:dyDescent="0.25">
      <c r="A4937" s="10">
        <v>44958</v>
      </c>
      <c r="B4937" s="3">
        <v>46384</v>
      </c>
      <c r="C4937" s="3">
        <v>-7874.82</v>
      </c>
      <c r="D4937" s="3">
        <v>0</v>
      </c>
      <c r="E4937" s="3">
        <v>0</v>
      </c>
      <c r="F4937" s="3">
        <v>0</v>
      </c>
      <c r="G4937" s="3">
        <v>31.66016634</v>
      </c>
      <c r="H4937" s="3">
        <v>40951.149869339613</v>
      </c>
      <c r="I4937" s="3">
        <v>1498.952943</v>
      </c>
      <c r="J4937" s="3">
        <v>0</v>
      </c>
      <c r="K4937" s="3">
        <v>6553.6453877000004</v>
      </c>
      <c r="L4937" s="3">
        <v>0</v>
      </c>
      <c r="M4937" s="3">
        <v>0</v>
      </c>
      <c r="N4937" s="3">
        <v>0</v>
      </c>
      <c r="O4937">
        <v>5223.4116336203952</v>
      </c>
      <c r="P4937">
        <v>5363106</v>
      </c>
    </row>
    <row r="4938" spans="1:16" x14ac:dyDescent="0.25">
      <c r="A4938" s="10">
        <v>44959</v>
      </c>
      <c r="B4938" s="3">
        <v>-182854</v>
      </c>
      <c r="C4938" s="3">
        <v>-10652.734</v>
      </c>
      <c r="D4938" s="3">
        <v>0</v>
      </c>
      <c r="E4938" s="3">
        <v>0</v>
      </c>
      <c r="F4938" s="3">
        <v>0</v>
      </c>
      <c r="G4938" s="3">
        <v>120021.0923697</v>
      </c>
      <c r="H4938" s="3">
        <v>-94839.680128798849</v>
      </c>
      <c r="I4938" s="3">
        <v>-258170.11782635999</v>
      </c>
      <c r="J4938" s="3">
        <v>0</v>
      </c>
      <c r="K4938" s="3">
        <v>58193.759340729986</v>
      </c>
      <c r="L4938" s="3">
        <v>0</v>
      </c>
      <c r="M4938" s="3">
        <v>0</v>
      </c>
      <c r="N4938" s="3">
        <v>0</v>
      </c>
      <c r="O4938">
        <v>2593.680244728836</v>
      </c>
      <c r="P4938">
        <v>5180252</v>
      </c>
    </row>
    <row r="4939" spans="1:16" x14ac:dyDescent="0.25">
      <c r="A4939" s="10">
        <v>44960</v>
      </c>
      <c r="B4939" s="3">
        <v>51884</v>
      </c>
      <c r="C4939" s="3">
        <v>-9190.08</v>
      </c>
      <c r="D4939" s="3">
        <v>-11000</v>
      </c>
      <c r="E4939" s="3">
        <v>0</v>
      </c>
      <c r="F4939" s="3">
        <v>0</v>
      </c>
      <c r="G4939" s="3">
        <v>10882.48129853</v>
      </c>
      <c r="H4939" s="3">
        <v>52969.642298449107</v>
      </c>
      <c r="I4939" s="3">
        <v>0</v>
      </c>
      <c r="J4939" s="3">
        <v>0</v>
      </c>
      <c r="K4939" s="3">
        <v>5083.9792054300005</v>
      </c>
      <c r="L4939" s="3">
        <v>0</v>
      </c>
      <c r="M4939" s="3">
        <v>0</v>
      </c>
      <c r="N4939" s="3">
        <v>0</v>
      </c>
      <c r="O4939">
        <v>3137.977197590888</v>
      </c>
      <c r="P4939">
        <v>5232136</v>
      </c>
    </row>
    <row r="4940" spans="1:16" x14ac:dyDescent="0.25">
      <c r="A4940" s="10">
        <v>44963</v>
      </c>
      <c r="B4940" s="3">
        <v>-7949</v>
      </c>
      <c r="C4940" s="3">
        <v>-8527.2795000000006</v>
      </c>
      <c r="D4940" s="3">
        <v>0</v>
      </c>
      <c r="E4940" s="3">
        <v>0</v>
      </c>
      <c r="F4940" s="3">
        <v>0</v>
      </c>
      <c r="G4940" s="3">
        <v>8018.9803631899958</v>
      </c>
      <c r="H4940" s="3">
        <v>-22684.301383731119</v>
      </c>
      <c r="I4940" s="3">
        <v>0</v>
      </c>
      <c r="J4940" s="3">
        <v>0</v>
      </c>
      <c r="K4940" s="3">
        <v>14938.908421820001</v>
      </c>
      <c r="L4940" s="3">
        <v>0</v>
      </c>
      <c r="M4940" s="3">
        <v>0</v>
      </c>
      <c r="N4940" s="3">
        <v>0</v>
      </c>
      <c r="O4940">
        <v>304.69209872112702</v>
      </c>
      <c r="P4940">
        <v>5224187</v>
      </c>
    </row>
    <row r="4941" spans="1:16" x14ac:dyDescent="0.25">
      <c r="A4941" s="10">
        <v>44964</v>
      </c>
      <c r="B4941" s="3">
        <v>8247</v>
      </c>
      <c r="C4941" s="3">
        <v>-9292.4835000000003</v>
      </c>
      <c r="D4941" s="3">
        <v>0</v>
      </c>
      <c r="E4941" s="3">
        <v>0</v>
      </c>
      <c r="F4941" s="3">
        <v>0</v>
      </c>
      <c r="G4941" s="3">
        <v>449.17840084002768</v>
      </c>
      <c r="H4941" s="3">
        <v>83772.770277229225</v>
      </c>
      <c r="I4941" s="3">
        <v>-110379.36600577</v>
      </c>
      <c r="J4941" s="3">
        <v>0</v>
      </c>
      <c r="K4941" s="3">
        <v>61161.603772359987</v>
      </c>
      <c r="L4941" s="3">
        <v>0</v>
      </c>
      <c r="M4941" s="3">
        <v>0</v>
      </c>
      <c r="N4941" s="3">
        <v>0</v>
      </c>
      <c r="O4941">
        <v>-17464.702944659261</v>
      </c>
      <c r="P4941">
        <v>5232434</v>
      </c>
    </row>
    <row r="4942" spans="1:16" x14ac:dyDescent="0.25">
      <c r="A4942" s="10">
        <v>44965</v>
      </c>
      <c r="B4942" s="3">
        <v>-30798</v>
      </c>
      <c r="C4942" s="3">
        <v>-13179.296</v>
      </c>
      <c r="D4942" s="3">
        <v>0</v>
      </c>
      <c r="E4942" s="3">
        <v>0</v>
      </c>
      <c r="F4942" s="3">
        <v>0</v>
      </c>
      <c r="G4942" s="3">
        <v>80059.052185150009</v>
      </c>
      <c r="H4942" s="3">
        <v>-87803.622195549193</v>
      </c>
      <c r="I4942" s="3">
        <v>-2924.9129317000011</v>
      </c>
      <c r="J4942" s="3">
        <v>0</v>
      </c>
      <c r="K4942" s="3">
        <v>12279.047000639999</v>
      </c>
      <c r="L4942" s="3">
        <v>0</v>
      </c>
      <c r="M4942" s="3">
        <v>0</v>
      </c>
      <c r="N4942" s="3">
        <v>0</v>
      </c>
      <c r="O4942">
        <v>-19228.26805854082</v>
      </c>
      <c r="P4942">
        <v>5201636</v>
      </c>
    </row>
    <row r="4943" spans="1:16" x14ac:dyDescent="0.25">
      <c r="A4943" s="10">
        <v>44966</v>
      </c>
      <c r="B4943" s="3">
        <v>35977</v>
      </c>
      <c r="C4943" s="3">
        <v>-13102.829</v>
      </c>
      <c r="D4943" s="3">
        <v>-10000</v>
      </c>
      <c r="E4943" s="3">
        <v>0</v>
      </c>
      <c r="F4943" s="3">
        <v>0</v>
      </c>
      <c r="G4943" s="3">
        <v>9791.5100760400001</v>
      </c>
      <c r="H4943" s="3">
        <v>132235.55045563</v>
      </c>
      <c r="I4943" s="3">
        <v>-154530.71421994001</v>
      </c>
      <c r="J4943" s="3">
        <v>0</v>
      </c>
      <c r="K4943" s="3">
        <v>57331.467838980003</v>
      </c>
      <c r="L4943" s="3">
        <v>0</v>
      </c>
      <c r="M4943" s="3">
        <v>0</v>
      </c>
      <c r="N4943" s="3">
        <v>0</v>
      </c>
      <c r="O4943">
        <v>14252.01484929001</v>
      </c>
      <c r="P4943">
        <v>5237613</v>
      </c>
    </row>
    <row r="4944" spans="1:16" x14ac:dyDescent="0.25">
      <c r="A4944" s="10">
        <v>44967</v>
      </c>
      <c r="B4944" s="3">
        <v>9605</v>
      </c>
      <c r="C4944" s="3">
        <v>-12870.025</v>
      </c>
      <c r="D4944" s="3">
        <v>0</v>
      </c>
      <c r="E4944" s="3">
        <v>0</v>
      </c>
      <c r="F4944" s="3">
        <v>0</v>
      </c>
      <c r="G4944" s="3">
        <v>122.16579935999999</v>
      </c>
      <c r="H4944" s="3">
        <v>25544.08825237961</v>
      </c>
      <c r="I4944" s="3">
        <v>0</v>
      </c>
      <c r="J4944" s="3">
        <v>0</v>
      </c>
      <c r="K4944" s="3">
        <v>4771.37715011</v>
      </c>
      <c r="L4944" s="3">
        <v>0</v>
      </c>
      <c r="M4944" s="3">
        <v>0</v>
      </c>
      <c r="N4944" s="3">
        <v>0</v>
      </c>
      <c r="O4944">
        <v>-7962.606201849605</v>
      </c>
      <c r="P4944">
        <v>5247218</v>
      </c>
    </row>
    <row r="4945" spans="1:16" x14ac:dyDescent="0.25">
      <c r="A4945" s="10">
        <v>44970</v>
      </c>
      <c r="B4945" s="3">
        <v>-39234</v>
      </c>
      <c r="C4945" s="3">
        <v>-9179.8700000000008</v>
      </c>
      <c r="D4945" s="3">
        <v>0</v>
      </c>
      <c r="E4945" s="3">
        <v>0</v>
      </c>
      <c r="F4945" s="3">
        <v>0</v>
      </c>
      <c r="G4945" s="3">
        <v>9250.6299760399979</v>
      </c>
      <c r="H4945" s="3">
        <v>-27003.3198298112</v>
      </c>
      <c r="I4945" s="3">
        <v>0</v>
      </c>
      <c r="J4945" s="3">
        <v>0</v>
      </c>
      <c r="K4945" s="3">
        <v>14163.09026313</v>
      </c>
      <c r="L4945" s="3">
        <v>0</v>
      </c>
      <c r="M4945" s="3">
        <v>0</v>
      </c>
      <c r="N4945" s="3">
        <v>0</v>
      </c>
      <c r="O4945">
        <v>-26464.530409358791</v>
      </c>
      <c r="P4945">
        <v>5207984</v>
      </c>
    </row>
    <row r="4946" spans="1:16" x14ac:dyDescent="0.25">
      <c r="A4946" s="10">
        <v>44971</v>
      </c>
      <c r="B4946" s="3">
        <v>-2549</v>
      </c>
      <c r="C4946" s="3">
        <v>-6959.7375000000002</v>
      </c>
      <c r="D4946" s="3">
        <v>0</v>
      </c>
      <c r="E4946" s="3">
        <v>0</v>
      </c>
      <c r="F4946" s="3">
        <v>0</v>
      </c>
      <c r="G4946" s="3">
        <v>38357.763131319982</v>
      </c>
      <c r="H4946" s="3">
        <v>19877.475584380882</v>
      </c>
      <c r="I4946" s="3">
        <v>-114315.04979265999</v>
      </c>
      <c r="J4946" s="3">
        <v>0</v>
      </c>
      <c r="K4946" s="3">
        <v>50074.978873139997</v>
      </c>
      <c r="L4946" s="3">
        <v>0</v>
      </c>
      <c r="M4946" s="3">
        <v>0</v>
      </c>
      <c r="N4946" s="3">
        <v>0</v>
      </c>
      <c r="O4946">
        <v>10415.56970381913</v>
      </c>
      <c r="P4946">
        <v>5205435</v>
      </c>
    </row>
    <row r="4947" spans="1:16" x14ac:dyDescent="0.25">
      <c r="A4947" s="10">
        <v>44972</v>
      </c>
      <c r="B4947" s="3">
        <v>60169</v>
      </c>
      <c r="C4947" s="3">
        <v>-56255.962299999999</v>
      </c>
      <c r="D4947" s="3">
        <v>-23000</v>
      </c>
      <c r="E4947" s="3">
        <v>0</v>
      </c>
      <c r="F4947" s="3">
        <v>0</v>
      </c>
      <c r="G4947" s="3">
        <v>24906.354247660001</v>
      </c>
      <c r="H4947" s="3">
        <v>73189.779747730223</v>
      </c>
      <c r="I4947" s="3">
        <v>19300</v>
      </c>
      <c r="J4947" s="3">
        <v>0</v>
      </c>
      <c r="K4947" s="3">
        <v>14823.09899785</v>
      </c>
      <c r="L4947" s="3">
        <v>0</v>
      </c>
      <c r="M4947" s="3">
        <v>0</v>
      </c>
      <c r="N4947" s="3">
        <v>0</v>
      </c>
      <c r="O4947">
        <v>7205.7293067597784</v>
      </c>
      <c r="P4947">
        <v>5265604</v>
      </c>
    </row>
    <row r="4948" spans="1:16" x14ac:dyDescent="0.25">
      <c r="A4948" s="10">
        <v>44973</v>
      </c>
      <c r="B4948" s="3">
        <v>55288</v>
      </c>
      <c r="C4948" s="3">
        <v>-9015.9688999999998</v>
      </c>
      <c r="D4948" s="3">
        <v>0</v>
      </c>
      <c r="E4948" s="3">
        <v>0</v>
      </c>
      <c r="F4948" s="3">
        <v>0</v>
      </c>
      <c r="G4948" s="3">
        <v>585.60381610000002</v>
      </c>
      <c r="H4948" s="3">
        <v>34129.463823888524</v>
      </c>
      <c r="I4948" s="3">
        <v>-54510.310597130003</v>
      </c>
      <c r="J4948" s="3">
        <v>0</v>
      </c>
      <c r="K4948" s="3">
        <v>43247.048297639987</v>
      </c>
      <c r="L4948" s="3">
        <v>0</v>
      </c>
      <c r="M4948" s="3">
        <v>0</v>
      </c>
      <c r="N4948" s="3">
        <v>0</v>
      </c>
      <c r="O4948">
        <v>40852.163559501481</v>
      </c>
      <c r="P4948">
        <v>5320892</v>
      </c>
    </row>
    <row r="4949" spans="1:16" x14ac:dyDescent="0.25">
      <c r="A4949" s="10">
        <v>44974</v>
      </c>
      <c r="B4949" s="3">
        <v>-23239</v>
      </c>
      <c r="C4949" s="3">
        <v>-9504.0619999999999</v>
      </c>
      <c r="D4949" s="3">
        <v>-6000</v>
      </c>
      <c r="E4949" s="3">
        <v>0</v>
      </c>
      <c r="F4949" s="3">
        <v>0</v>
      </c>
      <c r="G4949" s="3">
        <v>-134370.46233821</v>
      </c>
      <c r="H4949" s="3">
        <v>85933.530965869097</v>
      </c>
      <c r="I4949" s="3">
        <v>0</v>
      </c>
      <c r="J4949" s="3">
        <v>0</v>
      </c>
      <c r="K4949" s="3">
        <v>4523.20592244</v>
      </c>
      <c r="L4949" s="3">
        <v>0</v>
      </c>
      <c r="M4949" s="3">
        <v>0</v>
      </c>
      <c r="N4949" s="3">
        <v>0</v>
      </c>
      <c r="O4949">
        <v>36178.787449900898</v>
      </c>
      <c r="P4949">
        <v>5297653</v>
      </c>
    </row>
    <row r="4950" spans="1:16" x14ac:dyDescent="0.25">
      <c r="A4950" s="10">
        <v>44979</v>
      </c>
      <c r="B4950" s="3">
        <v>-21661</v>
      </c>
      <c r="C4950" s="3">
        <v>574.06101945</v>
      </c>
      <c r="D4950" s="3">
        <v>0</v>
      </c>
      <c r="E4950" s="3">
        <v>0</v>
      </c>
      <c r="F4950" s="3">
        <v>0</v>
      </c>
      <c r="G4950" s="3">
        <v>85675.050978450003</v>
      </c>
      <c r="H4950" s="3">
        <v>-121342.8963748801</v>
      </c>
      <c r="I4950" s="3">
        <v>-84086.806471949996</v>
      </c>
      <c r="J4950" s="3">
        <v>0</v>
      </c>
      <c r="K4950" s="3">
        <v>97675.426110970002</v>
      </c>
      <c r="L4950" s="3">
        <v>0</v>
      </c>
      <c r="M4950" s="3">
        <v>0</v>
      </c>
      <c r="N4950" s="3">
        <v>0</v>
      </c>
      <c r="O4950">
        <v>-155.83526203993819</v>
      </c>
      <c r="P4950">
        <v>5275992</v>
      </c>
    </row>
    <row r="4951" spans="1:16" x14ac:dyDescent="0.25">
      <c r="A4951" s="10">
        <v>44980</v>
      </c>
      <c r="B4951" s="3">
        <v>-22902.20000000019</v>
      </c>
      <c r="C4951" s="3">
        <v>781.10400000000004</v>
      </c>
      <c r="D4951" s="3">
        <v>0</v>
      </c>
      <c r="E4951" s="3">
        <v>0</v>
      </c>
      <c r="F4951" s="3">
        <v>0</v>
      </c>
      <c r="G4951" s="3">
        <v>24187.090300640011</v>
      </c>
      <c r="H4951" s="3">
        <v>-219246.02778120109</v>
      </c>
      <c r="I4951" s="3">
        <v>112926.31547308</v>
      </c>
      <c r="J4951" s="3">
        <v>0</v>
      </c>
      <c r="K4951" s="3">
        <v>56784.098676369998</v>
      </c>
      <c r="L4951" s="3">
        <v>0</v>
      </c>
      <c r="M4951" s="3">
        <v>0</v>
      </c>
      <c r="N4951" s="3">
        <v>0</v>
      </c>
      <c r="O4951">
        <v>1665.2193311108931</v>
      </c>
      <c r="P4951">
        <v>5253089.8</v>
      </c>
    </row>
    <row r="4952" spans="1:16" x14ac:dyDescent="0.25">
      <c r="A4952" s="10">
        <v>44981</v>
      </c>
      <c r="B4952" s="3">
        <v>-72659.799999999814</v>
      </c>
      <c r="C4952" s="3">
        <v>-5582.6553999999996</v>
      </c>
      <c r="D4952" s="3">
        <v>0</v>
      </c>
      <c r="E4952" s="3">
        <v>0</v>
      </c>
      <c r="F4952" s="3">
        <v>0</v>
      </c>
      <c r="G4952" s="3">
        <v>199.17473258999129</v>
      </c>
      <c r="H4952" s="3">
        <v>-54198.896203451222</v>
      </c>
      <c r="I4952" s="3">
        <v>0</v>
      </c>
      <c r="J4952" s="3">
        <v>0</v>
      </c>
      <c r="K4952" s="3">
        <v>5025.4131974600004</v>
      </c>
      <c r="L4952" s="3">
        <v>0</v>
      </c>
      <c r="M4952" s="3">
        <v>0</v>
      </c>
      <c r="N4952" s="3">
        <v>0</v>
      </c>
      <c r="O4952">
        <v>-18102.836326598579</v>
      </c>
      <c r="P4952">
        <v>5180430</v>
      </c>
    </row>
    <row r="4953" spans="1:16" x14ac:dyDescent="0.25">
      <c r="A4953" s="10">
        <v>44984</v>
      </c>
      <c r="B4953" s="3">
        <v>-54356</v>
      </c>
      <c r="C4953" s="3">
        <v>6476.7460000000001</v>
      </c>
      <c r="D4953" s="3">
        <v>0</v>
      </c>
      <c r="E4953" s="3">
        <v>0</v>
      </c>
      <c r="F4953" s="3">
        <v>0</v>
      </c>
      <c r="G4953" s="3">
        <v>51.513039170000013</v>
      </c>
      <c r="H4953" s="3">
        <v>-47674.723361208373</v>
      </c>
      <c r="I4953" s="3">
        <v>0</v>
      </c>
      <c r="J4953" s="3">
        <v>0</v>
      </c>
      <c r="K4953" s="3">
        <v>15396.98628039</v>
      </c>
      <c r="L4953" s="3">
        <v>0</v>
      </c>
      <c r="M4953" s="3">
        <v>0</v>
      </c>
      <c r="N4953" s="3">
        <v>0</v>
      </c>
      <c r="O4953">
        <v>-28606.52195835163</v>
      </c>
      <c r="P4953">
        <v>5126074</v>
      </c>
    </row>
    <row r="4954" spans="1:16" x14ac:dyDescent="0.25">
      <c r="A4954" s="10">
        <v>44985</v>
      </c>
      <c r="B4954" s="3">
        <v>93882</v>
      </c>
      <c r="C4954" s="3">
        <v>3778.0915</v>
      </c>
      <c r="D4954" s="3">
        <v>0</v>
      </c>
      <c r="E4954" s="3">
        <v>0</v>
      </c>
      <c r="F4954" s="3">
        <v>0</v>
      </c>
      <c r="G4954" s="3">
        <v>-86512.213152279975</v>
      </c>
      <c r="H4954" s="3">
        <v>29607.451652239321</v>
      </c>
      <c r="I4954" s="3">
        <v>57261.984157840001</v>
      </c>
      <c r="J4954" s="3">
        <v>0</v>
      </c>
      <c r="K4954" s="3">
        <v>68521.732817960001</v>
      </c>
      <c r="L4954" s="3">
        <v>0</v>
      </c>
      <c r="M4954" s="3">
        <v>0</v>
      </c>
      <c r="N4954" s="3">
        <v>0</v>
      </c>
      <c r="O4954">
        <v>21224.953024240662</v>
      </c>
      <c r="P4954">
        <v>5219956</v>
      </c>
    </row>
    <row r="4955" spans="1:16" x14ac:dyDescent="0.25">
      <c r="A4955" s="10">
        <v>44986</v>
      </c>
      <c r="B4955" s="3">
        <v>-52629</v>
      </c>
      <c r="C4955" s="3">
        <v>-8773.7286999999997</v>
      </c>
      <c r="D4955" s="3">
        <v>-7000</v>
      </c>
      <c r="E4955" s="3">
        <v>0</v>
      </c>
      <c r="F4955" s="3">
        <v>0</v>
      </c>
      <c r="G4955" s="3">
        <v>7373.0934144399998</v>
      </c>
      <c r="H4955" s="3">
        <v>-83320.356085610721</v>
      </c>
      <c r="I4955" s="3">
        <v>-11550</v>
      </c>
      <c r="J4955" s="3">
        <v>0</v>
      </c>
      <c r="K4955" s="3">
        <v>21849.71739297</v>
      </c>
      <c r="L4955" s="3">
        <v>0</v>
      </c>
      <c r="M4955" s="3">
        <v>0</v>
      </c>
      <c r="N4955" s="3">
        <v>0</v>
      </c>
      <c r="O4955">
        <v>28792.273978200741</v>
      </c>
      <c r="P4955">
        <v>5167327</v>
      </c>
    </row>
    <row r="4956" spans="1:16" x14ac:dyDescent="0.25">
      <c r="A4956" s="10">
        <v>44987</v>
      </c>
      <c r="B4956" s="3">
        <v>-16264</v>
      </c>
      <c r="C4956" s="3">
        <v>825.68340000000001</v>
      </c>
      <c r="D4956" s="3">
        <v>0</v>
      </c>
      <c r="E4956" s="3">
        <v>0</v>
      </c>
      <c r="F4956" s="3">
        <v>0</v>
      </c>
      <c r="G4956" s="3">
        <v>139952.12558187</v>
      </c>
      <c r="H4956" s="3">
        <v>-166748.32473047019</v>
      </c>
      <c r="I4956" s="3">
        <v>-76582.278098979994</v>
      </c>
      <c r="J4956" s="3">
        <v>0</v>
      </c>
      <c r="K4956" s="3">
        <v>73483.039834049996</v>
      </c>
      <c r="L4956" s="3">
        <v>0</v>
      </c>
      <c r="M4956" s="3">
        <v>0</v>
      </c>
      <c r="N4956" s="3">
        <v>0</v>
      </c>
      <c r="O4956">
        <v>12805.75401353023</v>
      </c>
      <c r="P4956">
        <v>5151063</v>
      </c>
    </row>
    <row r="4957" spans="1:16" x14ac:dyDescent="0.25">
      <c r="A4957" s="10">
        <v>44988</v>
      </c>
      <c r="B4957" s="3">
        <v>17888</v>
      </c>
      <c r="C4957" s="3">
        <v>83.325999999999993</v>
      </c>
      <c r="D4957" s="3">
        <v>0</v>
      </c>
      <c r="E4957" s="3">
        <v>0</v>
      </c>
      <c r="F4957" s="3">
        <v>0</v>
      </c>
      <c r="G4957" s="3">
        <v>9.5563018400000068</v>
      </c>
      <c r="H4957" s="3">
        <v>11962.4248803511</v>
      </c>
      <c r="I4957" s="3">
        <v>0</v>
      </c>
      <c r="J4957" s="3">
        <v>0</v>
      </c>
      <c r="K4957" s="3">
        <v>5661.3496688300002</v>
      </c>
      <c r="L4957" s="3">
        <v>0</v>
      </c>
      <c r="M4957" s="3">
        <v>0</v>
      </c>
      <c r="N4957" s="3">
        <v>0</v>
      </c>
      <c r="O4957">
        <v>171.3431489789036</v>
      </c>
      <c r="P4957">
        <v>5168951</v>
      </c>
    </row>
    <row r="4958" spans="1:16" x14ac:dyDescent="0.25">
      <c r="A4958" s="10">
        <v>44991</v>
      </c>
      <c r="B4958" s="3">
        <v>-32400</v>
      </c>
      <c r="C4958" s="3">
        <v>-8574.06</v>
      </c>
      <c r="D4958" s="3">
        <v>0</v>
      </c>
      <c r="E4958" s="3">
        <v>0</v>
      </c>
      <c r="F4958" s="3">
        <v>0</v>
      </c>
      <c r="G4958" s="3">
        <v>22948.732231189999</v>
      </c>
      <c r="H4958" s="3">
        <v>-61451.411128120271</v>
      </c>
      <c r="I4958" s="3">
        <v>0</v>
      </c>
      <c r="J4958" s="3">
        <v>0</v>
      </c>
      <c r="K4958" s="3">
        <v>16913.580669390001</v>
      </c>
      <c r="L4958" s="3">
        <v>0</v>
      </c>
      <c r="M4958" s="3">
        <v>0</v>
      </c>
      <c r="N4958" s="3">
        <v>0</v>
      </c>
      <c r="O4958">
        <v>-2236.8417724597311</v>
      </c>
      <c r="P4958">
        <v>5136551</v>
      </c>
    </row>
    <row r="4959" spans="1:16" x14ac:dyDescent="0.25">
      <c r="A4959" s="10">
        <v>44992</v>
      </c>
      <c r="B4959" s="3">
        <v>36275</v>
      </c>
      <c r="C4959" s="3">
        <v>-9818.5570000000007</v>
      </c>
      <c r="D4959" s="3">
        <v>0</v>
      </c>
      <c r="E4959" s="3">
        <v>0</v>
      </c>
      <c r="F4959" s="3">
        <v>0</v>
      </c>
      <c r="G4959" s="3">
        <v>175.92669660000001</v>
      </c>
      <c r="H4959" s="3">
        <v>-100305.95383520141</v>
      </c>
      <c r="I4959" s="3">
        <v>82155.361229279995</v>
      </c>
      <c r="J4959" s="3">
        <v>0</v>
      </c>
      <c r="K4959" s="3">
        <v>68247.076518739996</v>
      </c>
      <c r="L4959" s="3">
        <v>0</v>
      </c>
      <c r="M4959" s="3">
        <v>0</v>
      </c>
      <c r="N4959" s="3">
        <v>0</v>
      </c>
      <c r="O4959">
        <v>-4178.8536094185984</v>
      </c>
      <c r="P4959">
        <v>5172826</v>
      </c>
    </row>
    <row r="4960" spans="1:16" x14ac:dyDescent="0.25">
      <c r="A4960" s="10">
        <v>44993</v>
      </c>
      <c r="B4960" s="3">
        <v>3762</v>
      </c>
      <c r="C4960" s="3">
        <v>-13984.502</v>
      </c>
      <c r="D4960" s="3">
        <v>0</v>
      </c>
      <c r="E4960" s="3">
        <v>0</v>
      </c>
      <c r="F4960" s="3">
        <v>0</v>
      </c>
      <c r="G4960" s="3">
        <v>-437.86759748999998</v>
      </c>
      <c r="H4960" s="3">
        <v>-12676.219801788109</v>
      </c>
      <c r="I4960" s="3">
        <v>11350</v>
      </c>
      <c r="J4960" s="3">
        <v>0</v>
      </c>
      <c r="K4960" s="3">
        <v>17505.418868479999</v>
      </c>
      <c r="L4960" s="3">
        <v>0</v>
      </c>
      <c r="M4960" s="3">
        <v>0</v>
      </c>
      <c r="N4960" s="3">
        <v>0</v>
      </c>
      <c r="O4960">
        <v>2005.170530798106</v>
      </c>
      <c r="P4960">
        <v>5176588</v>
      </c>
    </row>
    <row r="4961" spans="1:16" x14ac:dyDescent="0.25">
      <c r="A4961" s="10">
        <v>44994</v>
      </c>
      <c r="B4961" s="3">
        <v>29472</v>
      </c>
      <c r="C4961" s="3">
        <v>-9513.4519999999993</v>
      </c>
      <c r="D4961" s="3">
        <v>-2000</v>
      </c>
      <c r="E4961" s="3">
        <v>0</v>
      </c>
      <c r="F4961" s="3">
        <v>0</v>
      </c>
      <c r="G4961" s="3">
        <v>2945.0597982000031</v>
      </c>
      <c r="H4961" s="3">
        <v>-111877.8167676278</v>
      </c>
      <c r="I4961" s="3">
        <v>78284.315777799988</v>
      </c>
      <c r="J4961" s="3">
        <v>0</v>
      </c>
      <c r="K4961" s="3">
        <v>67172.12905258</v>
      </c>
      <c r="L4961" s="3">
        <v>0</v>
      </c>
      <c r="M4961" s="3">
        <v>0</v>
      </c>
      <c r="N4961" s="3">
        <v>0</v>
      </c>
      <c r="O4961">
        <v>4461.7641390477729</v>
      </c>
      <c r="P4961">
        <v>5206060</v>
      </c>
    </row>
    <row r="4962" spans="1:16" x14ac:dyDescent="0.25">
      <c r="A4962" s="10">
        <v>44995</v>
      </c>
      <c r="B4962" s="3">
        <v>-17247</v>
      </c>
      <c r="C4962" s="3">
        <v>-15063.075999999999</v>
      </c>
      <c r="D4962" s="3">
        <v>0</v>
      </c>
      <c r="E4962" s="3">
        <v>0</v>
      </c>
      <c r="F4962" s="3">
        <v>0</v>
      </c>
      <c r="G4962" s="3">
        <v>-35.378769409999997</v>
      </c>
      <c r="H4962" s="3">
        <v>-20326.447371311151</v>
      </c>
      <c r="I4962" s="3">
        <v>0</v>
      </c>
      <c r="J4962" s="3">
        <v>0</v>
      </c>
      <c r="K4962" s="3">
        <v>6202.0812320600007</v>
      </c>
      <c r="L4962" s="3">
        <v>0</v>
      </c>
      <c r="M4962" s="3">
        <v>0</v>
      </c>
      <c r="N4962" s="3">
        <v>0</v>
      </c>
      <c r="O4962">
        <v>11975.82090866115</v>
      </c>
      <c r="P4962">
        <v>5188813</v>
      </c>
    </row>
    <row r="4963" spans="1:16" x14ac:dyDescent="0.25">
      <c r="A4963" s="10">
        <v>44998</v>
      </c>
      <c r="B4963" s="3">
        <v>-27691</v>
      </c>
      <c r="C4963" s="3">
        <v>-17620.763299999999</v>
      </c>
      <c r="D4963" s="3">
        <v>0</v>
      </c>
      <c r="E4963" s="3">
        <v>0</v>
      </c>
      <c r="F4963" s="3">
        <v>0</v>
      </c>
      <c r="G4963" s="3">
        <v>-1545.57156996</v>
      </c>
      <c r="H4963" s="3">
        <v>-28419.122788098291</v>
      </c>
      <c r="I4963" s="3">
        <v>0</v>
      </c>
      <c r="J4963" s="3">
        <v>0</v>
      </c>
      <c r="K4963" s="3">
        <v>18727.13295979</v>
      </c>
      <c r="L4963" s="3">
        <v>0</v>
      </c>
      <c r="M4963" s="3">
        <v>0</v>
      </c>
      <c r="N4963" s="3">
        <v>0</v>
      </c>
      <c r="O4963">
        <v>1167.324698268294</v>
      </c>
      <c r="P4963">
        <v>5161122</v>
      </c>
    </row>
    <row r="4964" spans="1:16" x14ac:dyDescent="0.25">
      <c r="A4964" s="10">
        <v>44999</v>
      </c>
      <c r="B4964" s="3">
        <v>128235</v>
      </c>
      <c r="C4964" s="3">
        <v>-29349.234499999999</v>
      </c>
      <c r="D4964" s="3">
        <v>0</v>
      </c>
      <c r="E4964" s="3">
        <v>0</v>
      </c>
      <c r="F4964" s="3">
        <v>0</v>
      </c>
      <c r="G4964" s="3">
        <v>2812.3008991099991</v>
      </c>
      <c r="H4964" s="3">
        <v>422635.16454842192</v>
      </c>
      <c r="I4964" s="3">
        <v>-325703.36760482012</v>
      </c>
      <c r="J4964" s="3">
        <v>0</v>
      </c>
      <c r="K4964" s="3">
        <v>58175.463501029997</v>
      </c>
      <c r="L4964" s="3">
        <v>0</v>
      </c>
      <c r="M4964" s="3">
        <v>0</v>
      </c>
      <c r="N4964" s="3">
        <v>0</v>
      </c>
      <c r="O4964">
        <v>-335.32684374184458</v>
      </c>
      <c r="P4964">
        <v>5289357</v>
      </c>
    </row>
    <row r="4965" spans="1:16" x14ac:dyDescent="0.25">
      <c r="A4965" s="10">
        <v>45000</v>
      </c>
      <c r="B4965" s="3">
        <v>-63661</v>
      </c>
      <c r="C4965" s="3">
        <v>-17592.32</v>
      </c>
      <c r="D4965" s="3">
        <v>-58000</v>
      </c>
      <c r="E4965" s="3">
        <v>0</v>
      </c>
      <c r="F4965" s="3">
        <v>0</v>
      </c>
      <c r="G4965" s="3">
        <v>-2077.18972257</v>
      </c>
      <c r="H4965" s="3">
        <v>-102360.95470019081</v>
      </c>
      <c r="I4965" s="3">
        <v>83205</v>
      </c>
      <c r="J4965" s="3">
        <v>0</v>
      </c>
      <c r="K4965" s="3">
        <v>42162.33517464</v>
      </c>
      <c r="L4965" s="3">
        <v>0</v>
      </c>
      <c r="M4965" s="3">
        <v>0</v>
      </c>
      <c r="N4965" s="3">
        <v>0</v>
      </c>
      <c r="O4965">
        <v>-8997.870751879178</v>
      </c>
      <c r="P4965">
        <v>5225696</v>
      </c>
    </row>
    <row r="4966" spans="1:16" x14ac:dyDescent="0.25">
      <c r="A4966" s="10">
        <v>45001</v>
      </c>
      <c r="B4966" s="3">
        <v>-20654</v>
      </c>
      <c r="C4966" s="3">
        <v>-19506.664499999999</v>
      </c>
      <c r="D4966" s="3">
        <v>0</v>
      </c>
      <c r="E4966" s="3">
        <v>0</v>
      </c>
      <c r="F4966" s="3">
        <v>0</v>
      </c>
      <c r="G4966" s="3">
        <v>2128.37715695</v>
      </c>
      <c r="H4966" s="3">
        <v>-157481.73930798989</v>
      </c>
      <c r="I4966" s="3">
        <v>107515.64710868</v>
      </c>
      <c r="J4966" s="3">
        <v>0</v>
      </c>
      <c r="K4966" s="3">
        <v>47459.349985460001</v>
      </c>
      <c r="L4966" s="3">
        <v>0</v>
      </c>
      <c r="M4966" s="3">
        <v>0</v>
      </c>
      <c r="N4966" s="3">
        <v>0</v>
      </c>
      <c r="O4966">
        <v>-768.97044310013735</v>
      </c>
      <c r="P4966">
        <v>5205042</v>
      </c>
    </row>
    <row r="4967" spans="1:16" x14ac:dyDescent="0.25">
      <c r="A4967" s="10">
        <v>45002</v>
      </c>
      <c r="B4967" s="3">
        <v>-57672</v>
      </c>
      <c r="C4967" s="3">
        <v>-28394.300999999999</v>
      </c>
      <c r="D4967" s="3">
        <v>0</v>
      </c>
      <c r="E4967" s="3">
        <v>130000</v>
      </c>
      <c r="F4967" s="3">
        <v>0</v>
      </c>
      <c r="G4967" s="3">
        <v>-128951.61552407</v>
      </c>
      <c r="H4967" s="3">
        <v>-38683.902420301209</v>
      </c>
      <c r="I4967" s="3">
        <v>0</v>
      </c>
      <c r="J4967" s="3">
        <v>0</v>
      </c>
      <c r="K4967" s="3">
        <v>5977.7656856199992</v>
      </c>
      <c r="L4967" s="3">
        <v>0</v>
      </c>
      <c r="M4967" s="3">
        <v>0</v>
      </c>
      <c r="N4967" s="3">
        <v>0</v>
      </c>
      <c r="O4967">
        <v>2380.0532587512212</v>
      </c>
      <c r="P4967">
        <v>5147370</v>
      </c>
    </row>
    <row r="4968" spans="1:16" x14ac:dyDescent="0.25">
      <c r="A4968" s="10">
        <v>45005</v>
      </c>
      <c r="B4968" s="3">
        <v>-71431</v>
      </c>
      <c r="C4968" s="3">
        <v>-53072.254000000001</v>
      </c>
      <c r="D4968" s="3">
        <v>0</v>
      </c>
      <c r="E4968" s="3">
        <v>0</v>
      </c>
      <c r="F4968" s="3">
        <v>0</v>
      </c>
      <c r="G4968" s="3">
        <v>470.32419160000012</v>
      </c>
      <c r="H4968" s="3">
        <v>-37486.633233508917</v>
      </c>
      <c r="I4968" s="3">
        <v>0</v>
      </c>
      <c r="J4968" s="3">
        <v>0</v>
      </c>
      <c r="K4968" s="3">
        <v>18162.215515600001</v>
      </c>
      <c r="L4968" s="3">
        <v>0</v>
      </c>
      <c r="M4968" s="3">
        <v>0</v>
      </c>
      <c r="N4968" s="3">
        <v>0</v>
      </c>
      <c r="O4968">
        <v>495.3475263089349</v>
      </c>
      <c r="P4968">
        <v>5075939</v>
      </c>
    </row>
    <row r="4969" spans="1:16" x14ac:dyDescent="0.25">
      <c r="A4969" s="10">
        <v>45006</v>
      </c>
      <c r="B4969" s="3">
        <v>2398</v>
      </c>
      <c r="C4969" s="3">
        <v>-20368.562999999998</v>
      </c>
      <c r="D4969" s="3">
        <v>0</v>
      </c>
      <c r="E4969" s="3">
        <v>0</v>
      </c>
      <c r="F4969" s="3">
        <v>0</v>
      </c>
      <c r="G4969" s="3">
        <v>41.388560639999987</v>
      </c>
      <c r="H4969" s="3">
        <v>511530.50404529099</v>
      </c>
      <c r="I4969" s="3">
        <v>-530460.74121487001</v>
      </c>
      <c r="J4969" s="3">
        <v>0</v>
      </c>
      <c r="K4969" s="3">
        <v>42575.985803900003</v>
      </c>
      <c r="L4969" s="3">
        <v>0</v>
      </c>
      <c r="M4969" s="3">
        <v>0</v>
      </c>
      <c r="N4969" s="3">
        <v>0</v>
      </c>
      <c r="O4969">
        <v>-920.57419496103103</v>
      </c>
      <c r="P4969">
        <v>5078337</v>
      </c>
    </row>
    <row r="4970" spans="1:16" x14ac:dyDescent="0.25">
      <c r="A4970" s="10">
        <v>45007</v>
      </c>
      <c r="B4970" s="3">
        <v>15041</v>
      </c>
      <c r="C4970" s="3">
        <v>-29913.495299999999</v>
      </c>
      <c r="D4970" s="3">
        <v>0</v>
      </c>
      <c r="E4970" s="3">
        <v>0</v>
      </c>
      <c r="F4970" s="3">
        <v>0</v>
      </c>
      <c r="G4970" s="3">
        <v>130992.35912973</v>
      </c>
      <c r="H4970" s="3">
        <v>-183735.57933224211</v>
      </c>
      <c r="I4970" s="3">
        <v>65765</v>
      </c>
      <c r="J4970" s="3">
        <v>0</v>
      </c>
      <c r="K4970" s="3">
        <v>33172.462950939997</v>
      </c>
      <c r="L4970" s="3">
        <v>0</v>
      </c>
      <c r="M4970" s="3">
        <v>0</v>
      </c>
      <c r="N4970" s="3">
        <v>0</v>
      </c>
      <c r="O4970">
        <v>-1239.7474484278609</v>
      </c>
      <c r="P4970">
        <v>5093378</v>
      </c>
    </row>
    <row r="4971" spans="1:16" x14ac:dyDescent="0.25">
      <c r="A4971" s="10">
        <v>45008</v>
      </c>
      <c r="B4971" s="3">
        <v>13644</v>
      </c>
      <c r="C4971" s="3">
        <v>-18111.923500000001</v>
      </c>
      <c r="D4971" s="3">
        <v>0</v>
      </c>
      <c r="E4971" s="3">
        <v>0</v>
      </c>
      <c r="F4971" s="3">
        <v>0</v>
      </c>
      <c r="G4971" s="3">
        <v>3502.62493653</v>
      </c>
      <c r="H4971" s="3">
        <v>170640.90974103101</v>
      </c>
      <c r="I4971" s="3">
        <v>-195001.63003765</v>
      </c>
      <c r="J4971" s="3">
        <v>0</v>
      </c>
      <c r="K4971" s="3">
        <v>51175.249235590003</v>
      </c>
      <c r="L4971" s="3">
        <v>0</v>
      </c>
      <c r="M4971" s="3">
        <v>0</v>
      </c>
      <c r="N4971" s="3">
        <v>0</v>
      </c>
      <c r="O4971">
        <v>1438.769624499007</v>
      </c>
      <c r="P4971">
        <v>5107022</v>
      </c>
    </row>
    <row r="4972" spans="1:16" x14ac:dyDescent="0.25">
      <c r="A4972" s="10">
        <v>45012</v>
      </c>
      <c r="B4972" s="3">
        <v>1686</v>
      </c>
      <c r="C4972" s="3">
        <v>-20398.617200000001</v>
      </c>
      <c r="D4972" s="3">
        <v>0</v>
      </c>
      <c r="E4972" s="3">
        <v>0</v>
      </c>
      <c r="F4972" s="3">
        <v>0</v>
      </c>
      <c r="G4972" s="3">
        <v>-78267.751209430018</v>
      </c>
      <c r="H4972" s="3">
        <v>47579.449057118967</v>
      </c>
      <c r="I4972" s="3">
        <v>0</v>
      </c>
      <c r="J4972" s="3">
        <v>0</v>
      </c>
      <c r="K4972" s="3">
        <v>20577.194670659999</v>
      </c>
      <c r="L4972" s="3">
        <v>0</v>
      </c>
      <c r="M4972" s="3">
        <v>0</v>
      </c>
      <c r="N4972" s="3">
        <v>0</v>
      </c>
      <c r="O4972">
        <v>32195.724681651049</v>
      </c>
      <c r="P4972">
        <v>5108708</v>
      </c>
    </row>
    <row r="4973" spans="1:16" x14ac:dyDescent="0.25">
      <c r="A4973" s="10">
        <v>45013</v>
      </c>
      <c r="B4973" s="3">
        <v>24857</v>
      </c>
      <c r="C4973" s="3">
        <v>-15541.2974216</v>
      </c>
      <c r="D4973" s="3">
        <v>0</v>
      </c>
      <c r="E4973" s="3">
        <v>0</v>
      </c>
      <c r="F4973" s="3">
        <v>0</v>
      </c>
      <c r="G4973" s="3">
        <v>2002.1763833699961</v>
      </c>
      <c r="H4973" s="3">
        <v>-92506.81270666112</v>
      </c>
      <c r="I4973" s="3">
        <v>61385.275466960004</v>
      </c>
      <c r="J4973" s="3">
        <v>0</v>
      </c>
      <c r="K4973" s="3">
        <v>65050.810723859999</v>
      </c>
      <c r="L4973" s="3">
        <v>0</v>
      </c>
      <c r="M4973" s="3">
        <v>0</v>
      </c>
      <c r="N4973" s="3">
        <v>0</v>
      </c>
      <c r="O4973">
        <v>4466.8475540711224</v>
      </c>
      <c r="P4973">
        <v>5133565</v>
      </c>
    </row>
    <row r="4974" spans="1:16" x14ac:dyDescent="0.25">
      <c r="A4974" s="10">
        <v>45014</v>
      </c>
      <c r="B4974" s="3">
        <v>-43437</v>
      </c>
      <c r="C4974" s="3">
        <v>-20290.5334</v>
      </c>
      <c r="D4974" s="3">
        <v>0</v>
      </c>
      <c r="E4974" s="3">
        <v>0</v>
      </c>
      <c r="F4974" s="3">
        <v>0</v>
      </c>
      <c r="G4974" s="3">
        <v>22.535465439999999</v>
      </c>
      <c r="H4974" s="3">
        <v>-159569.26876793179</v>
      </c>
      <c r="I4974" s="3">
        <v>89420</v>
      </c>
      <c r="J4974" s="3">
        <v>0</v>
      </c>
      <c r="K4974" s="3">
        <v>43190.945932359988</v>
      </c>
      <c r="L4974" s="3">
        <v>0</v>
      </c>
      <c r="M4974" s="3">
        <v>0</v>
      </c>
      <c r="N4974" s="3">
        <v>0</v>
      </c>
      <c r="O4974">
        <v>3789.3207701318101</v>
      </c>
      <c r="P4974">
        <v>5090128</v>
      </c>
    </row>
    <row r="4975" spans="1:16" x14ac:dyDescent="0.25">
      <c r="A4975" s="10">
        <v>45015</v>
      </c>
      <c r="B4975" s="3">
        <v>124125</v>
      </c>
      <c r="C4975" s="3">
        <v>-27454.915000000001</v>
      </c>
      <c r="D4975" s="3">
        <v>0</v>
      </c>
      <c r="E4975" s="3">
        <v>0</v>
      </c>
      <c r="F4975" s="3">
        <v>0</v>
      </c>
      <c r="G4975" s="3">
        <v>-324.09709295999988</v>
      </c>
      <c r="H4975" s="3">
        <v>42492.918904380851</v>
      </c>
      <c r="I4975" s="3">
        <v>-3625.2307180400089</v>
      </c>
      <c r="J4975" s="3">
        <v>0</v>
      </c>
      <c r="K4975" s="3">
        <v>78104.430717659998</v>
      </c>
      <c r="L4975" s="3">
        <v>0</v>
      </c>
      <c r="M4975" s="3">
        <v>0</v>
      </c>
      <c r="N4975" s="3">
        <v>0</v>
      </c>
      <c r="O4975">
        <v>34931.893188959162</v>
      </c>
      <c r="P4975">
        <v>5214253</v>
      </c>
    </row>
    <row r="4976" spans="1:16" x14ac:dyDescent="0.25">
      <c r="A4976" s="10">
        <v>45016</v>
      </c>
      <c r="B4976" s="3">
        <v>155229</v>
      </c>
      <c r="C4976" s="3">
        <v>-9410.3089999999993</v>
      </c>
      <c r="D4976" s="3">
        <v>0</v>
      </c>
      <c r="E4976" s="3">
        <v>0</v>
      </c>
      <c r="F4976" s="3">
        <v>0</v>
      </c>
      <c r="G4976" s="3">
        <v>-17148.26212471</v>
      </c>
      <c r="H4976" s="3">
        <v>75976.690983659515</v>
      </c>
      <c r="I4976" s="3">
        <v>0</v>
      </c>
      <c r="J4976" s="3">
        <v>0</v>
      </c>
      <c r="K4976" s="3">
        <v>5464.2504533699994</v>
      </c>
      <c r="L4976" s="3">
        <v>0</v>
      </c>
      <c r="M4976" s="3">
        <v>0</v>
      </c>
      <c r="N4976" s="3">
        <v>0</v>
      </c>
      <c r="O4976">
        <v>100346.6296876805</v>
      </c>
      <c r="P4976">
        <v>5369482</v>
      </c>
    </row>
    <row r="4977" spans="1:16" x14ac:dyDescent="0.25">
      <c r="A4977" s="10">
        <v>45019</v>
      </c>
      <c r="B4977" s="3">
        <v>-81887</v>
      </c>
      <c r="C4977" s="3">
        <v>-54550.387000000002</v>
      </c>
      <c r="D4977" s="3">
        <v>0</v>
      </c>
      <c r="E4977" s="3">
        <v>0</v>
      </c>
      <c r="F4977" s="3">
        <v>0</v>
      </c>
      <c r="G4977" s="3">
        <v>121.36414525000001</v>
      </c>
      <c r="H4977" s="3">
        <v>-43534.646687029723</v>
      </c>
      <c r="I4977" s="3">
        <v>0</v>
      </c>
      <c r="J4977" s="3">
        <v>0</v>
      </c>
      <c r="K4977" s="3">
        <v>15942.21495727</v>
      </c>
      <c r="L4977" s="3">
        <v>0</v>
      </c>
      <c r="M4977" s="3">
        <v>0</v>
      </c>
      <c r="N4977" s="3">
        <v>0</v>
      </c>
      <c r="O4977">
        <v>134.4545845097164</v>
      </c>
      <c r="P4977">
        <v>5287595</v>
      </c>
    </row>
    <row r="4978" spans="1:16" x14ac:dyDescent="0.25">
      <c r="A4978" s="10">
        <v>45020</v>
      </c>
      <c r="B4978" s="3">
        <v>-18131</v>
      </c>
      <c r="C4978" s="3">
        <v>-10412.668</v>
      </c>
      <c r="D4978" s="3">
        <v>0</v>
      </c>
      <c r="E4978" s="3">
        <v>0</v>
      </c>
      <c r="F4978" s="3">
        <v>0</v>
      </c>
      <c r="G4978" s="3">
        <v>-31.47663004</v>
      </c>
      <c r="H4978" s="3">
        <v>38344.073158068233</v>
      </c>
      <c r="I4978" s="3">
        <v>-109759.61920966</v>
      </c>
      <c r="J4978" s="3">
        <v>0</v>
      </c>
      <c r="K4978" s="3">
        <v>63161.305848749987</v>
      </c>
      <c r="L4978" s="3">
        <v>0</v>
      </c>
      <c r="M4978" s="3">
        <v>0</v>
      </c>
      <c r="N4978" s="3">
        <v>0</v>
      </c>
      <c r="O4978">
        <v>567.38483288178395</v>
      </c>
      <c r="P4978">
        <v>5269464</v>
      </c>
    </row>
    <row r="4979" spans="1:16" x14ac:dyDescent="0.25">
      <c r="A4979" s="10">
        <v>45021</v>
      </c>
      <c r="B4979" s="3">
        <v>166420</v>
      </c>
      <c r="C4979" s="3">
        <v>-23969.62</v>
      </c>
      <c r="D4979" s="3">
        <v>0</v>
      </c>
      <c r="E4979" s="3">
        <v>0</v>
      </c>
      <c r="F4979" s="3">
        <v>0</v>
      </c>
      <c r="G4979" s="3">
        <v>95451.402714150012</v>
      </c>
      <c r="H4979" s="3">
        <v>45524.102331169321</v>
      </c>
      <c r="I4979" s="3">
        <v>-26217.26679424</v>
      </c>
      <c r="J4979" s="3">
        <v>0</v>
      </c>
      <c r="K4979" s="3">
        <v>72953.00505901</v>
      </c>
      <c r="L4979" s="3">
        <v>0</v>
      </c>
      <c r="M4979" s="3">
        <v>0</v>
      </c>
      <c r="N4979" s="3">
        <v>0</v>
      </c>
      <c r="O4979">
        <v>2678.3766899106558</v>
      </c>
      <c r="P4979">
        <v>5435884</v>
      </c>
    </row>
    <row r="4980" spans="1:16" x14ac:dyDescent="0.25">
      <c r="A4980" s="10">
        <v>45026</v>
      </c>
      <c r="B4980" s="3">
        <v>-111824</v>
      </c>
      <c r="C4980" s="3">
        <v>-21040.890500000001</v>
      </c>
      <c r="D4980" s="3">
        <v>0</v>
      </c>
      <c r="E4980" s="3">
        <v>0</v>
      </c>
      <c r="F4980" s="3">
        <v>0</v>
      </c>
      <c r="G4980" s="3">
        <v>1151.9830483900009</v>
      </c>
      <c r="H4980" s="3">
        <v>-127763.21228402021</v>
      </c>
      <c r="I4980" s="3">
        <v>0</v>
      </c>
      <c r="J4980" s="3">
        <v>0</v>
      </c>
      <c r="K4980" s="3">
        <v>26173.70911448</v>
      </c>
      <c r="L4980" s="3">
        <v>0</v>
      </c>
      <c r="M4980" s="3">
        <v>0</v>
      </c>
      <c r="N4980" s="3">
        <v>0</v>
      </c>
      <c r="O4980">
        <v>9654.410621150193</v>
      </c>
      <c r="P4980">
        <v>5324060</v>
      </c>
    </row>
    <row r="4981" spans="1:16" x14ac:dyDescent="0.25">
      <c r="A4981" s="10">
        <v>45027</v>
      </c>
      <c r="B4981" s="3">
        <v>-37618</v>
      </c>
      <c r="C4981" s="3">
        <v>504.66306999999989</v>
      </c>
      <c r="D4981" s="3">
        <v>0</v>
      </c>
      <c r="E4981" s="3">
        <v>0</v>
      </c>
      <c r="F4981" s="3">
        <v>0</v>
      </c>
      <c r="G4981" s="3">
        <v>-84.337201710000002</v>
      </c>
      <c r="H4981" s="3">
        <v>-71721.809873100821</v>
      </c>
      <c r="I4981" s="3">
        <v>-96773.330926309995</v>
      </c>
      <c r="J4981" s="3">
        <v>0</v>
      </c>
      <c r="K4981" s="3">
        <v>76103.71678612</v>
      </c>
      <c r="L4981" s="3">
        <v>0</v>
      </c>
      <c r="M4981" s="3">
        <v>0</v>
      </c>
      <c r="N4981" s="3">
        <v>0</v>
      </c>
      <c r="O4981">
        <v>54353.098145000811</v>
      </c>
      <c r="P4981">
        <v>5286442</v>
      </c>
    </row>
    <row r="4982" spans="1:16" x14ac:dyDescent="0.25">
      <c r="A4982" s="10">
        <v>45028</v>
      </c>
      <c r="B4982" s="3">
        <v>-92437</v>
      </c>
      <c r="C4982" s="3">
        <v>8364.9507159999994</v>
      </c>
      <c r="D4982" s="3">
        <v>0</v>
      </c>
      <c r="E4982" s="3">
        <v>0</v>
      </c>
      <c r="F4982" s="3">
        <v>0</v>
      </c>
      <c r="G4982" s="3">
        <v>1380.2449364699989</v>
      </c>
      <c r="H4982" s="3">
        <v>-122880.1790647111</v>
      </c>
      <c r="I4982" s="3">
        <v>25125</v>
      </c>
      <c r="J4982" s="3">
        <v>0</v>
      </c>
      <c r="K4982" s="3">
        <v>16357.88247923</v>
      </c>
      <c r="L4982" s="3">
        <v>0</v>
      </c>
      <c r="M4982" s="3">
        <v>0</v>
      </c>
      <c r="N4982" s="3">
        <v>0</v>
      </c>
      <c r="O4982">
        <v>-20784.899066988899</v>
      </c>
      <c r="P4982">
        <v>5194005</v>
      </c>
    </row>
    <row r="4983" spans="1:16" x14ac:dyDescent="0.25">
      <c r="A4983" s="10">
        <v>45029</v>
      </c>
      <c r="B4983" s="3">
        <v>-6907</v>
      </c>
      <c r="C4983" s="3">
        <v>120422.057</v>
      </c>
      <c r="D4983" s="3">
        <v>0</v>
      </c>
      <c r="E4983" s="3">
        <v>0</v>
      </c>
      <c r="F4983" s="3">
        <v>0</v>
      </c>
      <c r="G4983" s="3">
        <v>-1229.825723950001</v>
      </c>
      <c r="H4983" s="3">
        <v>225441.0629722611</v>
      </c>
      <c r="I4983" s="3">
        <v>-282341.06348115997</v>
      </c>
      <c r="J4983" s="3">
        <v>0</v>
      </c>
      <c r="K4983" s="3">
        <v>41477.727039700003</v>
      </c>
      <c r="L4983" s="3">
        <v>0</v>
      </c>
      <c r="M4983" s="3">
        <v>0</v>
      </c>
      <c r="N4983" s="3">
        <v>0</v>
      </c>
      <c r="O4983">
        <v>-110676.957806851</v>
      </c>
      <c r="P4983">
        <v>5187098</v>
      </c>
    </row>
    <row r="4984" spans="1:16" x14ac:dyDescent="0.25">
      <c r="A4984" s="10">
        <v>45030</v>
      </c>
      <c r="B4984" s="3">
        <v>-39145</v>
      </c>
      <c r="C4984" s="3">
        <v>25517.683432000002</v>
      </c>
      <c r="D4984" s="3">
        <v>0</v>
      </c>
      <c r="E4984" s="3">
        <v>0</v>
      </c>
      <c r="F4984" s="3">
        <v>0</v>
      </c>
      <c r="G4984" s="3">
        <v>1513.77837443</v>
      </c>
      <c r="H4984" s="3">
        <v>-68889.249245741346</v>
      </c>
      <c r="I4984" s="3">
        <v>0</v>
      </c>
      <c r="J4984" s="3">
        <v>0</v>
      </c>
      <c r="K4984" s="3">
        <v>5425.8421204000006</v>
      </c>
      <c r="L4984" s="3">
        <v>0</v>
      </c>
      <c r="M4984" s="3">
        <v>0</v>
      </c>
      <c r="N4984" s="3">
        <v>0</v>
      </c>
      <c r="O4984">
        <v>-2713.054681088644</v>
      </c>
      <c r="P4984">
        <v>5147953</v>
      </c>
    </row>
    <row r="4985" spans="1:16" x14ac:dyDescent="0.25">
      <c r="A4985" s="10">
        <v>45033</v>
      </c>
      <c r="B4985" s="3">
        <v>24470</v>
      </c>
      <c r="C4985" s="3">
        <v>28042.309302000001</v>
      </c>
      <c r="D4985" s="3">
        <v>0</v>
      </c>
      <c r="E4985" s="3">
        <v>0</v>
      </c>
      <c r="F4985" s="3">
        <v>0</v>
      </c>
      <c r="G4985" s="3">
        <v>3723.6747403600102</v>
      </c>
      <c r="H4985" s="3">
        <v>-3751.2076304510492</v>
      </c>
      <c r="I4985" s="3">
        <v>0</v>
      </c>
      <c r="J4985" s="3">
        <v>0</v>
      </c>
      <c r="K4985" s="3">
        <v>16685.722746740001</v>
      </c>
      <c r="L4985" s="3">
        <v>0</v>
      </c>
      <c r="M4985" s="3">
        <v>0</v>
      </c>
      <c r="N4985" s="3">
        <v>0</v>
      </c>
      <c r="O4985">
        <v>-20230.49915864896</v>
      </c>
      <c r="P4985">
        <v>5172423</v>
      </c>
    </row>
    <row r="4986" spans="1:16" x14ac:dyDescent="0.25">
      <c r="A4986" s="10">
        <v>45034</v>
      </c>
      <c r="B4986" s="3">
        <v>-59636</v>
      </c>
      <c r="C4986" s="3">
        <v>3066.6012140000012</v>
      </c>
      <c r="D4986" s="3">
        <v>0</v>
      </c>
      <c r="E4986" s="3">
        <v>0</v>
      </c>
      <c r="F4986" s="3">
        <v>0</v>
      </c>
      <c r="G4986" s="3">
        <v>2447.6409514299999</v>
      </c>
      <c r="H4986" s="3">
        <v>-511583.06104943011</v>
      </c>
      <c r="I4986" s="3">
        <v>232510.04564915001</v>
      </c>
      <c r="J4986" s="3">
        <v>0</v>
      </c>
      <c r="K4986" s="3">
        <v>76619.576523079988</v>
      </c>
      <c r="L4986" s="3">
        <v>0</v>
      </c>
      <c r="M4986" s="3">
        <v>0</v>
      </c>
      <c r="N4986" s="3">
        <v>0</v>
      </c>
      <c r="O4986">
        <v>137303.19671177</v>
      </c>
      <c r="P4986">
        <v>5112787</v>
      </c>
    </row>
    <row r="4987" spans="1:16" x14ac:dyDescent="0.25">
      <c r="A4987" s="10">
        <v>45035</v>
      </c>
      <c r="B4987" s="3">
        <v>-17874</v>
      </c>
      <c r="C4987" s="3">
        <v>-43208.772199999999</v>
      </c>
      <c r="D4987" s="3">
        <v>0</v>
      </c>
      <c r="E4987" s="3">
        <v>0</v>
      </c>
      <c r="F4987" s="3">
        <v>0</v>
      </c>
      <c r="G4987" s="3">
        <v>2416.8589389600002</v>
      </c>
      <c r="H4987" s="3">
        <v>2001.854547230344</v>
      </c>
      <c r="I4987" s="3">
        <v>12885</v>
      </c>
      <c r="J4987" s="3">
        <v>0</v>
      </c>
      <c r="K4987" s="3">
        <v>12505.837951719999</v>
      </c>
      <c r="L4987" s="3">
        <v>0</v>
      </c>
      <c r="M4987" s="3">
        <v>0</v>
      </c>
      <c r="N4987" s="3">
        <v>0</v>
      </c>
      <c r="O4987">
        <v>-4474.779237910343</v>
      </c>
      <c r="P4987">
        <v>5094913</v>
      </c>
    </row>
    <row r="4988" spans="1:16" x14ac:dyDescent="0.25">
      <c r="A4988" s="10">
        <v>45036</v>
      </c>
      <c r="B4988" s="3">
        <v>-16507</v>
      </c>
      <c r="C4988" s="3">
        <v>15456.568264</v>
      </c>
      <c r="D4988" s="3">
        <v>0</v>
      </c>
      <c r="E4988" s="3">
        <v>0</v>
      </c>
      <c r="F4988" s="3">
        <v>0</v>
      </c>
      <c r="G4988" s="3">
        <v>-249.228817629997</v>
      </c>
      <c r="H4988" s="3">
        <v>-41299.95531590793</v>
      </c>
      <c r="I4988" s="3">
        <v>-36430.127780500014</v>
      </c>
      <c r="J4988" s="3">
        <v>0</v>
      </c>
      <c r="K4988" s="3">
        <v>65764.087568450006</v>
      </c>
      <c r="L4988" s="3">
        <v>0</v>
      </c>
      <c r="M4988" s="3">
        <v>0</v>
      </c>
      <c r="N4988" s="3">
        <v>0</v>
      </c>
      <c r="O4988">
        <v>-19748.343918412069</v>
      </c>
      <c r="P4988">
        <v>5078406</v>
      </c>
    </row>
    <row r="4989" spans="1:16" x14ac:dyDescent="0.25">
      <c r="A4989" s="10">
        <v>45037</v>
      </c>
      <c r="B4989" s="3">
        <v>39245</v>
      </c>
      <c r="C4989" s="3">
        <v>78409.805756999995</v>
      </c>
      <c r="D4989" s="3">
        <v>0</v>
      </c>
      <c r="E4989" s="3">
        <v>100000</v>
      </c>
      <c r="F4989" s="3">
        <v>0</v>
      </c>
      <c r="G4989" s="3">
        <v>-192964.43195602001</v>
      </c>
      <c r="H4989" s="3">
        <v>91575.362193868496</v>
      </c>
      <c r="I4989" s="3">
        <v>0</v>
      </c>
      <c r="J4989" s="3">
        <v>0</v>
      </c>
      <c r="K4989" s="3">
        <v>6932.9332862900001</v>
      </c>
      <c r="L4989" s="3">
        <v>0</v>
      </c>
      <c r="M4989" s="3">
        <v>0</v>
      </c>
      <c r="N4989" s="3">
        <v>0</v>
      </c>
      <c r="O4989">
        <v>-44708.669281138493</v>
      </c>
      <c r="P4989">
        <v>5117651</v>
      </c>
    </row>
    <row r="4990" spans="1:16" x14ac:dyDescent="0.25">
      <c r="A4990" s="10">
        <v>45040</v>
      </c>
      <c r="B4990" s="3">
        <v>-17041</v>
      </c>
      <c r="C4990" s="3">
        <v>31691.725805999999</v>
      </c>
      <c r="D4990" s="3">
        <v>0</v>
      </c>
      <c r="E4990" s="3">
        <v>0</v>
      </c>
      <c r="F4990" s="3">
        <v>0</v>
      </c>
      <c r="G4990" s="3">
        <v>-236.99364992001301</v>
      </c>
      <c r="H4990" s="3">
        <v>-32050.284786769698</v>
      </c>
      <c r="I4990" s="3">
        <v>0</v>
      </c>
      <c r="J4990" s="3">
        <v>0</v>
      </c>
      <c r="K4990" s="3">
        <v>20234.923899820002</v>
      </c>
      <c r="L4990" s="3">
        <v>0</v>
      </c>
      <c r="M4990" s="3">
        <v>0</v>
      </c>
      <c r="N4990" s="3">
        <v>0</v>
      </c>
      <c r="O4990">
        <v>-36680.371269130294</v>
      </c>
      <c r="P4990">
        <v>5100610</v>
      </c>
    </row>
    <row r="4991" spans="1:16" x14ac:dyDescent="0.25">
      <c r="A4991" s="10">
        <v>45041</v>
      </c>
      <c r="B4991" s="3">
        <v>9354</v>
      </c>
      <c r="C4991" s="3">
        <v>13850.649385000001</v>
      </c>
      <c r="D4991" s="3">
        <v>0</v>
      </c>
      <c r="E4991" s="3">
        <v>0</v>
      </c>
      <c r="F4991" s="3">
        <v>0</v>
      </c>
      <c r="G4991" s="3">
        <v>122.6355989300355</v>
      </c>
      <c r="H4991" s="3">
        <v>-42493.49423108741</v>
      </c>
      <c r="I4991" s="3">
        <v>-198582.64591296</v>
      </c>
      <c r="J4991" s="3">
        <v>0</v>
      </c>
      <c r="K4991" s="3">
        <v>65538.41371542</v>
      </c>
      <c r="L4991" s="3">
        <v>0</v>
      </c>
      <c r="M4991" s="3">
        <v>0</v>
      </c>
      <c r="N4991" s="3">
        <v>0</v>
      </c>
      <c r="O4991">
        <v>170918.44144469741</v>
      </c>
      <c r="P4991">
        <v>5109964</v>
      </c>
    </row>
    <row r="4992" spans="1:16" x14ac:dyDescent="0.25">
      <c r="A4992" s="10">
        <v>45042</v>
      </c>
      <c r="B4992" s="3">
        <v>18756</v>
      </c>
      <c r="C4992" s="3">
        <v>-8097.2033820000024</v>
      </c>
      <c r="D4992" s="3">
        <v>0</v>
      </c>
      <c r="E4992" s="3">
        <v>0</v>
      </c>
      <c r="F4992" s="3">
        <v>0</v>
      </c>
      <c r="G4992" s="3">
        <v>180599.94383469</v>
      </c>
      <c r="H4992" s="3">
        <v>-278838.05072972988</v>
      </c>
      <c r="I4992" s="3">
        <v>35675</v>
      </c>
      <c r="J4992" s="3">
        <v>0</v>
      </c>
      <c r="K4992" s="3">
        <v>22522.484623280001</v>
      </c>
      <c r="L4992" s="3">
        <v>0</v>
      </c>
      <c r="M4992" s="3">
        <v>0</v>
      </c>
      <c r="N4992" s="3">
        <v>0</v>
      </c>
      <c r="O4992">
        <v>66893.825653759966</v>
      </c>
      <c r="P4992">
        <v>5128720</v>
      </c>
    </row>
    <row r="4993" spans="1:16" x14ac:dyDescent="0.25">
      <c r="A4993" s="10">
        <v>45043</v>
      </c>
      <c r="B4993" s="3">
        <v>70318</v>
      </c>
      <c r="C4993" s="3">
        <v>-11737.468621</v>
      </c>
      <c r="D4993" s="3">
        <v>0</v>
      </c>
      <c r="E4993" s="3">
        <v>0</v>
      </c>
      <c r="F4993" s="3">
        <v>0</v>
      </c>
      <c r="G4993" s="3">
        <v>5950.5617817799966</v>
      </c>
      <c r="H4993" s="3">
        <v>2324.7594833502289</v>
      </c>
      <c r="I4993" s="3">
        <v>15933.09845587</v>
      </c>
      <c r="J4993" s="3">
        <v>0</v>
      </c>
      <c r="K4993" s="3">
        <v>83146.891157129998</v>
      </c>
      <c r="L4993" s="3">
        <v>0</v>
      </c>
      <c r="M4993" s="3">
        <v>0</v>
      </c>
      <c r="N4993" s="3">
        <v>0</v>
      </c>
      <c r="O4993">
        <v>-25299.842257130222</v>
      </c>
      <c r="P4993">
        <v>5199038</v>
      </c>
    </row>
    <row r="4994" spans="1:16" x14ac:dyDescent="0.25">
      <c r="A4994" s="10">
        <v>45044</v>
      </c>
      <c r="B4994" s="3">
        <v>167560</v>
      </c>
      <c r="C4994" s="3">
        <v>-8757.2552939999987</v>
      </c>
      <c r="D4994" s="3">
        <v>0</v>
      </c>
      <c r="E4994" s="3">
        <v>0</v>
      </c>
      <c r="F4994" s="3">
        <v>0</v>
      </c>
      <c r="G4994" s="3">
        <v>-201920.00317608999</v>
      </c>
      <c r="H4994" s="3">
        <v>195530.8300742002</v>
      </c>
      <c r="I4994" s="3">
        <v>0</v>
      </c>
      <c r="J4994" s="3">
        <v>0</v>
      </c>
      <c r="K4994" s="3">
        <v>8461.7805486300003</v>
      </c>
      <c r="L4994" s="3">
        <v>0</v>
      </c>
      <c r="M4994" s="3">
        <v>0</v>
      </c>
      <c r="N4994" s="3">
        <v>0</v>
      </c>
      <c r="O4994">
        <v>174244.64784725991</v>
      </c>
      <c r="P4994">
        <v>5366598</v>
      </c>
    </row>
    <row r="4995" spans="1:16" x14ac:dyDescent="0.25">
      <c r="A4995" s="10">
        <v>45048</v>
      </c>
      <c r="B4995" s="3">
        <v>50067</v>
      </c>
      <c r="C4995" s="3">
        <v>-25753.754272000009</v>
      </c>
      <c r="D4995" s="3">
        <v>0</v>
      </c>
      <c r="E4995" s="3">
        <v>0</v>
      </c>
      <c r="F4995" s="3">
        <v>0</v>
      </c>
      <c r="G4995" s="3">
        <v>191186.64881536999</v>
      </c>
      <c r="H4995" s="3">
        <v>114651.2309629291</v>
      </c>
      <c r="I4995" s="3">
        <v>-310984.55595119001</v>
      </c>
      <c r="J4995" s="3">
        <v>0</v>
      </c>
      <c r="K4995" s="3">
        <v>98661.405865659995</v>
      </c>
      <c r="L4995" s="3">
        <v>0</v>
      </c>
      <c r="M4995" s="3">
        <v>0</v>
      </c>
      <c r="N4995" s="3">
        <v>0</v>
      </c>
      <c r="O4995">
        <v>-17693.97542076906</v>
      </c>
      <c r="P4995">
        <v>5416665</v>
      </c>
    </row>
    <row r="4996" spans="1:16" x14ac:dyDescent="0.25">
      <c r="A4996" s="10">
        <v>45049</v>
      </c>
      <c r="B4996" s="3">
        <v>13897</v>
      </c>
      <c r="C4996" s="3">
        <v>-21339.589703000001</v>
      </c>
      <c r="D4996" s="3">
        <v>0</v>
      </c>
      <c r="E4996" s="3">
        <v>0</v>
      </c>
      <c r="F4996" s="3">
        <v>0</v>
      </c>
      <c r="G4996" s="3">
        <v>136.891586570002</v>
      </c>
      <c r="H4996" s="3">
        <v>26707.41579363971</v>
      </c>
      <c r="I4996" s="3">
        <v>23225</v>
      </c>
      <c r="J4996" s="3">
        <v>0</v>
      </c>
      <c r="K4996" s="3">
        <v>17556.474578279998</v>
      </c>
      <c r="L4996" s="3">
        <v>0</v>
      </c>
      <c r="M4996" s="3">
        <v>0</v>
      </c>
      <c r="N4996" s="3">
        <v>0</v>
      </c>
      <c r="O4996">
        <v>-32389.192255489721</v>
      </c>
      <c r="P4996">
        <v>5430562</v>
      </c>
    </row>
    <row r="4997" spans="1:16" x14ac:dyDescent="0.25">
      <c r="A4997" s="10">
        <v>45050</v>
      </c>
      <c r="B4997" s="3">
        <v>47662</v>
      </c>
      <c r="C4997" s="3">
        <v>7319.1570759999959</v>
      </c>
      <c r="D4997" s="3">
        <v>-100200</v>
      </c>
      <c r="E4997" s="3">
        <v>140000</v>
      </c>
      <c r="F4997" s="3">
        <v>0</v>
      </c>
      <c r="G4997" s="3">
        <v>-39771.72902382999</v>
      </c>
      <c r="H4997" s="3">
        <v>111881.66883055891</v>
      </c>
      <c r="I4997" s="3">
        <v>-112438.63458986999</v>
      </c>
      <c r="J4997" s="3">
        <v>0</v>
      </c>
      <c r="K4997" s="3">
        <v>72282.578401220002</v>
      </c>
      <c r="L4997" s="3">
        <v>0</v>
      </c>
      <c r="M4997" s="3">
        <v>0</v>
      </c>
      <c r="N4997" s="3">
        <v>0</v>
      </c>
      <c r="O4997">
        <v>-31411.040694078911</v>
      </c>
      <c r="P4997">
        <v>5478224</v>
      </c>
    </row>
    <row r="4998" spans="1:16" x14ac:dyDescent="0.25">
      <c r="A4998" s="10">
        <v>45051</v>
      </c>
      <c r="B4998" s="3">
        <v>-1830</v>
      </c>
      <c r="C4998" s="3">
        <v>8492.0560120000009</v>
      </c>
      <c r="D4998" s="3">
        <v>0</v>
      </c>
      <c r="E4998" s="3">
        <v>0</v>
      </c>
      <c r="F4998" s="3">
        <v>0</v>
      </c>
      <c r="G4998" s="3">
        <v>39917.229768549987</v>
      </c>
      <c r="H4998" s="3">
        <v>9772.0998851814911</v>
      </c>
      <c r="I4998" s="3">
        <v>0</v>
      </c>
      <c r="J4998" s="3">
        <v>0</v>
      </c>
      <c r="K4998" s="3">
        <v>7416.4980393299993</v>
      </c>
      <c r="L4998" s="3">
        <v>0</v>
      </c>
      <c r="M4998" s="3">
        <v>0</v>
      </c>
      <c r="N4998" s="3">
        <v>0</v>
      </c>
      <c r="O4998">
        <v>-67427.883705061482</v>
      </c>
      <c r="P4998">
        <v>5476394</v>
      </c>
    </row>
    <row r="4999" spans="1:16" x14ac:dyDescent="0.25">
      <c r="A4999" s="10">
        <v>45054</v>
      </c>
      <c r="B4999" s="3">
        <v>-35436</v>
      </c>
      <c r="C4999" s="3">
        <v>4601.4954610000004</v>
      </c>
      <c r="D4999" s="3">
        <v>0</v>
      </c>
      <c r="E4999" s="3">
        <v>0</v>
      </c>
      <c r="F4999" s="3">
        <v>0</v>
      </c>
      <c r="G4999" s="3">
        <v>4287.9017611399977</v>
      </c>
      <c r="H4999" s="3">
        <v>-44465.322834099257</v>
      </c>
      <c r="I4999" s="3">
        <v>0</v>
      </c>
      <c r="J4999" s="3">
        <v>0</v>
      </c>
      <c r="K4999" s="3">
        <v>22182.37913374</v>
      </c>
      <c r="L4999" s="3">
        <v>0</v>
      </c>
      <c r="M4999" s="3">
        <v>0</v>
      </c>
      <c r="N4999" s="3">
        <v>0</v>
      </c>
      <c r="O4999">
        <v>-22042.453521780739</v>
      </c>
      <c r="P4999">
        <v>5440958</v>
      </c>
    </row>
    <row r="5000" spans="1:16" x14ac:dyDescent="0.25">
      <c r="A5000" s="10">
        <v>45055</v>
      </c>
      <c r="B5000" s="3">
        <v>31979</v>
      </c>
      <c r="C5000" s="3">
        <v>4533.2817310000009</v>
      </c>
      <c r="D5000" s="3">
        <v>0</v>
      </c>
      <c r="E5000" s="3">
        <v>150000</v>
      </c>
      <c r="F5000" s="3">
        <v>0</v>
      </c>
      <c r="G5000" s="3">
        <v>-138010.66186461999</v>
      </c>
      <c r="H5000" s="3">
        <v>162508.86735989209</v>
      </c>
      <c r="I5000" s="3">
        <v>-206370.49524364999</v>
      </c>
      <c r="J5000" s="3">
        <v>0</v>
      </c>
      <c r="K5000" s="3">
        <v>86729.911292019999</v>
      </c>
      <c r="L5000" s="3">
        <v>0</v>
      </c>
      <c r="M5000" s="3">
        <v>0</v>
      </c>
      <c r="N5000" s="3">
        <v>0</v>
      </c>
      <c r="O5000">
        <v>-27411.903274642129</v>
      </c>
      <c r="P5000">
        <v>5472937</v>
      </c>
    </row>
    <row r="5001" spans="1:16" x14ac:dyDescent="0.25">
      <c r="A5001" s="10">
        <v>45056</v>
      </c>
      <c r="B5001" s="3">
        <v>-51923</v>
      </c>
      <c r="C5001" s="3">
        <v>7069.892323</v>
      </c>
      <c r="D5001" s="3">
        <v>0</v>
      </c>
      <c r="E5001" s="3">
        <v>0</v>
      </c>
      <c r="F5001" s="3">
        <v>0</v>
      </c>
      <c r="G5001" s="3">
        <v>99892.02859011</v>
      </c>
      <c r="H5001" s="3">
        <v>-152670.96251265999</v>
      </c>
      <c r="I5001" s="3">
        <v>19575</v>
      </c>
      <c r="J5001" s="3">
        <v>0</v>
      </c>
      <c r="K5001" s="3">
        <v>15459.32780074</v>
      </c>
      <c r="L5001" s="3">
        <v>0</v>
      </c>
      <c r="M5001" s="3">
        <v>0</v>
      </c>
      <c r="N5001" s="3">
        <v>0</v>
      </c>
      <c r="O5001">
        <v>-41248.286201189992</v>
      </c>
      <c r="P5001">
        <v>5421014</v>
      </c>
    </row>
    <row r="5002" spans="1:16" x14ac:dyDescent="0.25">
      <c r="A5002" s="10">
        <v>45057</v>
      </c>
      <c r="B5002" s="3">
        <v>-8233</v>
      </c>
      <c r="C5002" s="3">
        <v>14049.315388000001</v>
      </c>
      <c r="D5002" s="3">
        <v>0</v>
      </c>
      <c r="E5002" s="3">
        <v>150000</v>
      </c>
      <c r="F5002" s="3">
        <v>0</v>
      </c>
      <c r="G5002" s="3">
        <v>-150561.02676702</v>
      </c>
      <c r="H5002" s="3">
        <v>431729.87519075122</v>
      </c>
      <c r="I5002" s="3">
        <v>-491181.66509313002</v>
      </c>
      <c r="J5002" s="3">
        <v>0</v>
      </c>
      <c r="K5002" s="3">
        <v>61399.980278080002</v>
      </c>
      <c r="L5002" s="3">
        <v>0</v>
      </c>
      <c r="M5002" s="3">
        <v>0</v>
      </c>
      <c r="N5002" s="3">
        <v>0</v>
      </c>
      <c r="O5002">
        <v>-23669.478996681191</v>
      </c>
      <c r="P5002">
        <v>5412781</v>
      </c>
    </row>
    <row r="5003" spans="1:16" x14ac:dyDescent="0.25">
      <c r="A5003" s="10">
        <v>45058</v>
      </c>
      <c r="B5003" s="3">
        <v>-79392</v>
      </c>
      <c r="C5003" s="3">
        <v>29851.084433</v>
      </c>
      <c r="D5003" s="3">
        <v>0</v>
      </c>
      <c r="E5003" s="3">
        <v>0</v>
      </c>
      <c r="F5003" s="3">
        <v>0</v>
      </c>
      <c r="G5003" s="3">
        <v>151836.93589466001</v>
      </c>
      <c r="H5003" s="3">
        <v>-265599.84751580987</v>
      </c>
      <c r="I5003" s="3">
        <v>0</v>
      </c>
      <c r="J5003" s="3">
        <v>0</v>
      </c>
      <c r="K5003" s="3">
        <v>6469.3798278200002</v>
      </c>
      <c r="L5003" s="3">
        <v>0</v>
      </c>
      <c r="M5003" s="3">
        <v>0</v>
      </c>
      <c r="N5003" s="3">
        <v>0</v>
      </c>
      <c r="O5003">
        <v>-1949.5526396700441</v>
      </c>
      <c r="P5003">
        <v>5333389</v>
      </c>
    </row>
    <row r="5004" spans="1:16" x14ac:dyDescent="0.25">
      <c r="A5004" s="10">
        <v>45061</v>
      </c>
      <c r="B5004" s="3">
        <v>-59920</v>
      </c>
      <c r="C5004" s="3">
        <v>19133.1512</v>
      </c>
      <c r="D5004" s="3">
        <v>-47000</v>
      </c>
      <c r="E5004" s="3">
        <v>0</v>
      </c>
      <c r="F5004" s="3">
        <v>0</v>
      </c>
      <c r="G5004" s="3">
        <v>47331.167170409994</v>
      </c>
      <c r="H5004" s="3">
        <v>-111911.08813905891</v>
      </c>
      <c r="I5004" s="3">
        <v>0</v>
      </c>
      <c r="J5004" s="3">
        <v>0</v>
      </c>
      <c r="K5004" s="3">
        <v>21263.875465230001</v>
      </c>
      <c r="L5004" s="3">
        <v>0</v>
      </c>
      <c r="M5004" s="3">
        <v>0</v>
      </c>
      <c r="N5004" s="3">
        <v>0</v>
      </c>
      <c r="O5004">
        <v>11262.894303418871</v>
      </c>
      <c r="P5004">
        <v>5273469</v>
      </c>
    </row>
    <row r="5005" spans="1:16" x14ac:dyDescent="0.25">
      <c r="A5005" s="10">
        <v>45062</v>
      </c>
      <c r="B5005" s="3">
        <v>-9517</v>
      </c>
      <c r="C5005" s="3">
        <v>17408.473379999999</v>
      </c>
      <c r="D5005" s="3">
        <v>0</v>
      </c>
      <c r="E5005" s="3">
        <v>0</v>
      </c>
      <c r="F5005" s="3">
        <v>0</v>
      </c>
      <c r="G5005" s="3">
        <v>-1130.2962694099999</v>
      </c>
      <c r="H5005" s="3">
        <v>111774.9436354622</v>
      </c>
      <c r="I5005" s="3">
        <v>-147351.66918219</v>
      </c>
      <c r="J5005" s="3">
        <v>0</v>
      </c>
      <c r="K5005" s="3">
        <v>65005.163269610013</v>
      </c>
      <c r="L5005" s="3">
        <v>0</v>
      </c>
      <c r="M5005" s="3">
        <v>0</v>
      </c>
      <c r="N5005" s="3">
        <v>0</v>
      </c>
      <c r="O5005">
        <v>-55223.614833472209</v>
      </c>
      <c r="P5005">
        <v>5263952</v>
      </c>
    </row>
    <row r="5006" spans="1:16" x14ac:dyDescent="0.25">
      <c r="A5006" s="10">
        <v>45063</v>
      </c>
      <c r="B5006" s="3">
        <v>-29800</v>
      </c>
      <c r="C5006" s="3">
        <v>23307.536023000001</v>
      </c>
      <c r="D5006" s="3">
        <v>0</v>
      </c>
      <c r="E5006" s="3">
        <v>0</v>
      </c>
      <c r="F5006" s="3">
        <v>0</v>
      </c>
      <c r="G5006" s="3">
        <v>2011.6870713200001</v>
      </c>
      <c r="H5006" s="3">
        <v>-139882.55466391001</v>
      </c>
      <c r="I5006" s="3">
        <v>16875</v>
      </c>
      <c r="J5006" s="3">
        <v>0</v>
      </c>
      <c r="K5006" s="3">
        <v>14946.45402623</v>
      </c>
      <c r="L5006" s="3">
        <v>0</v>
      </c>
      <c r="M5006" s="3">
        <v>0</v>
      </c>
      <c r="N5006" s="3">
        <v>0</v>
      </c>
      <c r="O5006">
        <v>52941.877543360053</v>
      </c>
      <c r="P5006">
        <v>5234152</v>
      </c>
    </row>
    <row r="5007" spans="1:16" x14ac:dyDescent="0.25">
      <c r="A5007" s="10">
        <v>45064</v>
      </c>
      <c r="B5007" s="3">
        <v>50954</v>
      </c>
      <c r="C5007" s="3">
        <v>15782.212124</v>
      </c>
      <c r="D5007" s="3">
        <v>0</v>
      </c>
      <c r="E5007" s="3">
        <v>0</v>
      </c>
      <c r="F5007" s="3">
        <v>0</v>
      </c>
      <c r="G5007" s="3">
        <v>756.09940539000002</v>
      </c>
      <c r="H5007" s="3">
        <v>-92130.906319271555</v>
      </c>
      <c r="I5007" s="3">
        <v>28432.109376349999</v>
      </c>
      <c r="J5007" s="3">
        <v>0</v>
      </c>
      <c r="K5007" s="3">
        <v>71667.148200740005</v>
      </c>
      <c r="L5007" s="3">
        <v>0</v>
      </c>
      <c r="M5007" s="3">
        <v>0</v>
      </c>
      <c r="N5007" s="3">
        <v>0</v>
      </c>
      <c r="O5007">
        <v>26447.33721279155</v>
      </c>
      <c r="P5007">
        <v>5285106</v>
      </c>
    </row>
    <row r="5008" spans="1:16" x14ac:dyDescent="0.25">
      <c r="A5008" s="10">
        <v>45065</v>
      </c>
      <c r="B5008" s="3">
        <v>7265</v>
      </c>
      <c r="C5008" s="3">
        <v>33668.792438999997</v>
      </c>
      <c r="D5008" s="3">
        <v>-25000</v>
      </c>
      <c r="E5008" s="3">
        <v>0</v>
      </c>
      <c r="F5008" s="3">
        <v>0</v>
      </c>
      <c r="G5008" s="3">
        <v>-17876.113346059999</v>
      </c>
      <c r="H5008" s="3">
        <v>-22595.886360570861</v>
      </c>
      <c r="I5008" s="3">
        <v>0</v>
      </c>
      <c r="J5008" s="3">
        <v>0</v>
      </c>
      <c r="K5008" s="3">
        <v>8166.783437</v>
      </c>
      <c r="L5008" s="3">
        <v>0</v>
      </c>
      <c r="M5008" s="3">
        <v>0</v>
      </c>
      <c r="N5008" s="3">
        <v>0</v>
      </c>
      <c r="O5008">
        <v>30901.423830630862</v>
      </c>
      <c r="P5008">
        <v>5292371</v>
      </c>
    </row>
    <row r="5009" spans="1:16" x14ac:dyDescent="0.25">
      <c r="A5009" s="10">
        <v>45068</v>
      </c>
      <c r="B5009" s="3">
        <v>38561</v>
      </c>
      <c r="C5009" s="3">
        <v>13515.337242</v>
      </c>
      <c r="D5009" s="3">
        <v>0</v>
      </c>
      <c r="E5009" s="3">
        <v>0</v>
      </c>
      <c r="F5009" s="3">
        <v>0</v>
      </c>
      <c r="G5009" s="3">
        <v>172.03902037</v>
      </c>
      <c r="H5009" s="3">
        <v>-15743.76155486992</v>
      </c>
      <c r="I5009" s="3">
        <v>0</v>
      </c>
      <c r="J5009" s="3">
        <v>0</v>
      </c>
      <c r="K5009" s="3">
        <v>24669.209103230001</v>
      </c>
      <c r="L5009" s="3">
        <v>0</v>
      </c>
      <c r="M5009" s="3">
        <v>0</v>
      </c>
      <c r="N5009" s="3">
        <v>0</v>
      </c>
      <c r="O5009">
        <v>15948.176189269911</v>
      </c>
      <c r="P5009">
        <v>5330932</v>
      </c>
    </row>
    <row r="5010" spans="1:16" x14ac:dyDescent="0.25">
      <c r="A5010" s="10">
        <v>45069</v>
      </c>
      <c r="B5010" s="3">
        <v>30693</v>
      </c>
      <c r="C5010" s="3">
        <v>7542.6998879999992</v>
      </c>
      <c r="D5010" s="3">
        <v>0</v>
      </c>
      <c r="E5010" s="3">
        <v>0</v>
      </c>
      <c r="F5010" s="3">
        <v>0</v>
      </c>
      <c r="G5010" s="3">
        <v>-159855.19071125</v>
      </c>
      <c r="H5010" s="3">
        <v>47711.008346241972</v>
      </c>
      <c r="I5010" s="3">
        <v>51364.441476910011</v>
      </c>
      <c r="J5010" s="3">
        <v>0</v>
      </c>
      <c r="K5010" s="3">
        <v>81588.258535639994</v>
      </c>
      <c r="L5010" s="3">
        <v>0</v>
      </c>
      <c r="M5010" s="3">
        <v>0</v>
      </c>
      <c r="N5010" s="3">
        <v>0</v>
      </c>
      <c r="O5010">
        <v>2341.7824644580251</v>
      </c>
      <c r="P5010">
        <v>5361625</v>
      </c>
    </row>
    <row r="5011" spans="1:16" x14ac:dyDescent="0.25">
      <c r="A5011" s="10">
        <v>45070</v>
      </c>
      <c r="B5011" s="3">
        <v>68566</v>
      </c>
      <c r="C5011" s="3">
        <v>47481.696874000001</v>
      </c>
      <c r="D5011" s="3">
        <v>0</v>
      </c>
      <c r="E5011" s="3">
        <v>0</v>
      </c>
      <c r="F5011" s="3">
        <v>0</v>
      </c>
      <c r="G5011" s="3">
        <v>-122.5604578699858</v>
      </c>
      <c r="H5011" s="3">
        <v>-251433.72636532079</v>
      </c>
      <c r="I5011" s="3">
        <v>184837.07279625</v>
      </c>
      <c r="J5011" s="3">
        <v>0</v>
      </c>
      <c r="K5011" s="3">
        <v>97452.896151680005</v>
      </c>
      <c r="L5011" s="3">
        <v>0</v>
      </c>
      <c r="M5011" s="3">
        <v>0</v>
      </c>
      <c r="N5011" s="3">
        <v>0</v>
      </c>
      <c r="O5011">
        <v>-9649.3789987391938</v>
      </c>
      <c r="P5011">
        <v>5430191</v>
      </c>
    </row>
    <row r="5012" spans="1:16" x14ac:dyDescent="0.25">
      <c r="A5012" s="10">
        <v>45075</v>
      </c>
      <c r="B5012" s="3">
        <v>13697</v>
      </c>
      <c r="C5012" s="3">
        <v>4758.8654859999988</v>
      </c>
      <c r="D5012" s="3">
        <v>0</v>
      </c>
      <c r="E5012" s="3">
        <v>0</v>
      </c>
      <c r="F5012" s="3">
        <v>0</v>
      </c>
      <c r="G5012" s="3">
        <v>-194.95596397</v>
      </c>
      <c r="H5012" s="3">
        <v>-11646.645138409889</v>
      </c>
      <c r="I5012" s="3">
        <v>0</v>
      </c>
      <c r="J5012" s="3">
        <v>0</v>
      </c>
      <c r="K5012" s="3">
        <v>43852.14581917</v>
      </c>
      <c r="L5012" s="3">
        <v>0</v>
      </c>
      <c r="M5012" s="3">
        <v>0</v>
      </c>
      <c r="N5012" s="3">
        <v>0</v>
      </c>
      <c r="O5012">
        <v>-23072.410202790099</v>
      </c>
      <c r="P5012">
        <v>5443888</v>
      </c>
    </row>
    <row r="5013" spans="1:16" x14ac:dyDescent="0.25">
      <c r="A5013" s="10">
        <v>45076</v>
      </c>
      <c r="B5013" s="3">
        <v>66027</v>
      </c>
      <c r="C5013" s="3">
        <v>47569.585698000003</v>
      </c>
      <c r="D5013" s="3">
        <v>0</v>
      </c>
      <c r="E5013" s="3">
        <v>0</v>
      </c>
      <c r="F5013" s="3">
        <v>0</v>
      </c>
      <c r="G5013" s="3">
        <v>783.92878474999452</v>
      </c>
      <c r="H5013" s="3">
        <v>-346115.14337468101</v>
      </c>
      <c r="I5013" s="3">
        <v>199822.97336382</v>
      </c>
      <c r="J5013" s="3">
        <v>0</v>
      </c>
      <c r="K5013" s="3">
        <v>108254.48045747999</v>
      </c>
      <c r="L5013" s="3">
        <v>0</v>
      </c>
      <c r="M5013" s="3">
        <v>0</v>
      </c>
      <c r="N5013" s="3">
        <v>0</v>
      </c>
      <c r="O5013">
        <v>55711.175070631027</v>
      </c>
      <c r="P5013">
        <v>5509915</v>
      </c>
    </row>
    <row r="5014" spans="1:16" x14ac:dyDescent="0.25">
      <c r="A5014" s="10">
        <v>45077</v>
      </c>
      <c r="B5014" s="3">
        <v>66500</v>
      </c>
      <c r="C5014" s="3">
        <v>154505.042915</v>
      </c>
      <c r="D5014" s="3">
        <v>0</v>
      </c>
      <c r="E5014" s="3">
        <v>0</v>
      </c>
      <c r="F5014" s="3">
        <v>0</v>
      </c>
      <c r="G5014" s="3">
        <v>-322782.53721461003</v>
      </c>
      <c r="H5014" s="3">
        <v>206770.35108537809</v>
      </c>
      <c r="I5014" s="3">
        <v>10605</v>
      </c>
      <c r="J5014" s="3">
        <v>0</v>
      </c>
      <c r="K5014" s="3">
        <v>14434.72950349</v>
      </c>
      <c r="L5014" s="3">
        <v>0</v>
      </c>
      <c r="M5014" s="3">
        <v>0</v>
      </c>
      <c r="N5014" s="3">
        <v>0</v>
      </c>
      <c r="O5014">
        <v>2967.4137107418792</v>
      </c>
      <c r="P5014">
        <v>5576415</v>
      </c>
    </row>
    <row r="5015" spans="1:16" x14ac:dyDescent="0.25">
      <c r="A5015" s="10">
        <v>45078</v>
      </c>
      <c r="B5015" s="3">
        <v>-3107</v>
      </c>
      <c r="C5015" s="3">
        <v>24329.42208</v>
      </c>
      <c r="D5015" s="3">
        <v>0</v>
      </c>
      <c r="E5015" s="3">
        <v>0</v>
      </c>
      <c r="F5015" s="3">
        <v>0</v>
      </c>
      <c r="G5015" s="3">
        <v>249887.07177266001</v>
      </c>
      <c r="H5015" s="3">
        <v>210254.25157777901</v>
      </c>
      <c r="I5015" s="3">
        <v>-550052.38622299</v>
      </c>
      <c r="J5015" s="3">
        <v>0</v>
      </c>
      <c r="K5015" s="3">
        <v>89769.301046339999</v>
      </c>
      <c r="L5015" s="3">
        <v>0</v>
      </c>
      <c r="M5015" s="3">
        <v>0</v>
      </c>
      <c r="N5015" s="3">
        <v>0</v>
      </c>
      <c r="O5015">
        <v>-27294.66025378897</v>
      </c>
      <c r="P5015">
        <v>5573308</v>
      </c>
    </row>
    <row r="5016" spans="1:16" x14ac:dyDescent="0.25">
      <c r="A5016" s="10">
        <v>45079</v>
      </c>
      <c r="B5016" s="3">
        <v>-1488</v>
      </c>
      <c r="C5016" s="3">
        <v>13748.051144999999</v>
      </c>
      <c r="D5016" s="3">
        <v>0</v>
      </c>
      <c r="E5016" s="3">
        <v>0</v>
      </c>
      <c r="F5016" s="3">
        <v>0</v>
      </c>
      <c r="G5016" s="3">
        <v>-112.4267432100023</v>
      </c>
      <c r="H5016" s="3">
        <v>-15673.6060555289</v>
      </c>
      <c r="I5016" s="3">
        <v>0</v>
      </c>
      <c r="J5016" s="3">
        <v>0</v>
      </c>
      <c r="K5016" s="3">
        <v>8622.3213748199996</v>
      </c>
      <c r="L5016" s="3">
        <v>0</v>
      </c>
      <c r="M5016" s="3">
        <v>0</v>
      </c>
      <c r="N5016" s="3">
        <v>0</v>
      </c>
      <c r="O5016">
        <v>-8072.3397210810963</v>
      </c>
      <c r="P5016">
        <v>5571820</v>
      </c>
    </row>
    <row r="5017" spans="1:16" x14ac:dyDescent="0.25">
      <c r="A5017" s="10">
        <v>45082</v>
      </c>
      <c r="B5017" s="3">
        <v>-144687</v>
      </c>
      <c r="C5017" s="3">
        <v>2378.380466000001</v>
      </c>
      <c r="D5017" s="3">
        <v>0</v>
      </c>
      <c r="E5017" s="3">
        <v>0</v>
      </c>
      <c r="F5017" s="3">
        <v>0</v>
      </c>
      <c r="G5017" s="3">
        <v>-48.561255490000001</v>
      </c>
      <c r="H5017" s="3">
        <v>-187308.67279873879</v>
      </c>
      <c r="I5017" s="3">
        <v>0</v>
      </c>
      <c r="J5017" s="3">
        <v>0</v>
      </c>
      <c r="K5017" s="3">
        <v>25985.610866139999</v>
      </c>
      <c r="L5017" s="3">
        <v>0</v>
      </c>
      <c r="M5017" s="3">
        <v>0</v>
      </c>
      <c r="N5017" s="3">
        <v>0</v>
      </c>
      <c r="O5017">
        <v>14306.242722088789</v>
      </c>
      <c r="P5017">
        <v>5427133</v>
      </c>
    </row>
    <row r="5018" spans="1:16" x14ac:dyDescent="0.25">
      <c r="A5018" s="10">
        <v>45083</v>
      </c>
      <c r="B5018" s="3">
        <v>30773</v>
      </c>
      <c r="C5018" s="3">
        <v>-10814.100928</v>
      </c>
      <c r="D5018" s="3">
        <v>0</v>
      </c>
      <c r="E5018" s="3">
        <v>0</v>
      </c>
      <c r="F5018" s="3">
        <v>0</v>
      </c>
      <c r="G5018" s="3">
        <v>-68.510639069999996</v>
      </c>
      <c r="H5018" s="3">
        <v>40968.12708289209</v>
      </c>
      <c r="I5018" s="3">
        <v>-140989.60413024001</v>
      </c>
      <c r="J5018" s="3">
        <v>0</v>
      </c>
      <c r="K5018" s="3">
        <v>115972.76418956</v>
      </c>
      <c r="L5018" s="3">
        <v>0</v>
      </c>
      <c r="M5018" s="3">
        <v>0</v>
      </c>
      <c r="N5018" s="3">
        <v>0</v>
      </c>
      <c r="O5018">
        <v>25704.324424857899</v>
      </c>
      <c r="P5018">
        <v>5457906</v>
      </c>
    </row>
    <row r="5019" spans="1:16" x14ac:dyDescent="0.25">
      <c r="A5019" s="10">
        <v>45084</v>
      </c>
      <c r="B5019" s="3">
        <v>19313</v>
      </c>
      <c r="C5019" s="3">
        <v>-18095.962801999998</v>
      </c>
      <c r="D5019" s="3">
        <v>-7000</v>
      </c>
      <c r="E5019" s="3">
        <v>0</v>
      </c>
      <c r="F5019" s="3">
        <v>0</v>
      </c>
      <c r="G5019" s="3">
        <v>7201.0020291400142</v>
      </c>
      <c r="H5019" s="3">
        <v>-14388.062379317351</v>
      </c>
      <c r="I5019" s="3">
        <v>8200.6576750000004</v>
      </c>
      <c r="J5019" s="3">
        <v>0</v>
      </c>
      <c r="K5019" s="3">
        <v>12680.534203900001</v>
      </c>
      <c r="L5019" s="3">
        <v>0</v>
      </c>
      <c r="M5019" s="3">
        <v>0</v>
      </c>
      <c r="N5019" s="3">
        <v>0</v>
      </c>
      <c r="O5019">
        <v>30714.83127327733</v>
      </c>
      <c r="P5019">
        <v>5477219</v>
      </c>
    </row>
    <row r="5020" spans="1:16" x14ac:dyDescent="0.25">
      <c r="A5020" s="10">
        <v>45085</v>
      </c>
      <c r="B5020" s="3">
        <v>30206</v>
      </c>
      <c r="C5020" s="3">
        <v>-14277.104781</v>
      </c>
      <c r="D5020" s="3">
        <v>0</v>
      </c>
      <c r="E5020" s="3">
        <v>0</v>
      </c>
      <c r="F5020" s="3">
        <v>0</v>
      </c>
      <c r="G5020" s="3">
        <v>62.168098209999997</v>
      </c>
      <c r="H5020" s="3">
        <v>-177682.1209417592</v>
      </c>
      <c r="I5020" s="3">
        <v>82687.23712333999</v>
      </c>
      <c r="J5020" s="3">
        <v>0</v>
      </c>
      <c r="K5020" s="3">
        <v>106263.69320857</v>
      </c>
      <c r="L5020" s="3">
        <v>0</v>
      </c>
      <c r="M5020" s="3">
        <v>0</v>
      </c>
      <c r="N5020" s="3">
        <v>0</v>
      </c>
      <c r="O5020">
        <v>33152.127292639183</v>
      </c>
      <c r="P5020">
        <v>5507425</v>
      </c>
    </row>
    <row r="5021" spans="1:16" x14ac:dyDescent="0.25">
      <c r="A5021" s="10">
        <v>45086</v>
      </c>
      <c r="B5021" s="3">
        <v>63604</v>
      </c>
      <c r="C5021" s="3">
        <v>-11122.343849000001</v>
      </c>
      <c r="D5021" s="3">
        <v>0</v>
      </c>
      <c r="E5021" s="3">
        <v>0</v>
      </c>
      <c r="F5021" s="3">
        <v>0</v>
      </c>
      <c r="G5021" s="3">
        <v>-177.8529729800066</v>
      </c>
      <c r="H5021" s="3">
        <v>-42082.347998147518</v>
      </c>
      <c r="I5021" s="3">
        <v>0</v>
      </c>
      <c r="J5021" s="3">
        <v>0</v>
      </c>
      <c r="K5021" s="3">
        <v>9505.4288138000011</v>
      </c>
      <c r="L5021" s="3">
        <v>0</v>
      </c>
      <c r="M5021" s="3">
        <v>0</v>
      </c>
      <c r="N5021" s="3">
        <v>0</v>
      </c>
      <c r="O5021">
        <v>107481.1160063275</v>
      </c>
      <c r="P5021">
        <v>5571029</v>
      </c>
    </row>
    <row r="5022" spans="1:16" x14ac:dyDescent="0.25">
      <c r="A5022" s="10">
        <v>45089</v>
      </c>
      <c r="B5022" s="3">
        <v>68597</v>
      </c>
      <c r="C5022" s="3">
        <v>-10509.007905</v>
      </c>
      <c r="D5022" s="3">
        <v>0</v>
      </c>
      <c r="E5022" s="3">
        <v>0</v>
      </c>
      <c r="F5022" s="3">
        <v>0</v>
      </c>
      <c r="G5022" s="3">
        <v>480.42194745998131</v>
      </c>
      <c r="H5022" s="3">
        <v>37037.628828572291</v>
      </c>
      <c r="I5022" s="3">
        <v>0</v>
      </c>
      <c r="J5022" s="3">
        <v>0</v>
      </c>
      <c r="K5022" s="3">
        <v>28829.754004570001</v>
      </c>
      <c r="L5022" s="3">
        <v>0</v>
      </c>
      <c r="M5022" s="3">
        <v>0</v>
      </c>
      <c r="N5022" s="3">
        <v>0</v>
      </c>
      <c r="O5022">
        <v>12758.203124397731</v>
      </c>
      <c r="P5022">
        <v>5639626</v>
      </c>
    </row>
    <row r="5023" spans="1:16" x14ac:dyDescent="0.25">
      <c r="A5023" s="10">
        <v>45090</v>
      </c>
      <c r="B5023" s="3">
        <v>-7479</v>
      </c>
      <c r="C5023" s="3">
        <v>19322.921283</v>
      </c>
      <c r="D5023" s="3">
        <v>-42000</v>
      </c>
      <c r="E5023" s="3">
        <v>0</v>
      </c>
      <c r="F5023" s="3">
        <v>0</v>
      </c>
      <c r="G5023" s="3">
        <v>191526.21959746999</v>
      </c>
      <c r="H5023" s="3">
        <v>-174451.10632032901</v>
      </c>
      <c r="I5023" s="3">
        <v>-79792.806564950006</v>
      </c>
      <c r="J5023" s="3">
        <v>0</v>
      </c>
      <c r="K5023" s="3">
        <v>91538.333444170014</v>
      </c>
      <c r="L5023" s="3">
        <v>0</v>
      </c>
      <c r="M5023" s="3">
        <v>0</v>
      </c>
      <c r="N5023" s="3">
        <v>0</v>
      </c>
      <c r="O5023">
        <v>-13622.561439361019</v>
      </c>
      <c r="P5023">
        <v>5632147</v>
      </c>
    </row>
    <row r="5024" spans="1:16" x14ac:dyDescent="0.25">
      <c r="A5024" s="10">
        <v>45091</v>
      </c>
      <c r="B5024" s="3">
        <v>-47782</v>
      </c>
      <c r="C5024" s="3">
        <v>13663.407342</v>
      </c>
      <c r="D5024" s="3">
        <v>0</v>
      </c>
      <c r="E5024" s="3">
        <v>0</v>
      </c>
      <c r="F5024" s="3">
        <v>0</v>
      </c>
      <c r="G5024" s="3">
        <v>-1213.84841041</v>
      </c>
      <c r="H5024" s="3">
        <v>-97433.36969402738</v>
      </c>
      <c r="I5024" s="3">
        <v>39146.129851919992</v>
      </c>
      <c r="J5024" s="3">
        <v>0</v>
      </c>
      <c r="K5024" s="3">
        <v>28031.460300399998</v>
      </c>
      <c r="L5024" s="3">
        <v>0</v>
      </c>
      <c r="M5024" s="3">
        <v>0</v>
      </c>
      <c r="N5024" s="3">
        <v>0</v>
      </c>
      <c r="O5024">
        <v>-29975.779389882609</v>
      </c>
      <c r="P5024">
        <v>5584365</v>
      </c>
    </row>
    <row r="5025" spans="1:16" x14ac:dyDescent="0.25">
      <c r="A5025" s="10">
        <v>45092</v>
      </c>
      <c r="B5025" s="3">
        <v>13613</v>
      </c>
      <c r="C5025" s="3">
        <v>-23718.196931999999</v>
      </c>
      <c r="D5025" s="3">
        <v>0</v>
      </c>
      <c r="E5025" s="3">
        <v>0</v>
      </c>
      <c r="F5025" s="3">
        <v>0</v>
      </c>
      <c r="G5025" s="3">
        <v>701.64433835000091</v>
      </c>
      <c r="H5025" s="3">
        <v>146421.2801465209</v>
      </c>
      <c r="I5025" s="3">
        <v>-274404.53679921001</v>
      </c>
      <c r="J5025" s="3">
        <v>0</v>
      </c>
      <c r="K5025" s="3">
        <v>84398.335843069988</v>
      </c>
      <c r="L5025" s="3">
        <v>0</v>
      </c>
      <c r="M5025" s="3">
        <v>0</v>
      </c>
      <c r="N5025" s="3">
        <v>0</v>
      </c>
      <c r="O5025">
        <v>80214.47340326909</v>
      </c>
      <c r="P5025">
        <v>5597978</v>
      </c>
    </row>
    <row r="5026" spans="1:16" x14ac:dyDescent="0.25">
      <c r="A5026" s="10">
        <v>45093</v>
      </c>
      <c r="B5026" s="3">
        <v>14418</v>
      </c>
      <c r="C5026" s="3">
        <v>-45311.347146</v>
      </c>
      <c r="D5026" s="3">
        <v>0</v>
      </c>
      <c r="E5026" s="3">
        <v>0</v>
      </c>
      <c r="F5026" s="3">
        <v>0</v>
      </c>
      <c r="G5026" s="3">
        <v>-422407.74566815002</v>
      </c>
      <c r="H5026" s="3">
        <v>395453.74622559868</v>
      </c>
      <c r="I5026" s="3">
        <v>0</v>
      </c>
      <c r="J5026" s="3">
        <v>0</v>
      </c>
      <c r="K5026" s="3">
        <v>9830.4880706300009</v>
      </c>
      <c r="L5026" s="3">
        <v>0</v>
      </c>
      <c r="M5026" s="3">
        <v>0</v>
      </c>
      <c r="N5026" s="3">
        <v>0</v>
      </c>
      <c r="O5026">
        <v>76852.858517921282</v>
      </c>
      <c r="P5026">
        <v>5612396</v>
      </c>
    </row>
    <row r="5027" spans="1:16" x14ac:dyDescent="0.25">
      <c r="A5027" s="10">
        <v>45098</v>
      </c>
      <c r="B5027" s="3">
        <v>-93076</v>
      </c>
      <c r="C5027" s="3">
        <v>2442.80584</v>
      </c>
      <c r="D5027" s="3">
        <v>-15000</v>
      </c>
      <c r="E5027" s="3">
        <v>0</v>
      </c>
      <c r="F5027" s="3">
        <v>0</v>
      </c>
      <c r="G5027" s="3">
        <v>16411.699650229999</v>
      </c>
      <c r="H5027" s="3">
        <v>-174660.70040683</v>
      </c>
      <c r="I5027" s="3">
        <v>-49490.256875159997</v>
      </c>
      <c r="J5027" s="3">
        <v>0</v>
      </c>
      <c r="K5027" s="3">
        <v>138911.94364508</v>
      </c>
      <c r="L5027" s="3">
        <v>0</v>
      </c>
      <c r="M5027" s="3">
        <v>0</v>
      </c>
      <c r="N5027" s="3">
        <v>0</v>
      </c>
      <c r="O5027">
        <v>-11691.491853320011</v>
      </c>
      <c r="P5027">
        <v>5519320</v>
      </c>
    </row>
    <row r="5028" spans="1:16" x14ac:dyDescent="0.25">
      <c r="A5028" s="10">
        <v>45099</v>
      </c>
      <c r="B5028" s="3">
        <v>81156</v>
      </c>
      <c r="C5028" s="3">
        <v>-21133.224517999999</v>
      </c>
      <c r="D5028" s="3">
        <v>0</v>
      </c>
      <c r="E5028" s="3">
        <v>0</v>
      </c>
      <c r="F5028" s="3">
        <v>0</v>
      </c>
      <c r="G5028" s="3">
        <v>2516.782598120044</v>
      </c>
      <c r="H5028" s="3">
        <v>269045.3016565601</v>
      </c>
      <c r="I5028" s="3">
        <v>-249855.07200146001</v>
      </c>
      <c r="J5028" s="3">
        <v>0</v>
      </c>
      <c r="K5028" s="3">
        <v>92188.102736830013</v>
      </c>
      <c r="L5028" s="3">
        <v>0</v>
      </c>
      <c r="M5028" s="3">
        <v>0</v>
      </c>
      <c r="N5028" s="3">
        <v>0</v>
      </c>
      <c r="O5028">
        <v>-11605.89047205015</v>
      </c>
      <c r="P5028">
        <v>5600476</v>
      </c>
    </row>
    <row r="5029" spans="1:16" x14ac:dyDescent="0.25">
      <c r="A5029" s="10">
        <v>45100</v>
      </c>
      <c r="B5029" s="3">
        <v>87836</v>
      </c>
      <c r="C5029" s="3">
        <v>-31337.800069000001</v>
      </c>
      <c r="D5029" s="3">
        <v>0</v>
      </c>
      <c r="E5029" s="3">
        <v>0</v>
      </c>
      <c r="F5029" s="3">
        <v>0</v>
      </c>
      <c r="G5029" s="3">
        <v>250192.45493973</v>
      </c>
      <c r="H5029" s="3">
        <v>-138890.04376214321</v>
      </c>
      <c r="I5029" s="3">
        <v>0</v>
      </c>
      <c r="J5029" s="3">
        <v>0</v>
      </c>
      <c r="K5029" s="3">
        <v>8608.9563967499998</v>
      </c>
      <c r="L5029" s="3">
        <v>0</v>
      </c>
      <c r="M5029" s="3">
        <v>0</v>
      </c>
      <c r="N5029" s="3">
        <v>0</v>
      </c>
      <c r="O5029">
        <v>-737.5675053368177</v>
      </c>
      <c r="P5029">
        <v>5688312</v>
      </c>
    </row>
    <row r="5030" spans="1:16" x14ac:dyDescent="0.25">
      <c r="A5030" s="10">
        <v>45103</v>
      </c>
      <c r="B5030" s="3">
        <v>-76386</v>
      </c>
      <c r="C5030" s="3">
        <v>3121.9047999999998</v>
      </c>
      <c r="D5030" s="3">
        <v>0</v>
      </c>
      <c r="E5030" s="3">
        <v>0</v>
      </c>
      <c r="F5030" s="3">
        <v>0</v>
      </c>
      <c r="G5030" s="3">
        <v>-88.284095879999995</v>
      </c>
      <c r="H5030" s="3">
        <v>-114904.6566309809</v>
      </c>
      <c r="I5030" s="3">
        <v>0</v>
      </c>
      <c r="J5030" s="3">
        <v>0</v>
      </c>
      <c r="K5030" s="3">
        <v>26865.013878180001</v>
      </c>
      <c r="L5030" s="3">
        <v>0</v>
      </c>
      <c r="M5030" s="3">
        <v>0</v>
      </c>
      <c r="N5030" s="3">
        <v>0</v>
      </c>
      <c r="O5030">
        <v>8620.0220486808685</v>
      </c>
      <c r="P5030">
        <v>5611926</v>
      </c>
    </row>
    <row r="5031" spans="1:16" x14ac:dyDescent="0.25">
      <c r="A5031" s="10">
        <v>45104</v>
      </c>
      <c r="B5031" s="3">
        <v>49731</v>
      </c>
      <c r="C5031" s="3">
        <v>-30718.243364999998</v>
      </c>
      <c r="D5031" s="3">
        <v>0</v>
      </c>
      <c r="E5031" s="3">
        <v>0</v>
      </c>
      <c r="F5031" s="3">
        <v>0</v>
      </c>
      <c r="G5031" s="3">
        <v>39.221674630000003</v>
      </c>
      <c r="H5031" s="3">
        <v>180494.17422962899</v>
      </c>
      <c r="I5031" s="3">
        <v>-211732.20276886999</v>
      </c>
      <c r="J5031" s="3">
        <v>0</v>
      </c>
      <c r="K5031" s="3">
        <v>100385.34278573999</v>
      </c>
      <c r="L5031" s="3">
        <v>0</v>
      </c>
      <c r="M5031" s="3">
        <v>0</v>
      </c>
      <c r="N5031" s="3">
        <v>0</v>
      </c>
      <c r="O5031">
        <v>11262.70744387103</v>
      </c>
      <c r="P5031">
        <v>5661657</v>
      </c>
    </row>
    <row r="5032" spans="1:16" x14ac:dyDescent="0.25">
      <c r="A5032" s="10">
        <v>45105</v>
      </c>
      <c r="B5032" s="3">
        <v>-4607</v>
      </c>
      <c r="C5032" s="3">
        <v>-29968.664540999998</v>
      </c>
      <c r="D5032" s="3">
        <v>0</v>
      </c>
      <c r="E5032" s="3">
        <v>0</v>
      </c>
      <c r="F5032" s="3">
        <v>0</v>
      </c>
      <c r="G5032" s="3">
        <v>-170.79689973000001</v>
      </c>
      <c r="H5032" s="3">
        <v>-5002.7899996519654</v>
      </c>
      <c r="I5032" s="3">
        <v>15490.6306931</v>
      </c>
      <c r="J5032" s="3">
        <v>0</v>
      </c>
      <c r="K5032" s="3">
        <v>16886.724858379999</v>
      </c>
      <c r="L5032" s="3">
        <v>0</v>
      </c>
      <c r="M5032" s="3">
        <v>0</v>
      </c>
      <c r="N5032" s="3">
        <v>0</v>
      </c>
      <c r="O5032">
        <v>-1842.104111098037</v>
      </c>
      <c r="P5032">
        <v>5657050</v>
      </c>
    </row>
    <row r="5033" spans="1:16" x14ac:dyDescent="0.25">
      <c r="A5033" s="10">
        <v>45106</v>
      </c>
      <c r="B5033" s="3">
        <v>69494</v>
      </c>
      <c r="C5033" s="3">
        <v>-14145.795120999999</v>
      </c>
      <c r="D5033" s="3">
        <v>0</v>
      </c>
      <c r="E5033" s="3">
        <v>0</v>
      </c>
      <c r="F5033" s="3">
        <v>0</v>
      </c>
      <c r="G5033" s="3">
        <v>618.33076395001262</v>
      </c>
      <c r="H5033" s="3">
        <v>-178401.88380183201</v>
      </c>
      <c r="I5033" s="3">
        <v>99950.744165120021</v>
      </c>
      <c r="J5033" s="3">
        <v>0</v>
      </c>
      <c r="K5033" s="3">
        <v>135673.78823656001</v>
      </c>
      <c r="L5033" s="3">
        <v>0</v>
      </c>
      <c r="M5033" s="3">
        <v>0</v>
      </c>
      <c r="N5033" s="3">
        <v>0</v>
      </c>
      <c r="O5033">
        <v>25798.815757202032</v>
      </c>
      <c r="P5033">
        <v>5726544</v>
      </c>
    </row>
    <row r="5034" spans="1:16" x14ac:dyDescent="0.25">
      <c r="A5034" s="10">
        <v>45107</v>
      </c>
      <c r="B5034" s="3">
        <v>159195</v>
      </c>
      <c r="C5034" s="3">
        <v>-24570.827445999999</v>
      </c>
      <c r="D5034" s="3">
        <v>-687357.21748492005</v>
      </c>
      <c r="E5034" s="3">
        <v>688000</v>
      </c>
      <c r="F5034" s="3">
        <v>0</v>
      </c>
      <c r="G5034" s="3">
        <v>168335.13724318999</v>
      </c>
      <c r="H5034" s="3">
        <v>-5904.1374594916033</v>
      </c>
      <c r="I5034" s="3">
        <v>0</v>
      </c>
      <c r="J5034" s="3">
        <v>0</v>
      </c>
      <c r="K5034" s="3">
        <v>9249.2682428799999</v>
      </c>
      <c r="L5034" s="3">
        <v>0</v>
      </c>
      <c r="M5034" s="3">
        <v>0</v>
      </c>
      <c r="N5034" s="3">
        <v>0</v>
      </c>
      <c r="O5034">
        <v>11442.776904341619</v>
      </c>
      <c r="P5034">
        <v>5885739</v>
      </c>
    </row>
    <row r="5035" spans="1:16" x14ac:dyDescent="0.25">
      <c r="A5035" s="10">
        <v>45110</v>
      </c>
      <c r="B5035" s="3">
        <v>47847</v>
      </c>
      <c r="C5035" s="3">
        <v>-4120.4699929999997</v>
      </c>
      <c r="D5035" s="3">
        <v>0</v>
      </c>
      <c r="E5035" s="3">
        <v>0</v>
      </c>
      <c r="F5035" s="3">
        <v>0</v>
      </c>
      <c r="G5035" s="3">
        <v>20.996641589999999</v>
      </c>
      <c r="H5035" s="3">
        <v>45782.218473049477</v>
      </c>
      <c r="I5035" s="3">
        <v>0</v>
      </c>
      <c r="J5035" s="3">
        <v>0</v>
      </c>
      <c r="K5035" s="3">
        <v>27790.410938659999</v>
      </c>
      <c r="L5035" s="3">
        <v>0</v>
      </c>
      <c r="M5035" s="3">
        <v>0</v>
      </c>
      <c r="N5035" s="3">
        <v>0</v>
      </c>
      <c r="O5035">
        <v>-21626.156060299469</v>
      </c>
      <c r="P5035">
        <v>5933586</v>
      </c>
    </row>
    <row r="5036" spans="1:16" x14ac:dyDescent="0.25">
      <c r="A5036" s="10">
        <v>45111</v>
      </c>
      <c r="B5036" s="3">
        <v>-62520</v>
      </c>
      <c r="C5036" s="3">
        <v>-42996.843511999999</v>
      </c>
      <c r="D5036" s="3">
        <v>0</v>
      </c>
      <c r="E5036" s="3">
        <v>0</v>
      </c>
      <c r="F5036" s="3">
        <v>0</v>
      </c>
      <c r="G5036" s="3">
        <v>-81.696452770000178</v>
      </c>
      <c r="H5036" s="3">
        <v>139006.77078581689</v>
      </c>
      <c r="I5036" s="3">
        <v>-290738.33207375999</v>
      </c>
      <c r="J5036" s="3">
        <v>0</v>
      </c>
      <c r="K5036" s="3">
        <v>133529.00566784001</v>
      </c>
      <c r="L5036" s="3">
        <v>0</v>
      </c>
      <c r="M5036" s="3">
        <v>0</v>
      </c>
      <c r="N5036" s="3">
        <v>0</v>
      </c>
      <c r="O5036">
        <v>-1238.9044151269479</v>
      </c>
      <c r="P5036">
        <v>5871066</v>
      </c>
    </row>
    <row r="5037" spans="1:16" x14ac:dyDescent="0.25">
      <c r="A5037" s="10">
        <v>45112</v>
      </c>
      <c r="B5037" s="3">
        <v>-31006</v>
      </c>
      <c r="C5037" s="3">
        <v>-24426.657164</v>
      </c>
      <c r="D5037" s="3">
        <v>0</v>
      </c>
      <c r="E5037" s="3">
        <v>0</v>
      </c>
      <c r="F5037" s="3">
        <v>0</v>
      </c>
      <c r="G5037" s="3">
        <v>6545.8255460600012</v>
      </c>
      <c r="H5037" s="3">
        <v>-87903.264753257754</v>
      </c>
      <c r="I5037" s="3">
        <v>4925.5365353999987</v>
      </c>
      <c r="J5037" s="3">
        <v>0</v>
      </c>
      <c r="K5037" s="3">
        <v>12217.04822678</v>
      </c>
      <c r="L5037" s="3">
        <v>0</v>
      </c>
      <c r="M5037" s="3">
        <v>0</v>
      </c>
      <c r="N5037" s="3">
        <v>0</v>
      </c>
      <c r="O5037">
        <v>57635.511609017762</v>
      </c>
      <c r="P5037">
        <v>5840060</v>
      </c>
    </row>
    <row r="5038" spans="1:16" x14ac:dyDescent="0.25">
      <c r="A5038" s="10">
        <v>45113</v>
      </c>
      <c r="B5038" s="3">
        <v>703375</v>
      </c>
      <c r="C5038" s="3">
        <v>-23769.050638000001</v>
      </c>
      <c r="D5038" s="3">
        <v>0</v>
      </c>
      <c r="E5038" s="3">
        <v>0</v>
      </c>
      <c r="F5038" s="3">
        <v>0</v>
      </c>
      <c r="G5038" s="3">
        <v>756.89800873000058</v>
      </c>
      <c r="H5038" s="3">
        <v>201840.71043171009</v>
      </c>
      <c r="I5038" s="3">
        <v>384718.52698035003</v>
      </c>
      <c r="J5038" s="3">
        <v>0</v>
      </c>
      <c r="K5038" s="3">
        <v>106479.42958311</v>
      </c>
      <c r="L5038" s="3">
        <v>0</v>
      </c>
      <c r="M5038" s="3">
        <v>0</v>
      </c>
      <c r="N5038" s="3">
        <v>0</v>
      </c>
      <c r="O5038">
        <v>33348.485634099918</v>
      </c>
      <c r="P5038">
        <v>6543435</v>
      </c>
    </row>
    <row r="5039" spans="1:16" x14ac:dyDescent="0.25">
      <c r="A5039" s="10">
        <v>45114</v>
      </c>
      <c r="B5039" s="3">
        <v>126478</v>
      </c>
      <c r="C5039" s="3">
        <v>-28645.337437999999</v>
      </c>
      <c r="D5039" s="3">
        <v>-260000</v>
      </c>
      <c r="E5039" s="3">
        <v>400000</v>
      </c>
      <c r="F5039" s="3">
        <v>0</v>
      </c>
      <c r="G5039" s="3">
        <v>421.92383944999892</v>
      </c>
      <c r="H5039" s="3">
        <v>-9482.6437815701665</v>
      </c>
      <c r="I5039" s="3">
        <v>4072.4503245599999</v>
      </c>
      <c r="J5039" s="3">
        <v>0</v>
      </c>
      <c r="K5039" s="3">
        <v>8519.0420040099998</v>
      </c>
      <c r="L5039" s="3">
        <v>0</v>
      </c>
      <c r="M5039" s="3">
        <v>0</v>
      </c>
      <c r="N5039" s="3">
        <v>0</v>
      </c>
      <c r="O5039">
        <v>11592.565051550189</v>
      </c>
      <c r="P5039">
        <v>6669913</v>
      </c>
    </row>
    <row r="5040" spans="1:16" x14ac:dyDescent="0.25">
      <c r="A5040" s="10">
        <v>45117</v>
      </c>
      <c r="B5040" s="3">
        <v>-725141</v>
      </c>
      <c r="C5040" s="3">
        <v>-18542.617241</v>
      </c>
      <c r="D5040" s="3">
        <v>0</v>
      </c>
      <c r="E5040" s="3">
        <v>0</v>
      </c>
      <c r="F5040" s="3">
        <v>0</v>
      </c>
      <c r="G5040" s="3">
        <v>-134.80848323000001</v>
      </c>
      <c r="H5040" s="3">
        <v>-740104.82859038084</v>
      </c>
      <c r="I5040" s="3">
        <v>0</v>
      </c>
      <c r="J5040" s="3">
        <v>0</v>
      </c>
      <c r="K5040" s="3">
        <v>25628.73452744</v>
      </c>
      <c r="L5040" s="3">
        <v>0</v>
      </c>
      <c r="M5040" s="3">
        <v>0</v>
      </c>
      <c r="N5040" s="3">
        <v>0</v>
      </c>
      <c r="O5040">
        <v>8012.5197871706914</v>
      </c>
      <c r="P5040">
        <v>5944772</v>
      </c>
    </row>
    <row r="5041" spans="1:16" x14ac:dyDescent="0.25">
      <c r="A5041" s="10">
        <v>45118</v>
      </c>
      <c r="B5041" s="3">
        <v>77295</v>
      </c>
      <c r="C5041" s="3">
        <v>-25222.393427999999</v>
      </c>
      <c r="D5041" s="3">
        <v>0</v>
      </c>
      <c r="E5041" s="3">
        <v>0</v>
      </c>
      <c r="F5041" s="3">
        <v>0</v>
      </c>
      <c r="G5041" s="3">
        <v>58.770697529999993</v>
      </c>
      <c r="H5041" s="3">
        <v>578426.585217432</v>
      </c>
      <c r="I5041" s="3">
        <v>-604460.40158579999</v>
      </c>
      <c r="J5041" s="3">
        <v>0</v>
      </c>
      <c r="K5041" s="3">
        <v>98339.34417076</v>
      </c>
      <c r="L5041" s="3">
        <v>0</v>
      </c>
      <c r="M5041" s="3">
        <v>0</v>
      </c>
      <c r="N5041" s="3">
        <v>0</v>
      </c>
      <c r="O5041">
        <v>30153.094928077979</v>
      </c>
      <c r="P5041">
        <v>6022067</v>
      </c>
    </row>
    <row r="5042" spans="1:16" x14ac:dyDescent="0.25">
      <c r="A5042" s="10">
        <v>45119</v>
      </c>
      <c r="B5042" s="3">
        <v>-68132</v>
      </c>
      <c r="C5042" s="3">
        <v>-24789.100364000002</v>
      </c>
      <c r="D5042" s="3">
        <v>0</v>
      </c>
      <c r="E5042" s="3">
        <v>0</v>
      </c>
      <c r="F5042" s="3">
        <v>0</v>
      </c>
      <c r="G5042" s="3">
        <v>1392.8609829799991</v>
      </c>
      <c r="H5042" s="3">
        <v>-110695.11643018899</v>
      </c>
      <c r="I5042" s="3">
        <v>21784.318719999999</v>
      </c>
      <c r="J5042" s="3">
        <v>0</v>
      </c>
      <c r="K5042" s="3">
        <v>20074.318311169998</v>
      </c>
      <c r="L5042" s="3">
        <v>0</v>
      </c>
      <c r="M5042" s="3">
        <v>0</v>
      </c>
      <c r="N5042" s="3">
        <v>0</v>
      </c>
      <c r="O5042">
        <v>24100.71878003902</v>
      </c>
      <c r="P5042">
        <v>5953935</v>
      </c>
    </row>
    <row r="5043" spans="1:16" x14ac:dyDescent="0.25">
      <c r="A5043" s="10">
        <v>45120</v>
      </c>
      <c r="B5043" s="3">
        <v>17240</v>
      </c>
      <c r="C5043" s="3">
        <v>-25237.625958000001</v>
      </c>
      <c r="D5043" s="3">
        <v>0</v>
      </c>
      <c r="E5043" s="3">
        <v>40000</v>
      </c>
      <c r="F5043" s="3">
        <v>150000</v>
      </c>
      <c r="G5043" s="3">
        <v>-190239.59593042999</v>
      </c>
      <c r="H5043" s="3">
        <v>116816.970231791</v>
      </c>
      <c r="I5043" s="3">
        <v>-171978.74471102</v>
      </c>
      <c r="J5043" s="3">
        <v>0</v>
      </c>
      <c r="K5043" s="3">
        <v>103843.14972071</v>
      </c>
      <c r="L5043" s="3">
        <v>0</v>
      </c>
      <c r="M5043" s="3">
        <v>0</v>
      </c>
      <c r="N5043" s="3">
        <v>0</v>
      </c>
      <c r="O5043">
        <v>-5964.1533530510642</v>
      </c>
      <c r="P5043">
        <v>5971175</v>
      </c>
    </row>
    <row r="5044" spans="1:16" x14ac:dyDescent="0.25">
      <c r="A5044" s="10">
        <v>45121</v>
      </c>
      <c r="B5044" s="3">
        <v>46583</v>
      </c>
      <c r="C5044" s="3">
        <v>-25620.07373</v>
      </c>
      <c r="D5044" s="3">
        <v>0</v>
      </c>
      <c r="E5044" s="3">
        <v>0</v>
      </c>
      <c r="F5044" s="3">
        <v>0</v>
      </c>
      <c r="G5044" s="3">
        <v>149415.62001068</v>
      </c>
      <c r="H5044" s="3">
        <v>-87639.426340378821</v>
      </c>
      <c r="I5044" s="3">
        <v>0</v>
      </c>
      <c r="J5044" s="3">
        <v>0</v>
      </c>
      <c r="K5044" s="3">
        <v>8930.6747826900009</v>
      </c>
      <c r="L5044" s="3">
        <v>0</v>
      </c>
      <c r="M5044" s="3">
        <v>0</v>
      </c>
      <c r="N5044" s="3">
        <v>0</v>
      </c>
      <c r="O5044">
        <v>1496.205277008856</v>
      </c>
      <c r="P5044">
        <v>6017758</v>
      </c>
    </row>
    <row r="5045" spans="1:16" x14ac:dyDescent="0.25">
      <c r="A5045" s="10">
        <v>45124</v>
      </c>
      <c r="B5045" s="3">
        <v>-55916</v>
      </c>
      <c r="C5045" s="3">
        <v>14569.647265</v>
      </c>
      <c r="D5045" s="3">
        <v>-40000</v>
      </c>
      <c r="E5045" s="3">
        <v>0</v>
      </c>
      <c r="F5045" s="3">
        <v>0</v>
      </c>
      <c r="G5045" s="3">
        <v>40747.91763009</v>
      </c>
      <c r="H5045" s="3">
        <v>-160307.2744327391</v>
      </c>
      <c r="I5045" s="3">
        <v>0</v>
      </c>
      <c r="J5045" s="3">
        <v>0</v>
      </c>
      <c r="K5045" s="3">
        <v>27448.092961300001</v>
      </c>
      <c r="L5045" s="3">
        <v>0</v>
      </c>
      <c r="M5045" s="3">
        <v>0</v>
      </c>
      <c r="N5045" s="3">
        <v>0</v>
      </c>
      <c r="O5045">
        <v>61625.616576349123</v>
      </c>
      <c r="P5045">
        <v>5961842</v>
      </c>
    </row>
    <row r="5046" spans="1:16" x14ac:dyDescent="0.25">
      <c r="A5046" s="10">
        <v>45125</v>
      </c>
      <c r="B5046" s="3">
        <v>65833</v>
      </c>
      <c r="C5046" s="3">
        <v>-13832.552189</v>
      </c>
      <c r="D5046" s="3">
        <v>0</v>
      </c>
      <c r="E5046" s="3">
        <v>0</v>
      </c>
      <c r="F5046" s="3">
        <v>0</v>
      </c>
      <c r="G5046" s="3">
        <v>-148656.09807414</v>
      </c>
      <c r="H5046" s="3">
        <v>194686.80602392991</v>
      </c>
      <c r="I5046" s="3">
        <v>-55033.606524559997</v>
      </c>
      <c r="J5046" s="3">
        <v>0</v>
      </c>
      <c r="K5046" s="3">
        <v>95032.382517890001</v>
      </c>
      <c r="L5046" s="3">
        <v>0</v>
      </c>
      <c r="M5046" s="3">
        <v>0</v>
      </c>
      <c r="N5046" s="3">
        <v>0</v>
      </c>
      <c r="O5046">
        <v>-6363.9317541198543</v>
      </c>
      <c r="P5046">
        <v>6027675</v>
      </c>
    </row>
    <row r="5047" spans="1:16" x14ac:dyDescent="0.25">
      <c r="A5047" s="10">
        <v>45126</v>
      </c>
      <c r="B5047" s="3">
        <v>11088</v>
      </c>
      <c r="C5047" s="3">
        <v>-45494.090038000002</v>
      </c>
      <c r="D5047" s="3">
        <v>0</v>
      </c>
      <c r="E5047" s="3">
        <v>0</v>
      </c>
      <c r="F5047" s="3">
        <v>0</v>
      </c>
      <c r="G5047" s="3">
        <v>3855.5097254500001</v>
      </c>
      <c r="H5047" s="3">
        <v>-46310.185419341273</v>
      </c>
      <c r="I5047" s="3">
        <v>51944.90327580001</v>
      </c>
      <c r="J5047" s="3">
        <v>0</v>
      </c>
      <c r="K5047" s="3">
        <v>34277.727042000013</v>
      </c>
      <c r="L5047" s="3">
        <v>0</v>
      </c>
      <c r="M5047" s="3">
        <v>0</v>
      </c>
      <c r="N5047" s="3">
        <v>0</v>
      </c>
      <c r="O5047">
        <v>12814.135414091261</v>
      </c>
      <c r="P5047">
        <v>6038763</v>
      </c>
    </row>
    <row r="5048" spans="1:16" x14ac:dyDescent="0.25">
      <c r="A5048" s="10">
        <v>45127</v>
      </c>
      <c r="B5048" s="3">
        <v>49255</v>
      </c>
      <c r="C5048" s="3">
        <v>-14721.307097999999</v>
      </c>
      <c r="D5048" s="3">
        <v>0</v>
      </c>
      <c r="E5048" s="3">
        <v>0</v>
      </c>
      <c r="F5048" s="3">
        <v>0</v>
      </c>
      <c r="G5048" s="3">
        <v>814.34258870999997</v>
      </c>
      <c r="H5048" s="3">
        <v>-35415.078978500533</v>
      </c>
      <c r="I5048" s="3">
        <v>-19918.446463420001</v>
      </c>
      <c r="J5048" s="3">
        <v>0</v>
      </c>
      <c r="K5048" s="3">
        <v>107821.12836149</v>
      </c>
      <c r="L5048" s="3">
        <v>0</v>
      </c>
      <c r="M5048" s="3">
        <v>0</v>
      </c>
      <c r="N5048" s="3">
        <v>0</v>
      </c>
      <c r="O5048">
        <v>10674.361589720531</v>
      </c>
      <c r="P5048">
        <v>6088018</v>
      </c>
    </row>
    <row r="5049" spans="1:16" x14ac:dyDescent="0.25">
      <c r="A5049" s="10">
        <v>45128</v>
      </c>
      <c r="B5049" s="3">
        <v>36881</v>
      </c>
      <c r="C5049" s="3">
        <v>-53013.527386000002</v>
      </c>
      <c r="D5049" s="3">
        <v>0</v>
      </c>
      <c r="E5049" s="3">
        <v>0</v>
      </c>
      <c r="F5049" s="3">
        <v>0</v>
      </c>
      <c r="G5049" s="3">
        <v>1149.5848127899999</v>
      </c>
      <c r="H5049" s="3">
        <v>54563.787663234179</v>
      </c>
      <c r="I5049" s="3">
        <v>0</v>
      </c>
      <c r="J5049" s="3">
        <v>0</v>
      </c>
      <c r="K5049" s="3">
        <v>9267.2980381199995</v>
      </c>
      <c r="L5049" s="3">
        <v>0</v>
      </c>
      <c r="M5049" s="3">
        <v>0</v>
      </c>
      <c r="N5049" s="3">
        <v>0</v>
      </c>
      <c r="O5049">
        <v>24913.85687185582</v>
      </c>
      <c r="P5049">
        <v>6124899</v>
      </c>
    </row>
    <row r="5050" spans="1:16" x14ac:dyDescent="0.25">
      <c r="A5050" s="10">
        <v>45131</v>
      </c>
      <c r="B5050" s="3">
        <v>-55011</v>
      </c>
      <c r="C5050" s="3">
        <v>17760.910769400001</v>
      </c>
      <c r="D5050" s="3">
        <v>0</v>
      </c>
      <c r="E5050" s="3">
        <v>0</v>
      </c>
      <c r="F5050" s="3">
        <v>0</v>
      </c>
      <c r="G5050" s="3">
        <v>547.44489164999993</v>
      </c>
      <c r="H5050" s="3">
        <v>-128756.760580692</v>
      </c>
      <c r="I5050" s="3">
        <v>0</v>
      </c>
      <c r="J5050" s="3">
        <v>0</v>
      </c>
      <c r="K5050" s="3">
        <v>27394.72425607</v>
      </c>
      <c r="L5050" s="3">
        <v>0</v>
      </c>
      <c r="M5050" s="3">
        <v>0</v>
      </c>
      <c r="N5050" s="3">
        <v>0</v>
      </c>
      <c r="O5050">
        <v>28042.68066357201</v>
      </c>
      <c r="P5050">
        <v>6069888</v>
      </c>
    </row>
    <row r="5051" spans="1:16" x14ac:dyDescent="0.25">
      <c r="A5051" s="10">
        <v>45132</v>
      </c>
      <c r="B5051" s="3">
        <v>96101</v>
      </c>
      <c r="C5051" s="3">
        <v>21482.3611184</v>
      </c>
      <c r="D5051" s="3">
        <v>0</v>
      </c>
      <c r="E5051" s="3">
        <v>0</v>
      </c>
      <c r="F5051" s="3">
        <v>0</v>
      </c>
      <c r="G5051" s="3">
        <v>-217.14012291</v>
      </c>
      <c r="H5051" s="3">
        <v>-78150.792264867749</v>
      </c>
      <c r="I5051" s="3">
        <v>-12443.159947559991</v>
      </c>
      <c r="J5051" s="3">
        <v>0</v>
      </c>
      <c r="K5051" s="3">
        <v>116118.58955926</v>
      </c>
      <c r="L5051" s="3">
        <v>0</v>
      </c>
      <c r="M5051" s="3">
        <v>0</v>
      </c>
      <c r="N5051" s="3">
        <v>0</v>
      </c>
      <c r="O5051">
        <v>49311.141657677741</v>
      </c>
      <c r="P5051">
        <v>6165989</v>
      </c>
    </row>
    <row r="5052" spans="1:16" x14ac:dyDescent="0.25">
      <c r="A5052" s="10">
        <v>45133</v>
      </c>
      <c r="B5052" s="3">
        <v>-8237</v>
      </c>
      <c r="C5052" s="3">
        <v>35777.390720400013</v>
      </c>
      <c r="D5052" s="3">
        <v>0</v>
      </c>
      <c r="E5052" s="3">
        <v>0</v>
      </c>
      <c r="F5052" s="3">
        <v>0</v>
      </c>
      <c r="G5052" s="3">
        <v>10703.026115260011</v>
      </c>
      <c r="H5052" s="3">
        <v>-103726.675130081</v>
      </c>
      <c r="I5052" s="3">
        <v>11000</v>
      </c>
      <c r="J5052" s="3">
        <v>0</v>
      </c>
      <c r="K5052" s="3">
        <v>16972.803383769999</v>
      </c>
      <c r="L5052" s="3">
        <v>0</v>
      </c>
      <c r="M5052" s="3">
        <v>0</v>
      </c>
      <c r="N5052" s="3">
        <v>0</v>
      </c>
      <c r="O5052">
        <v>21036.45491065098</v>
      </c>
      <c r="P5052">
        <v>6157752</v>
      </c>
    </row>
    <row r="5053" spans="1:16" x14ac:dyDescent="0.25">
      <c r="A5053" s="10">
        <v>45134</v>
      </c>
      <c r="B5053" s="3">
        <v>62143</v>
      </c>
      <c r="C5053" s="3">
        <v>77395.825744999995</v>
      </c>
      <c r="D5053" s="3">
        <v>0</v>
      </c>
      <c r="E5053" s="3">
        <v>0</v>
      </c>
      <c r="F5053" s="3">
        <v>0</v>
      </c>
      <c r="G5053" s="3">
        <v>64.205056280014105</v>
      </c>
      <c r="H5053" s="3">
        <v>-315396.99422958097</v>
      </c>
      <c r="I5053" s="3">
        <v>198915.59092305999</v>
      </c>
      <c r="J5053" s="3">
        <v>0</v>
      </c>
      <c r="K5053" s="3">
        <v>129336.78413529</v>
      </c>
      <c r="L5053" s="3">
        <v>0</v>
      </c>
      <c r="M5053" s="3">
        <v>0</v>
      </c>
      <c r="N5053" s="3">
        <v>0</v>
      </c>
      <c r="O5053">
        <v>-28172.411630049039</v>
      </c>
      <c r="P5053">
        <v>6219895</v>
      </c>
    </row>
    <row r="5054" spans="1:16" x14ac:dyDescent="0.25">
      <c r="A5054" s="10">
        <v>45135</v>
      </c>
      <c r="B5054" s="3">
        <v>-25029</v>
      </c>
      <c r="C5054" s="3">
        <v>107010.9826054</v>
      </c>
      <c r="D5054" s="3">
        <v>0</v>
      </c>
      <c r="E5054" s="3">
        <v>0</v>
      </c>
      <c r="F5054" s="3">
        <v>0</v>
      </c>
      <c r="G5054" s="3">
        <v>130115.56225346</v>
      </c>
      <c r="H5054" s="3">
        <v>-276966.74196976982</v>
      </c>
      <c r="I5054" s="3">
        <v>-0.34351540000000003</v>
      </c>
      <c r="J5054" s="3">
        <v>0</v>
      </c>
      <c r="K5054" s="3">
        <v>10692.40974386</v>
      </c>
      <c r="L5054" s="3">
        <v>0</v>
      </c>
      <c r="M5054" s="3">
        <v>0</v>
      </c>
      <c r="N5054" s="3">
        <v>0</v>
      </c>
      <c r="O5054">
        <v>4119.1308824497683</v>
      </c>
      <c r="P5054">
        <v>6194866</v>
      </c>
    </row>
    <row r="5055" spans="1:16" x14ac:dyDescent="0.25">
      <c r="A5055" s="10">
        <v>45138</v>
      </c>
      <c r="B5055" s="3">
        <v>197834</v>
      </c>
      <c r="C5055" s="3">
        <v>55575.557905599999</v>
      </c>
      <c r="D5055" s="3">
        <v>-12000</v>
      </c>
      <c r="E5055" s="3">
        <v>0</v>
      </c>
      <c r="F5055" s="3">
        <v>0</v>
      </c>
      <c r="G5055" s="3">
        <v>-119840.62215357</v>
      </c>
      <c r="H5055" s="3">
        <v>145548.38437197119</v>
      </c>
      <c r="I5055" s="3">
        <v>0</v>
      </c>
      <c r="J5055" s="3">
        <v>0</v>
      </c>
      <c r="K5055" s="3">
        <v>34147.604633940013</v>
      </c>
      <c r="L5055" s="3">
        <v>0</v>
      </c>
      <c r="M5055" s="3">
        <v>0</v>
      </c>
      <c r="N5055" s="3">
        <v>0</v>
      </c>
      <c r="O5055">
        <v>94403.075242058781</v>
      </c>
      <c r="P5055">
        <v>6392700</v>
      </c>
    </row>
    <row r="5056" spans="1:16" x14ac:dyDescent="0.25">
      <c r="A5056" s="10">
        <v>45139</v>
      </c>
      <c r="B5056" s="3">
        <v>-14020</v>
      </c>
      <c r="C5056" s="3">
        <v>30551.4894312</v>
      </c>
      <c r="D5056" s="3">
        <v>0</v>
      </c>
      <c r="E5056" s="3">
        <v>0</v>
      </c>
      <c r="F5056" s="3">
        <v>0</v>
      </c>
      <c r="G5056" s="3">
        <v>-33.732316150000003</v>
      </c>
      <c r="H5056" s="3">
        <v>-69882.91927509052</v>
      </c>
      <c r="I5056" s="3">
        <v>-92638.984706920019</v>
      </c>
      <c r="J5056" s="3">
        <v>0</v>
      </c>
      <c r="K5056" s="3">
        <v>157033.07353813</v>
      </c>
      <c r="L5056" s="3">
        <v>0</v>
      </c>
      <c r="M5056" s="3">
        <v>0</v>
      </c>
      <c r="N5056" s="3">
        <v>0</v>
      </c>
      <c r="O5056">
        <v>-39048.926671169473</v>
      </c>
      <c r="P5056">
        <v>6378680</v>
      </c>
    </row>
    <row r="5057" spans="1:16" x14ac:dyDescent="0.25">
      <c r="A5057" s="10">
        <v>45140</v>
      </c>
      <c r="B5057" s="3">
        <v>-59783</v>
      </c>
      <c r="C5057" s="3">
        <v>-14500.88537539999</v>
      </c>
      <c r="D5057" s="3">
        <v>0</v>
      </c>
      <c r="E5057" s="3">
        <v>0</v>
      </c>
      <c r="F5057" s="3">
        <v>0</v>
      </c>
      <c r="G5057" s="3">
        <v>129694.86323767999</v>
      </c>
      <c r="H5057" s="3">
        <v>-164557.18219915879</v>
      </c>
      <c r="I5057" s="3">
        <v>2200</v>
      </c>
      <c r="J5057" s="3">
        <v>0</v>
      </c>
      <c r="K5057" s="3">
        <v>12414.09991228</v>
      </c>
      <c r="L5057" s="3">
        <v>0</v>
      </c>
      <c r="M5057" s="3">
        <v>0</v>
      </c>
      <c r="N5057" s="3">
        <v>0</v>
      </c>
      <c r="O5057">
        <v>-25033.895575401209</v>
      </c>
      <c r="P5057">
        <v>6318897</v>
      </c>
    </row>
    <row r="5058" spans="1:16" x14ac:dyDescent="0.25">
      <c r="A5058" s="10">
        <v>45141</v>
      </c>
      <c r="B5058" s="3">
        <v>29708</v>
      </c>
      <c r="C5058" s="3">
        <v>55234.068684600003</v>
      </c>
      <c r="D5058" s="3">
        <v>0</v>
      </c>
      <c r="E5058" s="3">
        <v>0</v>
      </c>
      <c r="F5058" s="3">
        <v>0</v>
      </c>
      <c r="G5058" s="3">
        <v>303.64605193999978</v>
      </c>
      <c r="H5058" s="3">
        <v>328720.45463624102</v>
      </c>
      <c r="I5058" s="3">
        <v>-415310.91465122998</v>
      </c>
      <c r="J5058" s="3">
        <v>0</v>
      </c>
      <c r="K5058" s="3">
        <v>80431.618884889991</v>
      </c>
      <c r="L5058" s="3">
        <v>0</v>
      </c>
      <c r="M5058" s="3">
        <v>0</v>
      </c>
      <c r="N5058" s="3">
        <v>0</v>
      </c>
      <c r="O5058">
        <v>-19670.87360644095</v>
      </c>
      <c r="P5058">
        <v>6348605</v>
      </c>
    </row>
    <row r="5059" spans="1:16" x14ac:dyDescent="0.25">
      <c r="A5059" s="10">
        <v>45142</v>
      </c>
      <c r="B5059" s="3">
        <v>51283</v>
      </c>
      <c r="C5059" s="3">
        <v>67372.155559000006</v>
      </c>
      <c r="D5059" s="3">
        <v>-610.05503648000001</v>
      </c>
      <c r="E5059" s="3">
        <v>0</v>
      </c>
      <c r="F5059" s="3">
        <v>250000</v>
      </c>
      <c r="G5059" s="3">
        <v>-14411.072969070001</v>
      </c>
      <c r="H5059" s="3">
        <v>-89350.96340216203</v>
      </c>
      <c r="I5059" s="3">
        <v>0</v>
      </c>
      <c r="J5059" s="3">
        <v>0</v>
      </c>
      <c r="K5059" s="3">
        <v>10782.25483421</v>
      </c>
      <c r="L5059" s="3">
        <v>0</v>
      </c>
      <c r="M5059" s="3">
        <v>0</v>
      </c>
      <c r="N5059" s="3">
        <v>0</v>
      </c>
      <c r="O5059">
        <v>-172499.31898549799</v>
      </c>
      <c r="P5059">
        <v>6399888</v>
      </c>
    </row>
    <row r="5060" spans="1:16" x14ac:dyDescent="0.25">
      <c r="A5060" s="10">
        <v>45145</v>
      </c>
      <c r="B5060" s="3">
        <v>-293</v>
      </c>
      <c r="C5060" s="3">
        <v>13343.700279400009</v>
      </c>
      <c r="D5060" s="3">
        <v>-12000</v>
      </c>
      <c r="E5060" s="3">
        <v>0</v>
      </c>
      <c r="F5060" s="3">
        <v>0</v>
      </c>
      <c r="G5060" s="3">
        <v>12485.363964259999</v>
      </c>
      <c r="H5060" s="3">
        <v>-30895.309837850069</v>
      </c>
      <c r="I5060" s="3">
        <v>0</v>
      </c>
      <c r="J5060" s="3">
        <v>0</v>
      </c>
      <c r="K5060" s="3">
        <v>33020.445205880002</v>
      </c>
      <c r="L5060" s="3">
        <v>0</v>
      </c>
      <c r="M5060" s="3">
        <v>0</v>
      </c>
      <c r="N5060" s="3">
        <v>0</v>
      </c>
      <c r="O5060">
        <v>-16247.19961168995</v>
      </c>
      <c r="P5060">
        <v>6399595</v>
      </c>
    </row>
    <row r="5061" spans="1:16" x14ac:dyDescent="0.25">
      <c r="A5061" s="10">
        <v>45146</v>
      </c>
      <c r="B5061" s="3">
        <v>18125</v>
      </c>
      <c r="C5061" s="3">
        <v>-1673.8249034000039</v>
      </c>
      <c r="D5061" s="3">
        <v>0</v>
      </c>
      <c r="E5061" s="3">
        <v>0</v>
      </c>
      <c r="F5061" s="3">
        <v>0</v>
      </c>
      <c r="G5061" s="3">
        <v>-107.68135649</v>
      </c>
      <c r="H5061" s="3">
        <v>-301135.7374217193</v>
      </c>
      <c r="I5061" s="3">
        <v>98338.255640030024</v>
      </c>
      <c r="J5061" s="3">
        <v>0</v>
      </c>
      <c r="K5061" s="3">
        <v>144019.17640996</v>
      </c>
      <c r="L5061" s="3">
        <v>0</v>
      </c>
      <c r="M5061" s="3">
        <v>0</v>
      </c>
      <c r="N5061" s="3">
        <v>0</v>
      </c>
      <c r="O5061">
        <v>78684.81163161929</v>
      </c>
      <c r="P5061">
        <v>6417720</v>
      </c>
    </row>
    <row r="5062" spans="1:16" x14ac:dyDescent="0.25">
      <c r="A5062" s="10">
        <v>45147</v>
      </c>
      <c r="B5062" s="3">
        <v>-29798</v>
      </c>
      <c r="C5062" s="3">
        <v>-24490.509236599999</v>
      </c>
      <c r="D5062" s="3">
        <v>0</v>
      </c>
      <c r="E5062" s="3">
        <v>0</v>
      </c>
      <c r="F5062" s="3">
        <v>0</v>
      </c>
      <c r="G5062" s="3">
        <v>-23.335351710000001</v>
      </c>
      <c r="H5062" s="3">
        <v>-62133.981455150621</v>
      </c>
      <c r="I5062" s="3">
        <v>20299.912931700001</v>
      </c>
      <c r="J5062" s="3">
        <v>0</v>
      </c>
      <c r="K5062" s="3">
        <v>20677.819364229999</v>
      </c>
      <c r="L5062" s="3">
        <v>0</v>
      </c>
      <c r="M5062" s="3">
        <v>0</v>
      </c>
      <c r="N5062" s="3">
        <v>0</v>
      </c>
      <c r="O5062">
        <v>15872.093747530609</v>
      </c>
      <c r="P5062">
        <v>6387922</v>
      </c>
    </row>
    <row r="5063" spans="1:16" x14ac:dyDescent="0.25">
      <c r="A5063" s="10">
        <v>45148</v>
      </c>
      <c r="B5063" s="3">
        <v>91335</v>
      </c>
      <c r="C5063" s="3">
        <v>-4715.8732128000011</v>
      </c>
      <c r="D5063" s="3">
        <v>0</v>
      </c>
      <c r="E5063" s="3">
        <v>0</v>
      </c>
      <c r="F5063" s="3">
        <v>0</v>
      </c>
      <c r="G5063" s="3">
        <v>1869.4327775499989</v>
      </c>
      <c r="H5063" s="3">
        <v>-126716.6819587239</v>
      </c>
      <c r="I5063" s="3">
        <v>-5463.2726199900062</v>
      </c>
      <c r="J5063" s="3">
        <v>0</v>
      </c>
      <c r="K5063" s="3">
        <v>119407.9418311</v>
      </c>
      <c r="L5063" s="3">
        <v>0</v>
      </c>
      <c r="M5063" s="3">
        <v>0</v>
      </c>
      <c r="N5063" s="3">
        <v>0</v>
      </c>
      <c r="O5063">
        <v>106953.4531828639</v>
      </c>
      <c r="P5063">
        <v>6479257</v>
      </c>
    </row>
    <row r="5064" spans="1:16" x14ac:dyDescent="0.25">
      <c r="A5064" s="10">
        <v>45149</v>
      </c>
      <c r="B5064" s="3">
        <v>125143</v>
      </c>
      <c r="C5064" s="3">
        <v>-19852.660865400008</v>
      </c>
      <c r="D5064" s="3">
        <v>0</v>
      </c>
      <c r="E5064" s="3">
        <v>0</v>
      </c>
      <c r="F5064" s="3">
        <v>0</v>
      </c>
      <c r="G5064" s="3">
        <v>88.501171630000044</v>
      </c>
      <c r="H5064" s="3">
        <v>112764.0680633117</v>
      </c>
      <c r="I5064" s="3">
        <v>0</v>
      </c>
      <c r="J5064" s="3">
        <v>0</v>
      </c>
      <c r="K5064" s="3">
        <v>12306.1992639</v>
      </c>
      <c r="L5064" s="3">
        <v>0</v>
      </c>
      <c r="M5064" s="3">
        <v>0</v>
      </c>
      <c r="N5064" s="3">
        <v>0</v>
      </c>
      <c r="O5064">
        <v>19836.892366558259</v>
      </c>
      <c r="P5064">
        <v>6604400</v>
      </c>
    </row>
    <row r="5065" spans="1:16" x14ac:dyDescent="0.25">
      <c r="A5065" s="10">
        <v>45152</v>
      </c>
      <c r="B5065" s="3">
        <v>-118337</v>
      </c>
      <c r="C5065" s="3">
        <v>97106.1397</v>
      </c>
      <c r="D5065" s="3">
        <v>0</v>
      </c>
      <c r="E5065" s="3">
        <v>0</v>
      </c>
      <c r="F5065" s="3">
        <v>0</v>
      </c>
      <c r="G5065" s="3">
        <v>-124245.82714365001</v>
      </c>
      <c r="H5065" s="3">
        <v>-306430.48610212078</v>
      </c>
      <c r="I5065" s="3">
        <v>0</v>
      </c>
      <c r="J5065" s="3">
        <v>0</v>
      </c>
      <c r="K5065" s="3">
        <v>36072.241929010001</v>
      </c>
      <c r="L5065" s="3">
        <v>0</v>
      </c>
      <c r="M5065" s="3">
        <v>0</v>
      </c>
      <c r="N5065" s="3">
        <v>0</v>
      </c>
      <c r="O5065">
        <v>179160.9316167607</v>
      </c>
      <c r="P5065">
        <v>6486063</v>
      </c>
    </row>
    <row r="5066" spans="1:16" x14ac:dyDescent="0.25">
      <c r="A5066" s="10">
        <v>45153</v>
      </c>
      <c r="B5066" s="3">
        <v>34535</v>
      </c>
      <c r="C5066" s="3">
        <v>43746.481500000002</v>
      </c>
      <c r="D5066" s="3">
        <v>-25000</v>
      </c>
      <c r="E5066" s="3">
        <v>0</v>
      </c>
      <c r="F5066" s="3">
        <v>0</v>
      </c>
      <c r="G5066" s="3">
        <v>26974.38327337</v>
      </c>
      <c r="H5066" s="3">
        <v>-215454.10120192921</v>
      </c>
      <c r="I5066" s="3">
        <v>-370921.6431022</v>
      </c>
      <c r="J5066" s="3">
        <v>0</v>
      </c>
      <c r="K5066" s="3">
        <v>108335.13694202001</v>
      </c>
      <c r="L5066" s="3">
        <v>0</v>
      </c>
      <c r="M5066" s="3">
        <v>0</v>
      </c>
      <c r="N5066" s="3">
        <v>0</v>
      </c>
      <c r="O5066">
        <v>466854.74258873909</v>
      </c>
      <c r="P5066">
        <v>6520598</v>
      </c>
    </row>
    <row r="5067" spans="1:16" x14ac:dyDescent="0.25">
      <c r="A5067" s="10">
        <v>45154</v>
      </c>
      <c r="B5067" s="3">
        <v>-104966</v>
      </c>
      <c r="C5067" s="3">
        <v>40884.434500000003</v>
      </c>
      <c r="D5067" s="3">
        <v>0</v>
      </c>
      <c r="E5067" s="3">
        <v>0</v>
      </c>
      <c r="F5067" s="3">
        <v>0</v>
      </c>
      <c r="G5067" s="3">
        <v>-785.70863472000008</v>
      </c>
      <c r="H5067" s="3">
        <v>-219188.02226146901</v>
      </c>
      <c r="I5067" s="3">
        <v>4000</v>
      </c>
      <c r="J5067" s="3">
        <v>0</v>
      </c>
      <c r="K5067" s="3">
        <v>18816.981378050001</v>
      </c>
      <c r="L5067" s="3">
        <v>0</v>
      </c>
      <c r="M5067" s="3">
        <v>0</v>
      </c>
      <c r="N5067" s="3">
        <v>0</v>
      </c>
      <c r="O5067">
        <v>51306.315018139052</v>
      </c>
      <c r="P5067">
        <v>6415632</v>
      </c>
    </row>
    <row r="5068" spans="1:16" x14ac:dyDescent="0.25">
      <c r="A5068" s="10">
        <v>45155</v>
      </c>
      <c r="B5068" s="3">
        <v>39294</v>
      </c>
      <c r="C5068" s="3">
        <v>64510.228447999987</v>
      </c>
      <c r="D5068" s="3">
        <v>0</v>
      </c>
      <c r="E5068" s="3">
        <v>0</v>
      </c>
      <c r="F5068" s="3">
        <v>0</v>
      </c>
      <c r="G5068" s="3">
        <v>4241.0263285500114</v>
      </c>
      <c r="H5068" s="3">
        <v>-96730.646798531874</v>
      </c>
      <c r="I5068" s="3">
        <v>-114833.43590752</v>
      </c>
      <c r="J5068" s="3">
        <v>0</v>
      </c>
      <c r="K5068" s="3">
        <v>117037.30318405</v>
      </c>
      <c r="L5068" s="3">
        <v>0</v>
      </c>
      <c r="M5068" s="3">
        <v>0</v>
      </c>
      <c r="N5068" s="3">
        <v>0</v>
      </c>
      <c r="O5068">
        <v>65069.524745451883</v>
      </c>
      <c r="P5068">
        <v>6454926</v>
      </c>
    </row>
    <row r="5069" spans="1:16" x14ac:dyDescent="0.25">
      <c r="A5069" s="10">
        <v>45156</v>
      </c>
      <c r="B5069" s="3">
        <v>7896</v>
      </c>
      <c r="C5069" s="3">
        <v>3900.5419000000002</v>
      </c>
      <c r="D5069" s="3">
        <v>-40000</v>
      </c>
      <c r="E5069" s="3">
        <v>0</v>
      </c>
      <c r="F5069" s="3">
        <v>0</v>
      </c>
      <c r="G5069" s="3">
        <v>42007.246480169983</v>
      </c>
      <c r="H5069" s="3">
        <v>-123055.16613158189</v>
      </c>
      <c r="I5069" s="3">
        <v>0</v>
      </c>
      <c r="J5069" s="3">
        <v>0</v>
      </c>
      <c r="K5069" s="3">
        <v>17204.179379559999</v>
      </c>
      <c r="L5069" s="3">
        <v>0</v>
      </c>
      <c r="M5069" s="3">
        <v>0</v>
      </c>
      <c r="N5069" s="3">
        <v>0</v>
      </c>
      <c r="O5069">
        <v>107839.1983718519</v>
      </c>
      <c r="P5069">
        <v>6462822</v>
      </c>
    </row>
    <row r="5070" spans="1:16" x14ac:dyDescent="0.25">
      <c r="A5070" s="10">
        <v>45160</v>
      </c>
      <c r="B5070" s="3">
        <v>-108269</v>
      </c>
      <c r="C5070" s="3">
        <v>23223.182499999999</v>
      </c>
      <c r="D5070" s="3">
        <v>0</v>
      </c>
      <c r="E5070" s="3">
        <v>0</v>
      </c>
      <c r="F5070" s="3">
        <v>0</v>
      </c>
      <c r="G5070" s="3">
        <v>699.80146934000368</v>
      </c>
      <c r="H5070" s="3">
        <v>-206801.17337006921</v>
      </c>
      <c r="I5070" s="3">
        <v>-106509.48314897</v>
      </c>
      <c r="J5070" s="3">
        <v>0</v>
      </c>
      <c r="K5070" s="3">
        <v>177837.55052250001</v>
      </c>
      <c r="L5070" s="3">
        <v>0</v>
      </c>
      <c r="M5070" s="3">
        <v>0</v>
      </c>
      <c r="N5070" s="3">
        <v>0</v>
      </c>
      <c r="O5070">
        <v>3281.1220271991328</v>
      </c>
      <c r="P5070">
        <v>6354553</v>
      </c>
    </row>
    <row r="5071" spans="1:16" x14ac:dyDescent="0.25">
      <c r="A5071" s="10">
        <v>45161</v>
      </c>
      <c r="B5071" s="3">
        <v>26356</v>
      </c>
      <c r="C5071" s="3">
        <v>35303.1093702</v>
      </c>
      <c r="D5071" s="3">
        <v>0</v>
      </c>
      <c r="E5071" s="3">
        <v>-500000</v>
      </c>
      <c r="F5071" s="3">
        <v>0</v>
      </c>
      <c r="G5071" s="3">
        <v>-265700.05598926957</v>
      </c>
      <c r="H5071" s="3">
        <v>720591.45702923834</v>
      </c>
      <c r="I5071" s="3">
        <v>32024.303618799899</v>
      </c>
      <c r="J5071" s="3">
        <v>0</v>
      </c>
      <c r="K5071" s="3">
        <v>32949.204483820002</v>
      </c>
      <c r="L5071" s="3">
        <v>0</v>
      </c>
      <c r="M5071" s="3">
        <v>0</v>
      </c>
      <c r="N5071" s="3">
        <v>0</v>
      </c>
      <c r="O5071">
        <v>-28812.018512788629</v>
      </c>
      <c r="P5071">
        <v>6380909</v>
      </c>
    </row>
    <row r="5072" spans="1:16" x14ac:dyDescent="0.25">
      <c r="A5072" s="10">
        <v>45162</v>
      </c>
      <c r="B5072" s="3">
        <v>4290</v>
      </c>
      <c r="C5072" s="3">
        <v>7098.21</v>
      </c>
      <c r="D5072" s="3">
        <v>0</v>
      </c>
      <c r="E5072" s="3">
        <v>0</v>
      </c>
      <c r="F5072" s="3">
        <v>0</v>
      </c>
      <c r="G5072" s="3">
        <v>62.545785279999997</v>
      </c>
      <c r="H5072" s="3">
        <v>31590.25606916134</v>
      </c>
      <c r="I5072" s="3">
        <v>-193826.59394617</v>
      </c>
      <c r="J5072" s="3">
        <v>0</v>
      </c>
      <c r="K5072" s="3">
        <v>120654.85406625</v>
      </c>
      <c r="L5072" s="3">
        <v>0</v>
      </c>
      <c r="M5072" s="3">
        <v>0</v>
      </c>
      <c r="N5072" s="3">
        <v>0</v>
      </c>
      <c r="O5072">
        <v>38710.72802547866</v>
      </c>
      <c r="P5072">
        <v>6385199</v>
      </c>
    </row>
    <row r="5073" spans="1:16" x14ac:dyDescent="0.25">
      <c r="A5073" s="10">
        <v>45163</v>
      </c>
      <c r="B5073" s="3">
        <v>101172</v>
      </c>
      <c r="C5073" s="3">
        <v>13152.495860000001</v>
      </c>
      <c r="D5073" s="3">
        <v>0</v>
      </c>
      <c r="E5073" s="3">
        <v>0</v>
      </c>
      <c r="F5073" s="3">
        <v>0</v>
      </c>
      <c r="G5073" s="3">
        <v>-267.60225806</v>
      </c>
      <c r="H5073" s="3">
        <v>47245.843333036901</v>
      </c>
      <c r="I5073" s="3">
        <v>0</v>
      </c>
      <c r="J5073" s="3">
        <v>0</v>
      </c>
      <c r="K5073" s="3">
        <v>15928.95868342</v>
      </c>
      <c r="L5073" s="3">
        <v>0</v>
      </c>
      <c r="M5073" s="3">
        <v>0</v>
      </c>
      <c r="N5073" s="3">
        <v>0</v>
      </c>
      <c r="O5073">
        <v>25112.304381603099</v>
      </c>
      <c r="P5073">
        <v>6486371</v>
      </c>
    </row>
    <row r="5074" spans="1:16" x14ac:dyDescent="0.25">
      <c r="A5074" s="10">
        <v>45166</v>
      </c>
      <c r="B5074" s="3">
        <v>-319847</v>
      </c>
      <c r="C5074" s="3">
        <v>22429.793000000001</v>
      </c>
      <c r="D5074" s="3">
        <v>0</v>
      </c>
      <c r="E5074" s="3">
        <v>0</v>
      </c>
      <c r="F5074" s="3">
        <v>0</v>
      </c>
      <c r="G5074" s="3">
        <v>-497.12856090000002</v>
      </c>
      <c r="H5074" s="3">
        <v>-397947.04039229098</v>
      </c>
      <c r="I5074" s="3">
        <v>0</v>
      </c>
      <c r="J5074" s="3">
        <v>0</v>
      </c>
      <c r="K5074" s="3">
        <v>47356.294558690002</v>
      </c>
      <c r="L5074" s="3">
        <v>0</v>
      </c>
      <c r="M5074" s="3">
        <v>0</v>
      </c>
      <c r="N5074" s="3">
        <v>0</v>
      </c>
      <c r="O5074">
        <v>8811.0813945009722</v>
      </c>
      <c r="P5074">
        <v>6166524</v>
      </c>
    </row>
    <row r="5075" spans="1:16" x14ac:dyDescent="0.25">
      <c r="A5075" s="10">
        <v>45167</v>
      </c>
      <c r="B5075" s="3">
        <v>-51937</v>
      </c>
      <c r="C5075" s="3">
        <v>46728.224999999999</v>
      </c>
      <c r="D5075" s="3">
        <v>0</v>
      </c>
      <c r="E5075" s="3">
        <v>0</v>
      </c>
      <c r="F5075" s="3">
        <v>0</v>
      </c>
      <c r="G5075" s="3">
        <v>-29.58622235</v>
      </c>
      <c r="H5075" s="3">
        <v>-205166.93555835509</v>
      </c>
      <c r="I5075" s="3">
        <v>-66345.804786999986</v>
      </c>
      <c r="J5075" s="3">
        <v>0</v>
      </c>
      <c r="K5075" s="3">
        <v>169902.87873868001</v>
      </c>
      <c r="L5075" s="3">
        <v>0</v>
      </c>
      <c r="M5075" s="3">
        <v>0</v>
      </c>
      <c r="N5075" s="3">
        <v>0</v>
      </c>
      <c r="O5075">
        <v>2974.2228290250641</v>
      </c>
      <c r="P5075">
        <v>6114587</v>
      </c>
    </row>
    <row r="5076" spans="1:16" x14ac:dyDescent="0.25">
      <c r="A5076" s="10">
        <v>45168</v>
      </c>
      <c r="B5076" s="3">
        <v>34453</v>
      </c>
      <c r="C5076" s="3">
        <v>7304.4439199999997</v>
      </c>
      <c r="D5076" s="3">
        <v>0</v>
      </c>
      <c r="E5076" s="3">
        <v>0</v>
      </c>
      <c r="F5076" s="3">
        <v>0</v>
      </c>
      <c r="G5076" s="3">
        <v>519.07450079</v>
      </c>
      <c r="H5076" s="3">
        <v>-80151.66893292332</v>
      </c>
      <c r="I5076" s="3">
        <v>51925</v>
      </c>
      <c r="J5076" s="3">
        <v>0</v>
      </c>
      <c r="K5076" s="3">
        <v>43693.319817600001</v>
      </c>
      <c r="L5076" s="3">
        <v>0</v>
      </c>
      <c r="M5076" s="3">
        <v>0</v>
      </c>
      <c r="N5076" s="3">
        <v>0</v>
      </c>
      <c r="O5076">
        <v>11162.830694533321</v>
      </c>
      <c r="P5076">
        <v>6149040</v>
      </c>
    </row>
    <row r="5077" spans="1:16" x14ac:dyDescent="0.25">
      <c r="A5077" s="10">
        <v>45169</v>
      </c>
      <c r="B5077" s="3">
        <v>472891</v>
      </c>
      <c r="C5077" s="3">
        <v>7423.375</v>
      </c>
      <c r="D5077" s="3">
        <v>0</v>
      </c>
      <c r="E5077" s="3">
        <v>0</v>
      </c>
      <c r="F5077" s="3">
        <v>0</v>
      </c>
      <c r="G5077" s="3">
        <v>303.48116173001472</v>
      </c>
      <c r="H5077" s="3">
        <v>569260.58682816091</v>
      </c>
      <c r="I5077" s="3">
        <v>-249217.45247033</v>
      </c>
      <c r="J5077" s="3">
        <v>0</v>
      </c>
      <c r="K5077" s="3">
        <v>117596.41384922</v>
      </c>
      <c r="L5077" s="3">
        <v>0</v>
      </c>
      <c r="M5077" s="3">
        <v>0</v>
      </c>
      <c r="N5077" s="3">
        <v>0</v>
      </c>
      <c r="O5077">
        <v>27524.595631219101</v>
      </c>
      <c r="P5077">
        <v>6621931</v>
      </c>
    </row>
    <row r="5078" spans="1:16" x14ac:dyDescent="0.25">
      <c r="A5078" s="10">
        <v>45170</v>
      </c>
      <c r="B5078" s="3">
        <v>-1356</v>
      </c>
      <c r="C5078" s="3">
        <v>166.33799999999971</v>
      </c>
      <c r="D5078" s="3">
        <v>0</v>
      </c>
      <c r="E5078" s="3">
        <v>0</v>
      </c>
      <c r="F5078" s="3">
        <v>0</v>
      </c>
      <c r="G5078" s="3">
        <v>1183.08334827004</v>
      </c>
      <c r="H5078" s="3">
        <v>20100.261235019949</v>
      </c>
      <c r="I5078" s="3">
        <v>0</v>
      </c>
      <c r="J5078" s="3">
        <v>0</v>
      </c>
      <c r="K5078" s="3">
        <v>16132.09530764</v>
      </c>
      <c r="L5078" s="3">
        <v>0</v>
      </c>
      <c r="M5078" s="3">
        <v>0</v>
      </c>
      <c r="N5078" s="3">
        <v>0</v>
      </c>
      <c r="O5078">
        <v>-38937.777890930003</v>
      </c>
      <c r="P5078">
        <v>6620575</v>
      </c>
    </row>
    <row r="5079" spans="1:16" x14ac:dyDescent="0.25">
      <c r="A5079" s="10">
        <v>45173</v>
      </c>
      <c r="B5079" s="3">
        <v>-94385</v>
      </c>
      <c r="C5079" s="3">
        <v>3062.985000000001</v>
      </c>
      <c r="D5079" s="3">
        <v>0</v>
      </c>
      <c r="E5079" s="3">
        <v>0</v>
      </c>
      <c r="F5079" s="3">
        <v>0</v>
      </c>
      <c r="G5079" s="3">
        <v>250332.0100145</v>
      </c>
      <c r="H5079" s="3">
        <v>-367377.15772066033</v>
      </c>
      <c r="I5079" s="3">
        <v>0</v>
      </c>
      <c r="J5079" s="3">
        <v>0</v>
      </c>
      <c r="K5079" s="3">
        <v>48208.783619280002</v>
      </c>
      <c r="L5079" s="3">
        <v>0</v>
      </c>
      <c r="M5079" s="3">
        <v>0</v>
      </c>
      <c r="N5079" s="3">
        <v>0</v>
      </c>
      <c r="O5079">
        <v>-28611.620913119739</v>
      </c>
      <c r="P5079">
        <v>6526190</v>
      </c>
    </row>
    <row r="5080" spans="1:16" x14ac:dyDescent="0.25">
      <c r="A5080" s="10">
        <v>45174</v>
      </c>
      <c r="B5080" s="3">
        <v>49885</v>
      </c>
      <c r="C5080" s="3">
        <v>1142.9900000000021</v>
      </c>
      <c r="D5080" s="3">
        <v>0</v>
      </c>
      <c r="E5080" s="3">
        <v>0</v>
      </c>
      <c r="F5080" s="3">
        <v>0</v>
      </c>
      <c r="G5080" s="3">
        <v>-463486.04122760007</v>
      </c>
      <c r="H5080" s="3">
        <v>541169.13624520518</v>
      </c>
      <c r="I5080" s="3">
        <v>-142986.08053470001</v>
      </c>
      <c r="J5080" s="3">
        <v>0</v>
      </c>
      <c r="K5080" s="3">
        <v>142806.76745891999</v>
      </c>
      <c r="L5080" s="3">
        <v>0</v>
      </c>
      <c r="M5080" s="3">
        <v>0</v>
      </c>
      <c r="N5080" s="3">
        <v>0</v>
      </c>
      <c r="O5080">
        <v>-28761.771941825089</v>
      </c>
      <c r="P5080">
        <v>6576075</v>
      </c>
    </row>
    <row r="5081" spans="1:16" x14ac:dyDescent="0.25">
      <c r="A5081" s="10">
        <v>45175</v>
      </c>
      <c r="B5081" s="3">
        <v>-55664</v>
      </c>
      <c r="C5081" s="3">
        <v>7578.6950000000006</v>
      </c>
      <c r="D5081" s="3">
        <v>0</v>
      </c>
      <c r="E5081" s="3">
        <v>0</v>
      </c>
      <c r="F5081" s="3">
        <v>0</v>
      </c>
      <c r="G5081" s="3">
        <v>-20.468047049999999</v>
      </c>
      <c r="H5081" s="3">
        <v>-69203.81970855809</v>
      </c>
      <c r="I5081" s="3">
        <v>16575</v>
      </c>
      <c r="J5081" s="3">
        <v>0</v>
      </c>
      <c r="K5081" s="3">
        <v>24002.811248099999</v>
      </c>
      <c r="L5081" s="3">
        <v>0</v>
      </c>
      <c r="M5081" s="3">
        <v>0</v>
      </c>
      <c r="N5081" s="3">
        <v>0</v>
      </c>
      <c r="O5081">
        <v>-34596.218492491913</v>
      </c>
      <c r="P5081">
        <v>6520411</v>
      </c>
    </row>
    <row r="5082" spans="1:16" x14ac:dyDescent="0.25">
      <c r="A5082" s="10">
        <v>45176</v>
      </c>
      <c r="B5082" s="3">
        <v>100531</v>
      </c>
      <c r="C5082" s="3">
        <v>20403.6345</v>
      </c>
      <c r="D5082" s="3">
        <v>0</v>
      </c>
      <c r="E5082" s="3">
        <v>0</v>
      </c>
      <c r="F5082" s="3">
        <v>0</v>
      </c>
      <c r="G5082" s="3">
        <v>4.0656379300635308</v>
      </c>
      <c r="H5082" s="3">
        <v>179096.7952213884</v>
      </c>
      <c r="I5082" s="3">
        <v>-241212.26177436</v>
      </c>
      <c r="J5082" s="3">
        <v>0</v>
      </c>
      <c r="K5082" s="3">
        <v>123578.43804288001</v>
      </c>
      <c r="L5082" s="3">
        <v>0</v>
      </c>
      <c r="M5082" s="3">
        <v>0</v>
      </c>
      <c r="N5082" s="3">
        <v>0</v>
      </c>
      <c r="O5082">
        <v>18660.328372161501</v>
      </c>
      <c r="P5082">
        <v>6620942</v>
      </c>
    </row>
    <row r="5083" spans="1:16" x14ac:dyDescent="0.25">
      <c r="A5083" s="10">
        <v>45177</v>
      </c>
      <c r="B5083" s="3">
        <v>-68513</v>
      </c>
      <c r="C5083" s="3">
        <v>36383.855000000003</v>
      </c>
      <c r="D5083" s="3">
        <v>0</v>
      </c>
      <c r="E5083" s="3">
        <v>0</v>
      </c>
      <c r="F5083" s="3">
        <v>0</v>
      </c>
      <c r="G5083" s="3">
        <v>2932.4640805599051</v>
      </c>
      <c r="H5083" s="3">
        <v>-119902.11854395219</v>
      </c>
      <c r="I5083" s="3">
        <v>0</v>
      </c>
      <c r="J5083" s="3">
        <v>0</v>
      </c>
      <c r="K5083" s="3">
        <v>15208.806647650001</v>
      </c>
      <c r="L5083" s="3">
        <v>0</v>
      </c>
      <c r="M5083" s="3">
        <v>0</v>
      </c>
      <c r="N5083" s="3">
        <v>0</v>
      </c>
      <c r="O5083">
        <v>-3136.0071842577158</v>
      </c>
      <c r="P5083">
        <v>6552429</v>
      </c>
    </row>
    <row r="5084" spans="1:16" x14ac:dyDescent="0.25">
      <c r="A5084" s="10">
        <v>45180</v>
      </c>
      <c r="B5084" s="3">
        <v>5958</v>
      </c>
      <c r="C5084" s="3">
        <v>18108.235000000001</v>
      </c>
      <c r="D5084" s="3">
        <v>0</v>
      </c>
      <c r="E5084" s="3">
        <v>0</v>
      </c>
      <c r="F5084" s="3">
        <v>0</v>
      </c>
      <c r="G5084" s="3">
        <v>149705.75199088</v>
      </c>
      <c r="H5084" s="3">
        <v>-204132.65815802661</v>
      </c>
      <c r="I5084" s="3">
        <v>0</v>
      </c>
      <c r="J5084" s="3">
        <v>0</v>
      </c>
      <c r="K5084" s="3">
        <v>46719.154643150003</v>
      </c>
      <c r="L5084" s="3">
        <v>0</v>
      </c>
      <c r="M5084" s="3">
        <v>0</v>
      </c>
      <c r="N5084" s="3">
        <v>0</v>
      </c>
      <c r="O5084">
        <v>-4442.4834760033918</v>
      </c>
      <c r="P5084">
        <v>6558387</v>
      </c>
    </row>
    <row r="5085" spans="1:16" x14ac:dyDescent="0.25">
      <c r="A5085" s="10">
        <v>45181</v>
      </c>
      <c r="B5085" s="3">
        <v>49107</v>
      </c>
      <c r="C5085" s="3">
        <v>23888.523000000001</v>
      </c>
      <c r="D5085" s="3">
        <v>0</v>
      </c>
      <c r="E5085" s="3">
        <v>0</v>
      </c>
      <c r="F5085" s="3">
        <v>0</v>
      </c>
      <c r="G5085" s="3">
        <v>-1123.9101658499569</v>
      </c>
      <c r="H5085" s="3">
        <v>-357441.12529710971</v>
      </c>
      <c r="I5085" s="3">
        <v>216782.83373628999</v>
      </c>
      <c r="J5085" s="3">
        <v>0</v>
      </c>
      <c r="K5085" s="3">
        <v>162593.39313863</v>
      </c>
      <c r="L5085" s="3">
        <v>0</v>
      </c>
      <c r="M5085" s="3">
        <v>0</v>
      </c>
      <c r="N5085" s="3">
        <v>0</v>
      </c>
      <c r="O5085">
        <v>4407.2855880396819</v>
      </c>
      <c r="P5085">
        <v>6607494</v>
      </c>
    </row>
    <row r="5086" spans="1:16" x14ac:dyDescent="0.25">
      <c r="A5086" s="10">
        <v>45182</v>
      </c>
      <c r="B5086" s="3">
        <v>-17243</v>
      </c>
      <c r="C5086" s="3">
        <v>8352.0130000000008</v>
      </c>
      <c r="D5086" s="3">
        <v>0</v>
      </c>
      <c r="E5086" s="3">
        <v>0</v>
      </c>
      <c r="F5086" s="3">
        <v>0</v>
      </c>
      <c r="G5086" s="3">
        <v>133.18061560999999</v>
      </c>
      <c r="H5086" s="3">
        <v>-67536.318559896405</v>
      </c>
      <c r="I5086" s="3">
        <v>2295</v>
      </c>
      <c r="J5086" s="3">
        <v>0</v>
      </c>
      <c r="K5086" s="3">
        <v>20030.520688289998</v>
      </c>
      <c r="L5086" s="3">
        <v>0</v>
      </c>
      <c r="M5086" s="3">
        <v>0</v>
      </c>
      <c r="N5086" s="3">
        <v>0</v>
      </c>
      <c r="O5086">
        <v>19482.604255996401</v>
      </c>
      <c r="P5086">
        <v>6590251</v>
      </c>
    </row>
    <row r="5087" spans="1:16" x14ac:dyDescent="0.25">
      <c r="A5087" s="10">
        <v>45183</v>
      </c>
      <c r="B5087" s="3">
        <v>12837</v>
      </c>
      <c r="C5087" s="3">
        <v>2979.0850000000009</v>
      </c>
      <c r="D5087" s="3">
        <v>0</v>
      </c>
      <c r="E5087" s="3">
        <v>0</v>
      </c>
      <c r="F5087" s="3">
        <v>0</v>
      </c>
      <c r="G5087" s="3">
        <v>-2582.32859547</v>
      </c>
      <c r="H5087" s="3">
        <v>-100285.1172065812</v>
      </c>
      <c r="I5087" s="3">
        <v>-96607.648844700016</v>
      </c>
      <c r="J5087" s="3">
        <v>0</v>
      </c>
      <c r="K5087" s="3">
        <v>149682.01461586999</v>
      </c>
      <c r="L5087" s="3">
        <v>0</v>
      </c>
      <c r="M5087" s="3">
        <v>0</v>
      </c>
      <c r="N5087" s="3">
        <v>0</v>
      </c>
      <c r="O5087">
        <v>59650.995030881168</v>
      </c>
      <c r="P5087">
        <v>6603088</v>
      </c>
    </row>
    <row r="5088" spans="1:16" x14ac:dyDescent="0.25">
      <c r="A5088" s="10">
        <v>45184</v>
      </c>
      <c r="B5088" s="3">
        <v>-189557</v>
      </c>
      <c r="C5088" s="3">
        <v>17652.154999999999</v>
      </c>
      <c r="D5088" s="3">
        <v>0</v>
      </c>
      <c r="E5088" s="3">
        <v>0</v>
      </c>
      <c r="F5088" s="3">
        <v>0</v>
      </c>
      <c r="G5088" s="3">
        <v>843.36546088010073</v>
      </c>
      <c r="H5088" s="3">
        <v>-391934.57359477779</v>
      </c>
      <c r="I5088" s="3">
        <v>0</v>
      </c>
      <c r="J5088" s="3">
        <v>0</v>
      </c>
      <c r="K5088" s="3">
        <v>17791.827129339999</v>
      </c>
      <c r="L5088" s="3">
        <v>0</v>
      </c>
      <c r="M5088" s="3">
        <v>0</v>
      </c>
      <c r="N5088" s="3">
        <v>0</v>
      </c>
      <c r="O5088">
        <v>166090.22600455771</v>
      </c>
      <c r="P5088">
        <v>6413531</v>
      </c>
    </row>
    <row r="5089" spans="1:16" x14ac:dyDescent="0.25">
      <c r="A5089" s="10">
        <v>45187</v>
      </c>
      <c r="B5089" s="3">
        <v>-74460</v>
      </c>
      <c r="C5089" s="3">
        <v>17876.82</v>
      </c>
      <c r="D5089" s="3">
        <v>0</v>
      </c>
      <c r="E5089" s="3">
        <v>0</v>
      </c>
      <c r="F5089" s="3">
        <v>0</v>
      </c>
      <c r="G5089" s="3">
        <v>-543694.15900490026</v>
      </c>
      <c r="H5089" s="3">
        <v>246799.11434796231</v>
      </c>
      <c r="I5089" s="3">
        <v>0</v>
      </c>
      <c r="J5089" s="3">
        <v>0</v>
      </c>
      <c r="K5089" s="3">
        <v>56950.838120159999</v>
      </c>
      <c r="L5089" s="3">
        <v>0</v>
      </c>
      <c r="M5089" s="3">
        <v>0</v>
      </c>
      <c r="N5089" s="3">
        <v>0</v>
      </c>
      <c r="O5089">
        <v>147607.38653677801</v>
      </c>
      <c r="P5089">
        <v>6339071</v>
      </c>
    </row>
    <row r="5090" spans="1:16" x14ac:dyDescent="0.25">
      <c r="A5090" s="10">
        <v>45188</v>
      </c>
      <c r="B5090" s="3">
        <v>46184</v>
      </c>
      <c r="C5090" s="3">
        <v>21535.48</v>
      </c>
      <c r="D5090" s="3">
        <v>0</v>
      </c>
      <c r="E5090" s="3">
        <v>0</v>
      </c>
      <c r="F5090" s="3">
        <v>0</v>
      </c>
      <c r="G5090" s="3">
        <v>1020.66203914</v>
      </c>
      <c r="H5090" s="3">
        <v>171583.72433365189</v>
      </c>
      <c r="I5090" s="3">
        <v>-299321.54705598002</v>
      </c>
      <c r="J5090" s="3">
        <v>0</v>
      </c>
      <c r="K5090" s="3">
        <v>158673.45172345001</v>
      </c>
      <c r="L5090" s="3">
        <v>0</v>
      </c>
      <c r="M5090" s="3">
        <v>0</v>
      </c>
      <c r="N5090" s="3">
        <v>0</v>
      </c>
      <c r="O5090">
        <v>-7307.7710402618977</v>
      </c>
      <c r="P5090">
        <v>6385255</v>
      </c>
    </row>
    <row r="5091" spans="1:16" x14ac:dyDescent="0.25">
      <c r="A5091" s="10">
        <v>45189</v>
      </c>
      <c r="B5091" s="3">
        <v>27008</v>
      </c>
      <c r="C5091" s="3">
        <v>317.82999999999993</v>
      </c>
      <c r="D5091" s="3">
        <v>0</v>
      </c>
      <c r="E5091" s="3">
        <v>0</v>
      </c>
      <c r="F5091" s="3">
        <v>0</v>
      </c>
      <c r="G5091" s="3">
        <v>54.846703519999991</v>
      </c>
      <c r="H5091" s="3">
        <v>25516.068460192091</v>
      </c>
      <c r="I5091" s="3">
        <v>1535</v>
      </c>
      <c r="J5091" s="3">
        <v>0</v>
      </c>
      <c r="K5091" s="3">
        <v>18520.56219828</v>
      </c>
      <c r="L5091" s="3">
        <v>0</v>
      </c>
      <c r="M5091" s="3">
        <v>0</v>
      </c>
      <c r="N5091" s="3">
        <v>0</v>
      </c>
      <c r="O5091">
        <v>-18936.307361992091</v>
      </c>
      <c r="P5091">
        <v>6412263</v>
      </c>
    </row>
    <row r="5092" spans="1:16" x14ac:dyDescent="0.25">
      <c r="A5092" s="10">
        <v>45190</v>
      </c>
      <c r="B5092" s="3">
        <v>55273</v>
      </c>
      <c r="C5092" s="3">
        <v>128.5740000000005</v>
      </c>
      <c r="D5092" s="3">
        <v>0</v>
      </c>
      <c r="E5092" s="3">
        <v>0</v>
      </c>
      <c r="F5092" s="3">
        <v>0</v>
      </c>
      <c r="G5092" s="3">
        <v>549971.80768803007</v>
      </c>
      <c r="H5092" s="3">
        <v>-181570.0356444538</v>
      </c>
      <c r="I5092" s="3">
        <v>-455007.02847615001</v>
      </c>
      <c r="J5092" s="3">
        <v>0</v>
      </c>
      <c r="K5092" s="3">
        <v>162461.08019050001</v>
      </c>
      <c r="L5092" s="3">
        <v>0</v>
      </c>
      <c r="M5092" s="3">
        <v>0</v>
      </c>
      <c r="N5092" s="3">
        <v>0</v>
      </c>
      <c r="O5092">
        <v>-20711.397757926199</v>
      </c>
      <c r="P5092">
        <v>6467536</v>
      </c>
    </row>
    <row r="5093" spans="1:16" x14ac:dyDescent="0.25">
      <c r="A5093" s="10">
        <v>45191</v>
      </c>
      <c r="B5093" s="3">
        <v>-3205</v>
      </c>
      <c r="C5093" s="3">
        <v>204.93950000000041</v>
      </c>
      <c r="D5093" s="3">
        <v>0</v>
      </c>
      <c r="E5093" s="3">
        <v>0</v>
      </c>
      <c r="F5093" s="3">
        <v>0</v>
      </c>
      <c r="G5093" s="3">
        <v>4492.2453122300794</v>
      </c>
      <c r="H5093" s="3">
        <v>-14841.993540792029</v>
      </c>
      <c r="I5093" s="3">
        <v>0</v>
      </c>
      <c r="J5093" s="3">
        <v>0</v>
      </c>
      <c r="K5093" s="3">
        <v>18184.656710210002</v>
      </c>
      <c r="L5093" s="3">
        <v>0</v>
      </c>
      <c r="M5093" s="3">
        <v>0</v>
      </c>
      <c r="N5093" s="3">
        <v>0</v>
      </c>
      <c r="O5093">
        <v>-11244.847981648039</v>
      </c>
      <c r="P5093">
        <v>6464331</v>
      </c>
    </row>
    <row r="5094" spans="1:16" x14ac:dyDescent="0.25">
      <c r="A5094" s="10">
        <v>45194</v>
      </c>
      <c r="B5094" s="3">
        <v>-8355</v>
      </c>
      <c r="C5094" s="3">
        <v>-19.200000000000731</v>
      </c>
      <c r="D5094" s="3">
        <v>0</v>
      </c>
      <c r="E5094" s="3">
        <v>0</v>
      </c>
      <c r="F5094" s="3">
        <v>0</v>
      </c>
      <c r="G5094" s="3">
        <v>6767.929668259947</v>
      </c>
      <c r="H5094" s="3">
        <v>-48391.323092040489</v>
      </c>
      <c r="I5094" s="3">
        <v>0</v>
      </c>
      <c r="J5094" s="3">
        <v>0</v>
      </c>
      <c r="K5094" s="3">
        <v>54692.661445859987</v>
      </c>
      <c r="L5094" s="3">
        <v>0</v>
      </c>
      <c r="M5094" s="3">
        <v>0</v>
      </c>
      <c r="N5094" s="3">
        <v>0</v>
      </c>
      <c r="O5094">
        <v>-21405.068022079449</v>
      </c>
      <c r="P5094">
        <v>6455976</v>
      </c>
    </row>
    <row r="5095" spans="1:16" x14ac:dyDescent="0.25">
      <c r="A5095" s="10">
        <v>45195</v>
      </c>
      <c r="B5095" s="3">
        <v>45376</v>
      </c>
      <c r="C5095" s="3">
        <v>1216.4949999999999</v>
      </c>
      <c r="D5095" s="3">
        <v>0</v>
      </c>
      <c r="E5095" s="3">
        <v>0</v>
      </c>
      <c r="F5095" s="3">
        <v>0</v>
      </c>
      <c r="G5095" s="3">
        <v>-41.992282779999996</v>
      </c>
      <c r="H5095" s="3">
        <v>-207949.30943023699</v>
      </c>
      <c r="I5095" s="3">
        <v>419.98291308002081</v>
      </c>
      <c r="J5095" s="3">
        <v>0</v>
      </c>
      <c r="K5095" s="3">
        <v>210394.41819617999</v>
      </c>
      <c r="L5095" s="3">
        <v>0</v>
      </c>
      <c r="M5095" s="3">
        <v>0</v>
      </c>
      <c r="N5095" s="3">
        <v>0</v>
      </c>
      <c r="O5095">
        <v>41336.405603756953</v>
      </c>
      <c r="P5095">
        <v>6501352</v>
      </c>
    </row>
    <row r="5096" spans="1:16" x14ac:dyDescent="0.25">
      <c r="A5096" s="10">
        <v>45196</v>
      </c>
      <c r="B5096" s="3">
        <v>22935</v>
      </c>
      <c r="C5096" s="3">
        <v>589.63000000000011</v>
      </c>
      <c r="D5096" s="3">
        <v>0</v>
      </c>
      <c r="E5096" s="3">
        <v>0</v>
      </c>
      <c r="F5096" s="3">
        <v>0</v>
      </c>
      <c r="G5096" s="3">
        <v>279.65022832003888</v>
      </c>
      <c r="H5096" s="3">
        <v>-35069.929321990741</v>
      </c>
      <c r="I5096" s="3">
        <v>1535</v>
      </c>
      <c r="J5096" s="3">
        <v>0</v>
      </c>
      <c r="K5096" s="3">
        <v>19831.783444090001</v>
      </c>
      <c r="L5096" s="3">
        <v>0</v>
      </c>
      <c r="M5096" s="3">
        <v>0</v>
      </c>
      <c r="N5096" s="3">
        <v>0</v>
      </c>
      <c r="O5096">
        <v>35768.865649580701</v>
      </c>
      <c r="P5096">
        <v>6524287</v>
      </c>
    </row>
    <row r="5097" spans="1:16" x14ac:dyDescent="0.25">
      <c r="A5097" s="10">
        <v>45197</v>
      </c>
      <c r="B5097" s="3">
        <v>-31915</v>
      </c>
      <c r="C5097" s="3">
        <v>693.13500000000022</v>
      </c>
      <c r="D5097" s="3">
        <v>0</v>
      </c>
      <c r="E5097" s="3">
        <v>0</v>
      </c>
      <c r="F5097" s="3">
        <v>0</v>
      </c>
      <c r="G5097" s="3">
        <v>252.14116261999999</v>
      </c>
      <c r="H5097" s="3">
        <v>-656176.27530993812</v>
      </c>
      <c r="I5097" s="3">
        <v>291418.62404148001</v>
      </c>
      <c r="J5097" s="3">
        <v>0</v>
      </c>
      <c r="K5097" s="3">
        <v>163001.40015962999</v>
      </c>
      <c r="L5097" s="3">
        <v>0</v>
      </c>
      <c r="M5097" s="3">
        <v>0</v>
      </c>
      <c r="N5097" s="3">
        <v>0</v>
      </c>
      <c r="O5097">
        <v>168895.97494620809</v>
      </c>
      <c r="P5097">
        <v>6492372</v>
      </c>
    </row>
    <row r="5098" spans="1:16" x14ac:dyDescent="0.25">
      <c r="A5098" s="10">
        <v>45198</v>
      </c>
      <c r="B5098" s="3">
        <v>335837</v>
      </c>
      <c r="C5098" s="3">
        <v>746.94500000000005</v>
      </c>
      <c r="D5098" s="3">
        <v>0</v>
      </c>
      <c r="E5098" s="3">
        <v>0</v>
      </c>
      <c r="F5098" s="3">
        <v>0</v>
      </c>
      <c r="G5098" s="3">
        <v>-325345.60680335021</v>
      </c>
      <c r="H5098" s="3">
        <v>585002.86401843501</v>
      </c>
      <c r="I5098" s="3">
        <v>0</v>
      </c>
      <c r="J5098" s="3">
        <v>0</v>
      </c>
      <c r="K5098" s="3">
        <v>21110.23369121</v>
      </c>
      <c r="L5098" s="3">
        <v>0</v>
      </c>
      <c r="M5098" s="3">
        <v>0</v>
      </c>
      <c r="N5098" s="3">
        <v>0</v>
      </c>
      <c r="O5098">
        <v>54322.56409370515</v>
      </c>
      <c r="P5098">
        <v>6828209</v>
      </c>
    </row>
    <row r="5099" spans="1:16" x14ac:dyDescent="0.25">
      <c r="A5099" s="10">
        <v>45201</v>
      </c>
      <c r="B5099" s="3">
        <v>28402</v>
      </c>
      <c r="C5099" s="3">
        <v>11.545000000000069</v>
      </c>
      <c r="D5099" s="3">
        <v>0</v>
      </c>
      <c r="E5099" s="3">
        <v>0</v>
      </c>
      <c r="F5099" s="3">
        <v>0</v>
      </c>
      <c r="G5099" s="3">
        <v>3882.6797485102429</v>
      </c>
      <c r="H5099" s="3">
        <v>-7580.2260945138241</v>
      </c>
      <c r="I5099" s="3">
        <v>0</v>
      </c>
      <c r="J5099" s="3">
        <v>0</v>
      </c>
      <c r="K5099" s="3">
        <v>57994.615937989998</v>
      </c>
      <c r="L5099" s="3">
        <v>0</v>
      </c>
      <c r="M5099" s="3">
        <v>0</v>
      </c>
      <c r="N5099" s="3">
        <v>0</v>
      </c>
      <c r="O5099">
        <v>-25906.614591986421</v>
      </c>
      <c r="P5099">
        <v>6856611</v>
      </c>
    </row>
    <row r="5100" spans="1:16" x14ac:dyDescent="0.25">
      <c r="A5100" s="10">
        <v>45202</v>
      </c>
      <c r="B5100" s="3">
        <v>105668</v>
      </c>
      <c r="C5100" s="3">
        <v>-6965.2475000000004</v>
      </c>
      <c r="D5100" s="3">
        <v>0</v>
      </c>
      <c r="E5100" s="3">
        <v>0</v>
      </c>
      <c r="F5100" s="3">
        <v>0</v>
      </c>
      <c r="G5100" s="3">
        <v>63.051074170000007</v>
      </c>
      <c r="H5100" s="3">
        <v>-314036.32443601813</v>
      </c>
      <c r="I5100" s="3">
        <v>211321.13631142001</v>
      </c>
      <c r="J5100" s="3">
        <v>0</v>
      </c>
      <c r="K5100" s="3">
        <v>185114.47138738999</v>
      </c>
      <c r="L5100" s="3">
        <v>0</v>
      </c>
      <c r="M5100" s="3">
        <v>0</v>
      </c>
      <c r="N5100" s="3">
        <v>0</v>
      </c>
      <c r="O5100">
        <v>30170.913163038062</v>
      </c>
      <c r="P5100">
        <v>6962279</v>
      </c>
    </row>
    <row r="5101" spans="1:16" x14ac:dyDescent="0.25">
      <c r="A5101" s="10">
        <v>45203</v>
      </c>
      <c r="B5101" s="3">
        <v>14817</v>
      </c>
      <c r="C5101" s="3">
        <v>-28596.122500000001</v>
      </c>
      <c r="D5101" s="3">
        <v>0</v>
      </c>
      <c r="E5101" s="3">
        <v>0</v>
      </c>
      <c r="F5101" s="3">
        <v>0</v>
      </c>
      <c r="G5101" s="3">
        <v>-202.38531208992941</v>
      </c>
      <c r="H5101" s="3">
        <v>93225.222617900145</v>
      </c>
      <c r="I5101" s="3">
        <v>25</v>
      </c>
      <c r="J5101" s="3">
        <v>0</v>
      </c>
      <c r="K5101" s="3">
        <v>20314.600351910001</v>
      </c>
      <c r="L5101" s="3">
        <v>0</v>
      </c>
      <c r="M5101" s="3">
        <v>0</v>
      </c>
      <c r="N5101" s="3">
        <v>0</v>
      </c>
      <c r="O5101">
        <v>-69949.315157720222</v>
      </c>
      <c r="P5101">
        <v>6977096</v>
      </c>
    </row>
    <row r="5102" spans="1:16" x14ac:dyDescent="0.25">
      <c r="A5102" s="10">
        <v>45204</v>
      </c>
      <c r="B5102" s="3">
        <v>48242</v>
      </c>
      <c r="C5102" s="3">
        <v>158.86999999999989</v>
      </c>
      <c r="D5102" s="3">
        <v>0</v>
      </c>
      <c r="E5102" s="3">
        <v>0</v>
      </c>
      <c r="F5102" s="3">
        <v>0</v>
      </c>
      <c r="G5102" s="3">
        <v>257611.73998546979</v>
      </c>
      <c r="H5102" s="3">
        <v>-365603.17225174361</v>
      </c>
      <c r="I5102" s="3">
        <v>-127141.57399562999</v>
      </c>
      <c r="J5102" s="3">
        <v>0</v>
      </c>
      <c r="K5102" s="3">
        <v>173018.88391308</v>
      </c>
      <c r="L5102" s="3">
        <v>0</v>
      </c>
      <c r="M5102" s="3">
        <v>0</v>
      </c>
      <c r="N5102" s="3">
        <v>0</v>
      </c>
      <c r="O5102">
        <v>110197.25234882379</v>
      </c>
      <c r="P5102">
        <v>7025338</v>
      </c>
    </row>
    <row r="5103" spans="1:16" x14ac:dyDescent="0.25">
      <c r="A5103" s="10">
        <v>45205</v>
      </c>
      <c r="B5103" s="3">
        <v>112334</v>
      </c>
      <c r="C5103" s="3">
        <v>-29525.987499999999</v>
      </c>
      <c r="D5103" s="3">
        <v>0</v>
      </c>
      <c r="E5103" s="3">
        <v>0</v>
      </c>
      <c r="F5103" s="3">
        <v>0</v>
      </c>
      <c r="G5103" s="3">
        <v>921.55557649000548</v>
      </c>
      <c r="H5103" s="3">
        <v>159921.97021873979</v>
      </c>
      <c r="I5103" s="3">
        <v>0</v>
      </c>
      <c r="J5103" s="3">
        <v>0</v>
      </c>
      <c r="K5103" s="3">
        <v>21117.881603419999</v>
      </c>
      <c r="L5103" s="3">
        <v>0</v>
      </c>
      <c r="M5103" s="3">
        <v>0</v>
      </c>
      <c r="N5103" s="3">
        <v>0</v>
      </c>
      <c r="O5103">
        <v>-40101.419898649852</v>
      </c>
      <c r="P5103">
        <v>7137672</v>
      </c>
    </row>
    <row r="5104" spans="1:16" x14ac:dyDescent="0.25">
      <c r="A5104" s="10">
        <v>45208</v>
      </c>
      <c r="B5104" s="3">
        <v>-50487</v>
      </c>
      <c r="C5104" s="3">
        <v>-25678.38</v>
      </c>
      <c r="D5104" s="3">
        <v>0</v>
      </c>
      <c r="E5104" s="3">
        <v>0</v>
      </c>
      <c r="F5104" s="3">
        <v>0</v>
      </c>
      <c r="G5104" s="3">
        <v>1726.385673059965</v>
      </c>
      <c r="H5104" s="3">
        <v>-33114.200780432417</v>
      </c>
      <c r="I5104" s="3">
        <v>0</v>
      </c>
      <c r="J5104" s="3">
        <v>0</v>
      </c>
      <c r="K5104" s="3">
        <v>61891.642256289997</v>
      </c>
      <c r="L5104" s="3">
        <v>0</v>
      </c>
      <c r="M5104" s="3">
        <v>0</v>
      </c>
      <c r="N5104" s="3">
        <v>0</v>
      </c>
      <c r="O5104">
        <v>-55312.447148917563</v>
      </c>
      <c r="P5104">
        <v>7087185</v>
      </c>
    </row>
    <row r="5105" spans="1:16" x14ac:dyDescent="0.25">
      <c r="A5105" s="10">
        <v>45209</v>
      </c>
      <c r="B5105" s="3">
        <v>172497</v>
      </c>
      <c r="C5105" s="3">
        <v>-78890.430000000008</v>
      </c>
      <c r="D5105" s="3">
        <v>0</v>
      </c>
      <c r="E5105" s="3">
        <v>0</v>
      </c>
      <c r="F5105" s="3">
        <v>0</v>
      </c>
      <c r="G5105" s="3">
        <v>-290.53590639999999</v>
      </c>
      <c r="H5105" s="3">
        <v>-30439.271062534179</v>
      </c>
      <c r="I5105" s="3">
        <v>182145.30561223</v>
      </c>
      <c r="J5105" s="3">
        <v>0</v>
      </c>
      <c r="K5105" s="3">
        <v>147504.67059953001</v>
      </c>
      <c r="L5105" s="3">
        <v>0</v>
      </c>
      <c r="M5105" s="3">
        <v>0</v>
      </c>
      <c r="N5105" s="3">
        <v>0</v>
      </c>
      <c r="O5105">
        <v>-47532.739242825774</v>
      </c>
      <c r="P5105">
        <v>7259682</v>
      </c>
    </row>
    <row r="5106" spans="1:16" x14ac:dyDescent="0.25">
      <c r="A5106" s="10">
        <v>45210</v>
      </c>
      <c r="B5106" s="3">
        <v>47907</v>
      </c>
      <c r="C5106" s="3">
        <v>-45854.703000000001</v>
      </c>
      <c r="D5106" s="3">
        <v>0</v>
      </c>
      <c r="E5106" s="3">
        <v>0</v>
      </c>
      <c r="F5106" s="3">
        <v>0</v>
      </c>
      <c r="G5106" s="3">
        <v>150499.29054399001</v>
      </c>
      <c r="H5106" s="3">
        <v>-139746.420017041</v>
      </c>
      <c r="I5106" s="3">
        <v>525</v>
      </c>
      <c r="J5106" s="3">
        <v>0</v>
      </c>
      <c r="K5106" s="3">
        <v>21105.08279031</v>
      </c>
      <c r="L5106" s="3">
        <v>0</v>
      </c>
      <c r="M5106" s="3">
        <v>0</v>
      </c>
      <c r="N5106" s="3">
        <v>0</v>
      </c>
      <c r="O5106">
        <v>61378.749682741</v>
      </c>
      <c r="P5106">
        <v>7307589</v>
      </c>
    </row>
    <row r="5107" spans="1:16" x14ac:dyDescent="0.25">
      <c r="A5107" s="10">
        <v>45211</v>
      </c>
      <c r="B5107" s="3">
        <v>314044</v>
      </c>
      <c r="C5107" s="3">
        <v>-44485.165000000001</v>
      </c>
      <c r="D5107" s="3">
        <v>0</v>
      </c>
      <c r="E5107" s="3">
        <v>0</v>
      </c>
      <c r="F5107" s="3">
        <v>0</v>
      </c>
      <c r="G5107" s="3">
        <v>-371.21527087999999</v>
      </c>
      <c r="H5107" s="3">
        <v>-398123.22143874312</v>
      </c>
      <c r="I5107" s="3">
        <v>677199.77535529993</v>
      </c>
      <c r="J5107" s="3">
        <v>0</v>
      </c>
      <c r="K5107" s="3">
        <v>162180.46956431001</v>
      </c>
      <c r="L5107" s="3">
        <v>0</v>
      </c>
      <c r="M5107" s="3">
        <v>0</v>
      </c>
      <c r="N5107" s="3">
        <v>0</v>
      </c>
      <c r="O5107">
        <v>-82356.643209986854</v>
      </c>
      <c r="P5107">
        <v>7621633</v>
      </c>
    </row>
    <row r="5108" spans="1:16" x14ac:dyDescent="0.25">
      <c r="A5108" s="10">
        <v>45216</v>
      </c>
      <c r="B5108" s="3">
        <v>-302443</v>
      </c>
      <c r="C5108" s="3">
        <v>-35383.557999999997</v>
      </c>
      <c r="D5108" s="3">
        <v>0</v>
      </c>
      <c r="E5108" s="3">
        <v>0</v>
      </c>
      <c r="F5108" s="3">
        <v>0</v>
      </c>
      <c r="G5108" s="3">
        <v>131303.77138336</v>
      </c>
      <c r="H5108" s="3">
        <v>-709058.30958453438</v>
      </c>
      <c r="I5108" s="3">
        <v>134625.78020658999</v>
      </c>
      <c r="J5108" s="3">
        <v>0</v>
      </c>
      <c r="K5108" s="3">
        <v>279872.52774574998</v>
      </c>
      <c r="L5108" s="3">
        <v>0</v>
      </c>
      <c r="M5108" s="3">
        <v>0</v>
      </c>
      <c r="N5108" s="3">
        <v>0</v>
      </c>
      <c r="O5108">
        <v>-103803.21175116549</v>
      </c>
      <c r="P5108">
        <v>7319190</v>
      </c>
    </row>
    <row r="5109" spans="1:16" x14ac:dyDescent="0.25">
      <c r="A5109" s="10">
        <v>45217</v>
      </c>
      <c r="B5109" s="3">
        <v>-124440</v>
      </c>
      <c r="C5109" s="3">
        <v>-21579.941999999999</v>
      </c>
      <c r="D5109" s="3">
        <v>0</v>
      </c>
      <c r="E5109" s="3">
        <v>0</v>
      </c>
      <c r="F5109" s="3">
        <v>0</v>
      </c>
      <c r="G5109" s="3">
        <v>-250064.50337068009</v>
      </c>
      <c r="H5109" s="3">
        <v>309699.86277082679</v>
      </c>
      <c r="I5109" s="3">
        <v>1265</v>
      </c>
      <c r="J5109" s="3">
        <v>0</v>
      </c>
      <c r="K5109" s="3">
        <v>28608.596164120001</v>
      </c>
      <c r="L5109" s="3">
        <v>0</v>
      </c>
      <c r="M5109" s="3">
        <v>0</v>
      </c>
      <c r="N5109" s="3">
        <v>0</v>
      </c>
      <c r="O5109">
        <v>-192369.0135642667</v>
      </c>
      <c r="P5109">
        <v>7194750</v>
      </c>
    </row>
    <row r="5110" spans="1:16" x14ac:dyDescent="0.25">
      <c r="A5110" s="10">
        <v>45218</v>
      </c>
      <c r="B5110" s="3">
        <v>155564</v>
      </c>
      <c r="C5110" s="3">
        <v>19980.095000000001</v>
      </c>
      <c r="D5110" s="3">
        <v>0</v>
      </c>
      <c r="E5110" s="3">
        <v>0</v>
      </c>
      <c r="F5110" s="3">
        <v>0</v>
      </c>
      <c r="G5110" s="3">
        <v>-3645.5753791499992</v>
      </c>
      <c r="H5110" s="3">
        <v>-1064709.6707920609</v>
      </c>
      <c r="I5110" s="3">
        <v>911099.1354903999</v>
      </c>
      <c r="J5110" s="3">
        <v>0</v>
      </c>
      <c r="K5110" s="3">
        <v>212771.69831311001</v>
      </c>
      <c r="L5110" s="3">
        <v>0</v>
      </c>
      <c r="M5110" s="3">
        <v>0</v>
      </c>
      <c r="N5110" s="3">
        <v>0</v>
      </c>
      <c r="O5110">
        <v>80068.317367701005</v>
      </c>
      <c r="P5110">
        <v>7350314</v>
      </c>
    </row>
    <row r="5111" spans="1:16" x14ac:dyDescent="0.25">
      <c r="A5111" s="10">
        <v>45219</v>
      </c>
      <c r="B5111" s="3">
        <v>-11203</v>
      </c>
      <c r="C5111" s="3">
        <v>-10098.0375</v>
      </c>
      <c r="D5111" s="3">
        <v>0</v>
      </c>
      <c r="E5111" s="3">
        <v>0</v>
      </c>
      <c r="F5111" s="3">
        <v>0</v>
      </c>
      <c r="G5111" s="3">
        <v>-46729.184846249867</v>
      </c>
      <c r="H5111" s="3">
        <v>144327.27162229901</v>
      </c>
      <c r="I5111" s="3">
        <v>0</v>
      </c>
      <c r="J5111" s="3">
        <v>0</v>
      </c>
      <c r="K5111" s="3">
        <v>30261.135910180001</v>
      </c>
      <c r="L5111" s="3">
        <v>0</v>
      </c>
      <c r="M5111" s="3">
        <v>0</v>
      </c>
      <c r="N5111" s="3">
        <v>0</v>
      </c>
      <c r="O5111">
        <v>-128964.18518622909</v>
      </c>
      <c r="P5111">
        <v>7339111</v>
      </c>
    </row>
    <row r="5112" spans="1:16" x14ac:dyDescent="0.25">
      <c r="A5112" s="10">
        <v>45222</v>
      </c>
      <c r="B5112" s="3">
        <v>-284669</v>
      </c>
      <c r="C5112" s="3">
        <v>66966.60500000001</v>
      </c>
      <c r="D5112" s="3">
        <v>0</v>
      </c>
      <c r="E5112" s="3">
        <v>0</v>
      </c>
      <c r="F5112" s="3">
        <v>0</v>
      </c>
      <c r="G5112" s="3">
        <v>-366.54655581999998</v>
      </c>
      <c r="H5112" s="3">
        <v>-722995.05327462929</v>
      </c>
      <c r="I5112" s="3">
        <v>0</v>
      </c>
      <c r="J5112" s="3">
        <v>0</v>
      </c>
      <c r="K5112" s="3">
        <v>88900.221273339994</v>
      </c>
      <c r="L5112" s="3">
        <v>0</v>
      </c>
      <c r="M5112" s="3">
        <v>0</v>
      </c>
      <c r="N5112" s="3">
        <v>0</v>
      </c>
      <c r="O5112">
        <v>282825.77355710929</v>
      </c>
      <c r="P5112">
        <v>7054442</v>
      </c>
    </row>
    <row r="5113" spans="1:16" x14ac:dyDescent="0.25">
      <c r="A5113" s="10">
        <v>45223</v>
      </c>
      <c r="B5113" s="3">
        <v>8582</v>
      </c>
      <c r="C5113" s="3">
        <v>14588.200999999999</v>
      </c>
      <c r="D5113" s="3">
        <v>0</v>
      </c>
      <c r="E5113" s="3">
        <v>0</v>
      </c>
      <c r="F5113" s="3">
        <v>0</v>
      </c>
      <c r="G5113" s="3">
        <v>344.89479839000001</v>
      </c>
      <c r="H5113" s="3">
        <v>294685.05631079822</v>
      </c>
      <c r="I5113" s="3">
        <v>-333358.62567355001</v>
      </c>
      <c r="J5113" s="3">
        <v>0</v>
      </c>
      <c r="K5113" s="3">
        <v>224185.22933818001</v>
      </c>
      <c r="L5113" s="3">
        <v>0</v>
      </c>
      <c r="M5113" s="3">
        <v>0</v>
      </c>
      <c r="N5113" s="3">
        <v>0</v>
      </c>
      <c r="O5113">
        <v>-191862.75577381809</v>
      </c>
      <c r="P5113">
        <v>7063024</v>
      </c>
    </row>
    <row r="5114" spans="1:16" x14ac:dyDescent="0.25">
      <c r="A5114" s="10">
        <v>45224</v>
      </c>
      <c r="B5114" s="3">
        <v>-40446</v>
      </c>
      <c r="C5114" s="3">
        <v>4374.6990000000014</v>
      </c>
      <c r="D5114" s="3">
        <v>0</v>
      </c>
      <c r="E5114" s="3">
        <v>0</v>
      </c>
      <c r="F5114" s="3">
        <v>0</v>
      </c>
      <c r="G5114" s="3">
        <v>-85.124479339999993</v>
      </c>
      <c r="H5114" s="3">
        <v>-92702.896215374465</v>
      </c>
      <c r="I5114" s="3">
        <v>1525</v>
      </c>
      <c r="J5114" s="3">
        <v>0</v>
      </c>
      <c r="K5114" s="3">
        <v>32154.93205309</v>
      </c>
      <c r="L5114" s="3">
        <v>0</v>
      </c>
      <c r="M5114" s="3">
        <v>0</v>
      </c>
      <c r="N5114" s="3">
        <v>0</v>
      </c>
      <c r="O5114">
        <v>14287.38964162445</v>
      </c>
      <c r="P5114">
        <v>7022578</v>
      </c>
    </row>
    <row r="5115" spans="1:16" x14ac:dyDescent="0.25">
      <c r="A5115" s="10">
        <v>45225</v>
      </c>
      <c r="B5115" s="3">
        <v>24560</v>
      </c>
      <c r="C5115" s="3">
        <v>39017.22</v>
      </c>
      <c r="D5115" s="3">
        <v>0</v>
      </c>
      <c r="E5115" s="3">
        <v>0</v>
      </c>
      <c r="F5115" s="3">
        <v>0</v>
      </c>
      <c r="G5115" s="3">
        <v>31.331513579999989</v>
      </c>
      <c r="H5115" s="3">
        <v>95687.489596762985</v>
      </c>
      <c r="I5115" s="3">
        <v>-352643.68774337001</v>
      </c>
      <c r="J5115" s="3">
        <v>0</v>
      </c>
      <c r="K5115" s="3">
        <v>149110.78681075</v>
      </c>
      <c r="L5115" s="3">
        <v>0</v>
      </c>
      <c r="M5115" s="3">
        <v>0</v>
      </c>
      <c r="N5115" s="3">
        <v>0</v>
      </c>
      <c r="O5115">
        <v>93356.859822277038</v>
      </c>
      <c r="P5115">
        <v>7047138</v>
      </c>
    </row>
    <row r="5116" spans="1:16" x14ac:dyDescent="0.25">
      <c r="A5116" s="10">
        <v>45226</v>
      </c>
      <c r="B5116" s="3">
        <v>11288</v>
      </c>
      <c r="C5116" s="3">
        <v>12747.535</v>
      </c>
      <c r="D5116" s="3">
        <v>0</v>
      </c>
      <c r="E5116" s="3">
        <v>0</v>
      </c>
      <c r="F5116" s="3">
        <v>0</v>
      </c>
      <c r="G5116" s="3">
        <v>-21276.1438946001</v>
      </c>
      <c r="H5116" s="3">
        <v>-59416.39795797877</v>
      </c>
      <c r="I5116" s="3">
        <v>0</v>
      </c>
      <c r="J5116" s="3">
        <v>0</v>
      </c>
      <c r="K5116" s="3">
        <v>31336.706671839998</v>
      </c>
      <c r="L5116" s="3">
        <v>0</v>
      </c>
      <c r="M5116" s="3">
        <v>0</v>
      </c>
      <c r="N5116" s="3">
        <v>0</v>
      </c>
      <c r="O5116">
        <v>47896.300180738857</v>
      </c>
      <c r="P5116">
        <v>7058426</v>
      </c>
    </row>
    <row r="5117" spans="1:16" x14ac:dyDescent="0.25">
      <c r="A5117" s="10">
        <v>45229</v>
      </c>
      <c r="B5117" s="3">
        <v>-86648</v>
      </c>
      <c r="C5117" s="3">
        <v>30389.865000000002</v>
      </c>
      <c r="D5117" s="3">
        <v>0</v>
      </c>
      <c r="E5117" s="3">
        <v>0</v>
      </c>
      <c r="F5117" s="3">
        <v>0</v>
      </c>
      <c r="G5117" s="3">
        <v>2357.044387799921</v>
      </c>
      <c r="H5117" s="3">
        <v>-235668.39696910969</v>
      </c>
      <c r="I5117" s="3">
        <v>0</v>
      </c>
      <c r="J5117" s="3">
        <v>0</v>
      </c>
      <c r="K5117" s="3">
        <v>94640.022225830005</v>
      </c>
      <c r="L5117" s="3">
        <v>0</v>
      </c>
      <c r="M5117" s="3">
        <v>0</v>
      </c>
      <c r="N5117" s="3">
        <v>0</v>
      </c>
      <c r="O5117">
        <v>21633.465355479799</v>
      </c>
      <c r="P5117">
        <v>6971778</v>
      </c>
    </row>
    <row r="5118" spans="1:16" x14ac:dyDescent="0.25">
      <c r="A5118" s="10">
        <v>45230</v>
      </c>
      <c r="B5118" s="3">
        <v>265607</v>
      </c>
      <c r="C5118" s="3">
        <v>48443.017500000002</v>
      </c>
      <c r="D5118" s="3">
        <v>0</v>
      </c>
      <c r="E5118" s="3">
        <v>0</v>
      </c>
      <c r="F5118" s="3">
        <v>0</v>
      </c>
      <c r="G5118" s="3">
        <v>-730229.10463661992</v>
      </c>
      <c r="H5118" s="3">
        <v>569053.08189203101</v>
      </c>
      <c r="I5118" s="3">
        <v>219619.8023482</v>
      </c>
      <c r="J5118" s="3">
        <v>0</v>
      </c>
      <c r="K5118" s="3">
        <v>179048.87172485999</v>
      </c>
      <c r="L5118" s="3">
        <v>0</v>
      </c>
      <c r="M5118" s="3">
        <v>0</v>
      </c>
      <c r="N5118" s="3">
        <v>0</v>
      </c>
      <c r="O5118">
        <v>-20328.668828471102</v>
      </c>
      <c r="P5118">
        <v>7237385</v>
      </c>
    </row>
    <row r="5119" spans="1:16" x14ac:dyDescent="0.25">
      <c r="A5119" s="10">
        <v>45231</v>
      </c>
      <c r="B5119" s="3">
        <v>213363</v>
      </c>
      <c r="C5119" s="3">
        <v>19542.830000000002</v>
      </c>
      <c r="D5119" s="3">
        <v>0</v>
      </c>
      <c r="E5119" s="3">
        <v>0</v>
      </c>
      <c r="F5119" s="3">
        <v>0</v>
      </c>
      <c r="G5119" s="3">
        <v>-1160.96752324</v>
      </c>
      <c r="H5119" s="3">
        <v>154982.79779750531</v>
      </c>
      <c r="I5119" s="3">
        <v>25</v>
      </c>
      <c r="J5119" s="3">
        <v>0</v>
      </c>
      <c r="K5119" s="3">
        <v>30477.33996048</v>
      </c>
      <c r="L5119" s="3">
        <v>0</v>
      </c>
      <c r="M5119" s="3">
        <v>0</v>
      </c>
      <c r="N5119" s="3">
        <v>0</v>
      </c>
      <c r="O5119">
        <v>9495.9997652546735</v>
      </c>
      <c r="P5119">
        <v>7450748</v>
      </c>
    </row>
    <row r="5120" spans="1:16" x14ac:dyDescent="0.25">
      <c r="A5120" s="10">
        <v>45232</v>
      </c>
      <c r="B5120" s="3">
        <v>103740</v>
      </c>
      <c r="C5120" s="3">
        <v>444.97999999999962</v>
      </c>
      <c r="D5120" s="3">
        <v>0</v>
      </c>
      <c r="E5120" s="3">
        <v>0</v>
      </c>
      <c r="F5120" s="3">
        <v>0</v>
      </c>
      <c r="G5120" s="3">
        <v>865.24322800999994</v>
      </c>
      <c r="H5120" s="3">
        <v>-37624.54793716839</v>
      </c>
      <c r="I5120" s="3">
        <v>-44943.641305639991</v>
      </c>
      <c r="J5120" s="3">
        <v>0</v>
      </c>
      <c r="K5120" s="3">
        <v>194308.61918869999</v>
      </c>
      <c r="L5120" s="3">
        <v>0</v>
      </c>
      <c r="M5120" s="3">
        <v>0</v>
      </c>
      <c r="N5120" s="3">
        <v>0</v>
      </c>
      <c r="O5120">
        <v>-9310.6531739015918</v>
      </c>
      <c r="P5120">
        <v>7554488</v>
      </c>
    </row>
    <row r="5121" spans="1:16" x14ac:dyDescent="0.25">
      <c r="A5121" s="10">
        <v>45233</v>
      </c>
      <c r="B5121" s="3">
        <v>139530</v>
      </c>
      <c r="C5121" s="3">
        <v>-121.376</v>
      </c>
      <c r="D5121" s="3">
        <v>-260774.26364309</v>
      </c>
      <c r="E5121" s="3">
        <v>0</v>
      </c>
      <c r="F5121" s="3">
        <v>0</v>
      </c>
      <c r="G5121" s="3">
        <v>849256.96046623006</v>
      </c>
      <c r="H5121" s="3">
        <v>-465274.98057245952</v>
      </c>
      <c r="I5121" s="3">
        <v>0</v>
      </c>
      <c r="J5121" s="3">
        <v>0</v>
      </c>
      <c r="K5121" s="3">
        <v>29888.508515469999</v>
      </c>
      <c r="L5121" s="3">
        <v>0</v>
      </c>
      <c r="M5121" s="3">
        <v>0</v>
      </c>
      <c r="N5121" s="3">
        <v>0</v>
      </c>
      <c r="O5121">
        <v>-13444.848766150541</v>
      </c>
      <c r="P5121">
        <v>7694018</v>
      </c>
    </row>
    <row r="5122" spans="1:16" x14ac:dyDescent="0.25">
      <c r="A5122" s="10">
        <v>45237</v>
      </c>
      <c r="B5122" s="3">
        <v>-5825</v>
      </c>
      <c r="C5122" s="3">
        <v>-1568.6475</v>
      </c>
      <c r="D5122" s="3">
        <v>0</v>
      </c>
      <c r="E5122" s="3">
        <v>0</v>
      </c>
      <c r="F5122" s="3">
        <v>0</v>
      </c>
      <c r="G5122" s="3">
        <v>117.61356107</v>
      </c>
      <c r="H5122" s="3">
        <v>-4514.7954951251158</v>
      </c>
      <c r="I5122" s="3">
        <v>-208194.50845183001</v>
      </c>
      <c r="J5122" s="3">
        <v>0</v>
      </c>
      <c r="K5122" s="3">
        <v>236122.06946095999</v>
      </c>
      <c r="L5122" s="3">
        <v>0</v>
      </c>
      <c r="M5122" s="3">
        <v>0</v>
      </c>
      <c r="N5122" s="3">
        <v>0</v>
      </c>
      <c r="O5122">
        <v>-27786.731575074871</v>
      </c>
      <c r="P5122">
        <v>7688193</v>
      </c>
    </row>
    <row r="5123" spans="1:16" x14ac:dyDescent="0.25">
      <c r="A5123" s="10">
        <v>45238</v>
      </c>
      <c r="B5123" s="3">
        <v>-15580</v>
      </c>
      <c r="C5123" s="3">
        <v>12610.352500000001</v>
      </c>
      <c r="D5123" s="3">
        <v>0</v>
      </c>
      <c r="E5123" s="3">
        <v>0</v>
      </c>
      <c r="F5123" s="3">
        <v>0</v>
      </c>
      <c r="G5123" s="3">
        <v>-459.74259365</v>
      </c>
      <c r="H5123" s="3">
        <v>-8411.1169998388505</v>
      </c>
      <c r="I5123" s="3">
        <v>25</v>
      </c>
      <c r="J5123" s="3">
        <v>0</v>
      </c>
      <c r="K5123" s="3">
        <v>31456.98403431</v>
      </c>
      <c r="L5123" s="3">
        <v>0</v>
      </c>
      <c r="M5123" s="3">
        <v>0</v>
      </c>
      <c r="N5123" s="3">
        <v>0</v>
      </c>
      <c r="O5123">
        <v>-50801.476940821143</v>
      </c>
      <c r="P5123">
        <v>7672613</v>
      </c>
    </row>
    <row r="5124" spans="1:16" x14ac:dyDescent="0.25">
      <c r="A5124" s="10">
        <v>45239</v>
      </c>
      <c r="B5124" s="3">
        <v>-3130</v>
      </c>
      <c r="C5124" s="3">
        <v>12935.678</v>
      </c>
      <c r="D5124" s="3">
        <v>0</v>
      </c>
      <c r="E5124" s="3">
        <v>0</v>
      </c>
      <c r="F5124" s="3">
        <v>0</v>
      </c>
      <c r="G5124" s="3">
        <v>20915.194544659949</v>
      </c>
      <c r="H5124" s="3">
        <v>12622.82491444086</v>
      </c>
      <c r="I5124" s="3">
        <v>-164445.95961123001</v>
      </c>
      <c r="J5124" s="3">
        <v>0</v>
      </c>
      <c r="K5124" s="3">
        <v>111127.22350761</v>
      </c>
      <c r="L5124" s="3">
        <v>0</v>
      </c>
      <c r="M5124" s="3">
        <v>0</v>
      </c>
      <c r="N5124" s="3">
        <v>0</v>
      </c>
      <c r="O5124">
        <v>3715.038644519198</v>
      </c>
      <c r="P5124">
        <v>7669483</v>
      </c>
    </row>
    <row r="5125" spans="1:16" x14ac:dyDescent="0.25">
      <c r="A5125" s="10">
        <v>45240</v>
      </c>
      <c r="B5125" s="3">
        <v>50196</v>
      </c>
      <c r="C5125" s="3">
        <v>1635.61</v>
      </c>
      <c r="D5125" s="3">
        <v>0</v>
      </c>
      <c r="E5125" s="3">
        <v>0</v>
      </c>
      <c r="F5125" s="3">
        <v>0</v>
      </c>
      <c r="G5125" s="3">
        <v>-17683.809964290122</v>
      </c>
      <c r="H5125" s="3">
        <v>32382.930220323498</v>
      </c>
      <c r="I5125" s="3">
        <v>0</v>
      </c>
      <c r="J5125" s="3">
        <v>0</v>
      </c>
      <c r="K5125" s="3">
        <v>31463.24434949</v>
      </c>
      <c r="L5125" s="3">
        <v>0</v>
      </c>
      <c r="M5125" s="3">
        <v>0</v>
      </c>
      <c r="N5125" s="3">
        <v>0</v>
      </c>
      <c r="O5125">
        <v>2398.0253944766232</v>
      </c>
      <c r="P5125">
        <v>7719679</v>
      </c>
    </row>
    <row r="5126" spans="1:16" x14ac:dyDescent="0.25">
      <c r="A5126" s="10">
        <v>45243</v>
      </c>
      <c r="B5126" s="3">
        <v>-82160</v>
      </c>
      <c r="C5126" s="3">
        <v>6851.5999999999995</v>
      </c>
      <c r="D5126" s="3">
        <v>0</v>
      </c>
      <c r="E5126" s="3">
        <v>0</v>
      </c>
      <c r="F5126" s="3">
        <v>0</v>
      </c>
      <c r="G5126" s="3">
        <v>264.74155050003901</v>
      </c>
      <c r="H5126" s="3">
        <v>23328.17743853922</v>
      </c>
      <c r="I5126" s="3">
        <v>0</v>
      </c>
      <c r="J5126" s="3">
        <v>0</v>
      </c>
      <c r="K5126" s="3">
        <v>94040.972770990003</v>
      </c>
      <c r="L5126" s="3">
        <v>0</v>
      </c>
      <c r="M5126" s="3">
        <v>0</v>
      </c>
      <c r="N5126" s="3">
        <v>0</v>
      </c>
      <c r="O5126">
        <v>-206645.49176002931</v>
      </c>
      <c r="P5126">
        <v>7637519</v>
      </c>
    </row>
    <row r="5127" spans="1:16" x14ac:dyDescent="0.25">
      <c r="A5127" s="10">
        <v>45244</v>
      </c>
      <c r="B5127" s="3">
        <v>54643</v>
      </c>
      <c r="C5127" s="3">
        <v>-320.20999999999998</v>
      </c>
      <c r="D5127" s="3">
        <v>0</v>
      </c>
      <c r="E5127" s="3">
        <v>0</v>
      </c>
      <c r="F5127" s="3">
        <v>0</v>
      </c>
      <c r="G5127" s="3">
        <v>-918.34190926999997</v>
      </c>
      <c r="H5127" s="3">
        <v>56318.152492978486</v>
      </c>
      <c r="I5127" s="3">
        <v>-166904.17787141999</v>
      </c>
      <c r="J5127" s="3">
        <v>0</v>
      </c>
      <c r="K5127" s="3">
        <v>206376.09393202001</v>
      </c>
      <c r="L5127" s="3">
        <v>0</v>
      </c>
      <c r="M5127" s="3">
        <v>0</v>
      </c>
      <c r="N5127" s="3">
        <v>0</v>
      </c>
      <c r="O5127">
        <v>-39908.516644308467</v>
      </c>
      <c r="P5127">
        <v>7692162</v>
      </c>
    </row>
    <row r="5128" spans="1:16" x14ac:dyDescent="0.25">
      <c r="A5128" s="10">
        <v>45245</v>
      </c>
      <c r="B5128" s="3">
        <v>40712</v>
      </c>
      <c r="C5128" s="3">
        <v>43396.464999999997</v>
      </c>
      <c r="D5128" s="3">
        <v>0</v>
      </c>
      <c r="E5128" s="3">
        <v>0</v>
      </c>
      <c r="F5128" s="3">
        <v>0</v>
      </c>
      <c r="G5128" s="3">
        <v>2725.3783693700102</v>
      </c>
      <c r="H5128" s="3">
        <v>56657.177206102533</v>
      </c>
      <c r="I5128" s="3">
        <v>265</v>
      </c>
      <c r="J5128" s="3">
        <v>0</v>
      </c>
      <c r="K5128" s="3">
        <v>31249.175488410001</v>
      </c>
      <c r="L5128" s="3">
        <v>0</v>
      </c>
      <c r="M5128" s="3">
        <v>0</v>
      </c>
      <c r="N5128" s="3">
        <v>0</v>
      </c>
      <c r="O5128">
        <v>-93581.196063882526</v>
      </c>
      <c r="P5128">
        <v>7732874</v>
      </c>
    </row>
    <row r="5129" spans="1:16" x14ac:dyDescent="0.25">
      <c r="A5129" s="10">
        <v>45246</v>
      </c>
      <c r="B5129" s="3">
        <v>26114</v>
      </c>
      <c r="C5129" s="3">
        <v>46212.385000000002</v>
      </c>
      <c r="D5129" s="3">
        <v>0</v>
      </c>
      <c r="E5129" s="3">
        <v>0</v>
      </c>
      <c r="F5129" s="3">
        <v>0</v>
      </c>
      <c r="G5129" s="3">
        <v>-1241.7383913599999</v>
      </c>
      <c r="H5129" s="3">
        <v>-324743.33536444762</v>
      </c>
      <c r="I5129" s="3">
        <v>208830.89037842001</v>
      </c>
      <c r="J5129" s="3">
        <v>0</v>
      </c>
      <c r="K5129" s="3">
        <v>147594.15569047001</v>
      </c>
      <c r="L5129" s="3">
        <v>0</v>
      </c>
      <c r="M5129" s="3">
        <v>0</v>
      </c>
      <c r="N5129" s="3">
        <v>0</v>
      </c>
      <c r="O5129">
        <v>-50538.357313082503</v>
      </c>
      <c r="P5129">
        <v>7758988</v>
      </c>
    </row>
    <row r="5130" spans="1:16" x14ac:dyDescent="0.25">
      <c r="A5130" s="10">
        <v>45247</v>
      </c>
      <c r="B5130" s="3">
        <v>75210</v>
      </c>
      <c r="C5130" s="3">
        <v>69.970000000000027</v>
      </c>
      <c r="D5130" s="3">
        <v>0</v>
      </c>
      <c r="E5130" s="3">
        <v>0</v>
      </c>
      <c r="F5130" s="3">
        <v>0</v>
      </c>
      <c r="G5130" s="3">
        <v>-6069.4517560999366</v>
      </c>
      <c r="H5130" s="3">
        <v>169602.10227520851</v>
      </c>
      <c r="I5130" s="3">
        <v>0</v>
      </c>
      <c r="J5130" s="3">
        <v>0</v>
      </c>
      <c r="K5130" s="3">
        <v>31956.815111299999</v>
      </c>
      <c r="L5130" s="3">
        <v>0</v>
      </c>
      <c r="M5130" s="3">
        <v>0</v>
      </c>
      <c r="N5130" s="3">
        <v>0</v>
      </c>
      <c r="O5130">
        <v>-120349.43563040849</v>
      </c>
      <c r="P5130">
        <v>7834198</v>
      </c>
    </row>
    <row r="5131" spans="1:16" x14ac:dyDescent="0.25">
      <c r="A5131" s="10">
        <v>45251</v>
      </c>
      <c r="B5131" s="3">
        <v>-137206</v>
      </c>
      <c r="C5131" s="3">
        <v>-864.53450000000009</v>
      </c>
      <c r="D5131" s="3">
        <v>0</v>
      </c>
      <c r="E5131" s="3">
        <v>0</v>
      </c>
      <c r="F5131" s="3">
        <v>0</v>
      </c>
      <c r="G5131" s="3">
        <v>8321.6664014998823</v>
      </c>
      <c r="H5131" s="3">
        <v>-2212435.68147439</v>
      </c>
      <c r="I5131" s="3">
        <v>1479861.5453524201</v>
      </c>
      <c r="J5131" s="3">
        <v>0</v>
      </c>
      <c r="K5131" s="3">
        <v>375802.49597812002</v>
      </c>
      <c r="L5131" s="3">
        <v>0</v>
      </c>
      <c r="M5131" s="3">
        <v>0</v>
      </c>
      <c r="N5131" s="3">
        <v>0</v>
      </c>
      <c r="O5131">
        <v>212108.50824234981</v>
      </c>
      <c r="P5131">
        <v>7696992</v>
      </c>
    </row>
    <row r="5132" spans="1:16" x14ac:dyDescent="0.25">
      <c r="A5132" s="10">
        <v>45252</v>
      </c>
      <c r="B5132" s="3">
        <v>-21181</v>
      </c>
      <c r="C5132" s="3">
        <v>2720.502</v>
      </c>
      <c r="D5132" s="3">
        <v>0</v>
      </c>
      <c r="E5132" s="3">
        <v>0</v>
      </c>
      <c r="F5132" s="3">
        <v>0</v>
      </c>
      <c r="G5132" s="3">
        <v>-177.51775885999999</v>
      </c>
      <c r="H5132" s="3">
        <v>-128430.4223281227</v>
      </c>
      <c r="I5132" s="3">
        <v>275</v>
      </c>
      <c r="J5132" s="3">
        <v>0</v>
      </c>
      <c r="K5132" s="3">
        <v>39022.673037369997</v>
      </c>
      <c r="L5132" s="3">
        <v>0</v>
      </c>
      <c r="M5132" s="3">
        <v>0</v>
      </c>
      <c r="N5132" s="3">
        <v>0</v>
      </c>
      <c r="O5132">
        <v>65408.765049612673</v>
      </c>
      <c r="P5132">
        <v>7675811</v>
      </c>
    </row>
    <row r="5133" spans="1:16" x14ac:dyDescent="0.25">
      <c r="A5133" s="10">
        <v>45253</v>
      </c>
      <c r="B5133" s="3">
        <v>79796</v>
      </c>
      <c r="C5133" s="3">
        <v>8914.5650000000005</v>
      </c>
      <c r="D5133" s="3">
        <v>0</v>
      </c>
      <c r="E5133" s="3">
        <v>0</v>
      </c>
      <c r="F5133" s="3">
        <v>0</v>
      </c>
      <c r="G5133" s="3">
        <v>-343413.61868986988</v>
      </c>
      <c r="H5133" s="3">
        <v>-1588592.91023773</v>
      </c>
      <c r="I5133" s="3">
        <v>1477604.9190807301</v>
      </c>
      <c r="J5133" s="3">
        <v>0</v>
      </c>
      <c r="K5133" s="3">
        <v>207521.62550960001</v>
      </c>
      <c r="L5133" s="3">
        <v>0</v>
      </c>
      <c r="M5133" s="3">
        <v>0</v>
      </c>
      <c r="N5133" s="3">
        <v>0</v>
      </c>
      <c r="O5133">
        <v>317761.41933727037</v>
      </c>
      <c r="P5133">
        <v>7755607</v>
      </c>
    </row>
    <row r="5134" spans="1:16" x14ac:dyDescent="0.25">
      <c r="A5134" s="10">
        <v>45254</v>
      </c>
      <c r="B5134" s="3">
        <v>130366</v>
      </c>
      <c r="C5134" s="3">
        <v>-10093.73</v>
      </c>
      <c r="D5134" s="3">
        <v>0</v>
      </c>
      <c r="E5134" s="3">
        <v>0</v>
      </c>
      <c r="F5134" s="3">
        <v>0</v>
      </c>
      <c r="G5134" s="3">
        <v>-14716.40327530005</v>
      </c>
      <c r="H5134" s="3">
        <v>119208.1285391795</v>
      </c>
      <c r="I5134" s="3">
        <v>0</v>
      </c>
      <c r="J5134" s="3">
        <v>0</v>
      </c>
      <c r="K5134" s="3">
        <v>44198.277579360001</v>
      </c>
      <c r="L5134" s="3">
        <v>0</v>
      </c>
      <c r="M5134" s="3">
        <v>0</v>
      </c>
      <c r="N5134" s="3">
        <v>0</v>
      </c>
      <c r="O5134">
        <v>-8230.2728432394215</v>
      </c>
      <c r="P5134">
        <v>7885973</v>
      </c>
    </row>
    <row r="5135" spans="1:16" x14ac:dyDescent="0.25">
      <c r="A5135" s="10">
        <v>45257</v>
      </c>
      <c r="B5135" s="3">
        <v>105009</v>
      </c>
      <c r="C5135" s="3">
        <v>-6899.2</v>
      </c>
      <c r="D5135" s="3">
        <v>0</v>
      </c>
      <c r="E5135" s="3">
        <v>0</v>
      </c>
      <c r="F5135" s="3">
        <v>0</v>
      </c>
      <c r="G5135" s="3">
        <v>-6.1935250099999948</v>
      </c>
      <c r="H5135" s="3">
        <v>-6641.0044236998074</v>
      </c>
      <c r="I5135" s="3">
        <v>0</v>
      </c>
      <c r="J5135" s="3">
        <v>0</v>
      </c>
      <c r="K5135" s="3">
        <v>130418.04087588</v>
      </c>
      <c r="L5135" s="3">
        <v>0</v>
      </c>
      <c r="M5135" s="3">
        <v>0</v>
      </c>
      <c r="N5135" s="3">
        <v>0</v>
      </c>
      <c r="O5135">
        <v>-11862.642927170191</v>
      </c>
      <c r="P5135">
        <v>7990982</v>
      </c>
    </row>
    <row r="5136" spans="1:16" x14ac:dyDescent="0.25">
      <c r="A5136" s="10">
        <v>45258</v>
      </c>
      <c r="B5136" s="3">
        <v>150517</v>
      </c>
      <c r="C5136" s="3">
        <v>-7999.84</v>
      </c>
      <c r="D5136" s="3">
        <v>0</v>
      </c>
      <c r="E5136" s="3">
        <v>0</v>
      </c>
      <c r="F5136" s="3">
        <v>0</v>
      </c>
      <c r="G5136" s="3">
        <v>-238.44458546999999</v>
      </c>
      <c r="H5136" s="3">
        <v>-1299717.9430788399</v>
      </c>
      <c r="I5136" s="3">
        <v>1080668.05890351</v>
      </c>
      <c r="J5136" s="3">
        <v>0</v>
      </c>
      <c r="K5136" s="3">
        <v>186176.33503803</v>
      </c>
      <c r="L5136" s="3">
        <v>0</v>
      </c>
      <c r="M5136" s="3">
        <v>0</v>
      </c>
      <c r="N5136" s="3">
        <v>0</v>
      </c>
      <c r="O5136">
        <v>191628.83372276989</v>
      </c>
      <c r="P5136">
        <v>8141499</v>
      </c>
    </row>
    <row r="5137" spans="1:16" x14ac:dyDescent="0.25">
      <c r="A5137" s="10">
        <v>45259</v>
      </c>
      <c r="B5137" s="3">
        <v>-235460</v>
      </c>
      <c r="C5137" s="3">
        <v>31625.633999999998</v>
      </c>
      <c r="D5137" s="3">
        <v>0</v>
      </c>
      <c r="E5137" s="3">
        <v>0</v>
      </c>
      <c r="F5137" s="3">
        <v>0</v>
      </c>
      <c r="G5137" s="3">
        <v>40.706609999999998</v>
      </c>
      <c r="H5137" s="3">
        <v>-325539.74578456441</v>
      </c>
      <c r="I5137" s="3">
        <v>325</v>
      </c>
      <c r="J5137" s="3">
        <v>0</v>
      </c>
      <c r="K5137" s="3">
        <v>47753.151261480001</v>
      </c>
      <c r="L5137" s="3">
        <v>0</v>
      </c>
      <c r="M5137" s="3">
        <v>0</v>
      </c>
      <c r="N5137" s="3">
        <v>0</v>
      </c>
      <c r="O5137">
        <v>10335.253913084391</v>
      </c>
      <c r="P5137">
        <v>7906039</v>
      </c>
    </row>
    <row r="5138" spans="1:16" x14ac:dyDescent="0.25">
      <c r="A5138" s="10">
        <v>45260</v>
      </c>
      <c r="B5138" s="3">
        <v>1067491</v>
      </c>
      <c r="C5138" s="3">
        <v>-33080.654999999999</v>
      </c>
      <c r="D5138" s="3">
        <v>0</v>
      </c>
      <c r="E5138" s="3">
        <v>0</v>
      </c>
      <c r="F5138" s="3">
        <v>0</v>
      </c>
      <c r="G5138" s="3">
        <v>-914150.48148880992</v>
      </c>
      <c r="H5138" s="3">
        <v>-58258.661478346206</v>
      </c>
      <c r="I5138" s="3">
        <v>1810816.7603096699</v>
      </c>
      <c r="J5138" s="3">
        <v>0</v>
      </c>
      <c r="K5138" s="3">
        <v>238351.92305394</v>
      </c>
      <c r="L5138" s="3">
        <v>0</v>
      </c>
      <c r="M5138" s="3">
        <v>0</v>
      </c>
      <c r="N5138" s="3">
        <v>0</v>
      </c>
      <c r="O5138">
        <v>23812.114603546219</v>
      </c>
      <c r="P5138">
        <v>8973530</v>
      </c>
    </row>
    <row r="5139" spans="1:16" x14ac:dyDescent="0.25">
      <c r="A5139" s="10">
        <v>45261</v>
      </c>
      <c r="B5139" s="3">
        <v>-463198</v>
      </c>
      <c r="C5139" s="3">
        <v>-37177.39</v>
      </c>
      <c r="D5139" s="3">
        <v>-15000</v>
      </c>
      <c r="E5139" s="3">
        <v>0</v>
      </c>
      <c r="F5139" s="3">
        <v>0</v>
      </c>
      <c r="G5139" s="3">
        <v>15693.7084594199</v>
      </c>
      <c r="H5139" s="3">
        <v>-494264.15023898432</v>
      </c>
      <c r="I5139" s="3">
        <v>0</v>
      </c>
      <c r="J5139" s="3">
        <v>0</v>
      </c>
      <c r="K5139" s="3">
        <v>48467.352290479997</v>
      </c>
      <c r="L5139" s="3">
        <v>0</v>
      </c>
      <c r="M5139" s="3">
        <v>0</v>
      </c>
      <c r="N5139" s="3">
        <v>0</v>
      </c>
      <c r="O5139">
        <v>19082.479489084391</v>
      </c>
      <c r="P5139">
        <v>8510332</v>
      </c>
    </row>
    <row r="5140" spans="1:16" x14ac:dyDescent="0.25">
      <c r="A5140" s="10">
        <v>45264</v>
      </c>
      <c r="B5140" s="3">
        <v>-52412</v>
      </c>
      <c r="C5140" s="3">
        <v>-31727.8675</v>
      </c>
      <c r="D5140" s="3">
        <v>0</v>
      </c>
      <c r="E5140" s="3">
        <v>0</v>
      </c>
      <c r="F5140" s="3">
        <v>0</v>
      </c>
      <c r="G5140" s="3">
        <v>-158.44834674000001</v>
      </c>
      <c r="H5140" s="3">
        <v>-168523.19515287879</v>
      </c>
      <c r="I5140" s="3">
        <v>0</v>
      </c>
      <c r="J5140" s="3">
        <v>0</v>
      </c>
      <c r="K5140" s="3">
        <v>150215.47112040481</v>
      </c>
      <c r="L5140" s="3">
        <v>0</v>
      </c>
      <c r="M5140" s="3">
        <v>0</v>
      </c>
      <c r="N5140" s="3">
        <v>0</v>
      </c>
      <c r="O5140">
        <v>-2217.960120786011</v>
      </c>
      <c r="P5140">
        <v>8457920</v>
      </c>
    </row>
    <row r="5141" spans="1:16" x14ac:dyDescent="0.25">
      <c r="A5141" s="10">
        <v>45265</v>
      </c>
      <c r="B5141" s="3">
        <v>455744</v>
      </c>
      <c r="C5141" s="3">
        <v>-27302.933000000001</v>
      </c>
      <c r="D5141" s="3">
        <v>0</v>
      </c>
      <c r="E5141" s="3">
        <v>0</v>
      </c>
      <c r="F5141" s="3">
        <v>0</v>
      </c>
      <c r="G5141" s="3">
        <v>2245.4969646898098</v>
      </c>
      <c r="H5141" s="3">
        <v>-1126172.18155349</v>
      </c>
      <c r="I5141" s="3">
        <v>1400576.9811005699</v>
      </c>
      <c r="J5141" s="3">
        <v>0</v>
      </c>
      <c r="K5141" s="3">
        <v>196032.03632176999</v>
      </c>
      <c r="L5141" s="3">
        <v>0</v>
      </c>
      <c r="M5141" s="3">
        <v>0</v>
      </c>
      <c r="N5141" s="3">
        <v>0</v>
      </c>
      <c r="O5141">
        <v>10364.600166459801</v>
      </c>
      <c r="P5141">
        <v>8913664</v>
      </c>
    </row>
    <row r="5142" spans="1:16" x14ac:dyDescent="0.25">
      <c r="A5142" s="10">
        <v>45266</v>
      </c>
      <c r="B5142" s="3">
        <v>30790</v>
      </c>
      <c r="C5142" s="3">
        <v>-54363.421000000002</v>
      </c>
      <c r="D5142" s="3">
        <v>0</v>
      </c>
      <c r="E5142" s="3">
        <v>0</v>
      </c>
      <c r="F5142" s="3">
        <v>0</v>
      </c>
      <c r="G5142" s="3">
        <v>-142.42526428005661</v>
      </c>
      <c r="H5142" s="3">
        <v>26130.185301549729</v>
      </c>
      <c r="I5142" s="3">
        <v>250</v>
      </c>
      <c r="J5142" s="3">
        <v>0</v>
      </c>
      <c r="K5142" s="3">
        <v>54478.804459769999</v>
      </c>
      <c r="L5142" s="3">
        <v>0</v>
      </c>
      <c r="M5142" s="3">
        <v>0</v>
      </c>
      <c r="N5142" s="3">
        <v>0</v>
      </c>
      <c r="O5142">
        <v>4436.8565029603269</v>
      </c>
      <c r="P5142">
        <v>8944454</v>
      </c>
    </row>
    <row r="5143" spans="1:16" x14ac:dyDescent="0.25">
      <c r="A5143" s="10">
        <v>45267</v>
      </c>
      <c r="B5143" s="3">
        <v>1180505</v>
      </c>
      <c r="C5143" s="3">
        <v>-146125.92499999999</v>
      </c>
      <c r="D5143" s="3">
        <v>0</v>
      </c>
      <c r="E5143" s="3">
        <v>0</v>
      </c>
      <c r="F5143" s="3">
        <v>0</v>
      </c>
      <c r="G5143" s="3">
        <v>-208.74093739999989</v>
      </c>
      <c r="H5143" s="3">
        <v>-81163.346855796874</v>
      </c>
      <c r="I5143" s="3">
        <v>1028862.31397015</v>
      </c>
      <c r="J5143" s="3">
        <v>0</v>
      </c>
      <c r="K5143" s="3">
        <v>160770.40123704041</v>
      </c>
      <c r="L5143" s="3">
        <v>0</v>
      </c>
      <c r="M5143" s="3">
        <v>0</v>
      </c>
      <c r="N5143" s="3">
        <v>0</v>
      </c>
      <c r="O5143">
        <v>218370.297586006</v>
      </c>
      <c r="P5143">
        <v>10124959</v>
      </c>
    </row>
    <row r="5144" spans="1:16" x14ac:dyDescent="0.25">
      <c r="A5144" s="10">
        <v>45271</v>
      </c>
      <c r="B5144" s="3">
        <v>-354737</v>
      </c>
      <c r="C5144" s="3">
        <v>8751.6979002000007</v>
      </c>
      <c r="D5144" s="3">
        <v>0</v>
      </c>
      <c r="E5144" s="3">
        <v>0</v>
      </c>
      <c r="F5144" s="3">
        <v>0</v>
      </c>
      <c r="G5144" s="3">
        <v>599716.31682668999</v>
      </c>
      <c r="H5144" s="3">
        <v>-1203253.872093827</v>
      </c>
      <c r="I5144" s="3">
        <v>0</v>
      </c>
      <c r="J5144" s="3">
        <v>0</v>
      </c>
      <c r="K5144" s="3">
        <v>217502.69932322</v>
      </c>
      <c r="L5144" s="3">
        <v>0</v>
      </c>
      <c r="M5144" s="3">
        <v>0</v>
      </c>
      <c r="N5144" s="3">
        <v>0</v>
      </c>
      <c r="O5144">
        <v>22546.158043717442</v>
      </c>
      <c r="P5144">
        <v>9770222</v>
      </c>
    </row>
    <row r="5145" spans="1:16" x14ac:dyDescent="0.25">
      <c r="A5145" s="10">
        <v>45272</v>
      </c>
      <c r="B5145" s="3">
        <v>157775</v>
      </c>
      <c r="C5145" s="3">
        <v>3377.1170842500001</v>
      </c>
      <c r="D5145" s="3">
        <v>0</v>
      </c>
      <c r="E5145" s="3">
        <v>0</v>
      </c>
      <c r="F5145" s="3">
        <v>0</v>
      </c>
      <c r="G5145" s="3">
        <v>-110.60186684999999</v>
      </c>
      <c r="H5145" s="3">
        <v>-1465348.238364812</v>
      </c>
      <c r="I5145" s="3">
        <v>1391107.79252727</v>
      </c>
      <c r="J5145" s="3">
        <v>0</v>
      </c>
      <c r="K5145" s="3">
        <v>250463.72507508489</v>
      </c>
      <c r="L5145" s="3">
        <v>0</v>
      </c>
      <c r="M5145" s="3">
        <v>0</v>
      </c>
      <c r="N5145" s="3">
        <v>0</v>
      </c>
      <c r="O5145">
        <v>-21714.79445494301</v>
      </c>
      <c r="P5145">
        <v>9927997</v>
      </c>
    </row>
    <row r="5146" spans="1:16" x14ac:dyDescent="0.25">
      <c r="A5146" s="10">
        <v>45273</v>
      </c>
      <c r="B5146" s="3">
        <v>-1073897</v>
      </c>
      <c r="C5146" s="3">
        <v>228625.71</v>
      </c>
      <c r="D5146" s="3">
        <v>0</v>
      </c>
      <c r="E5146" s="3">
        <v>0</v>
      </c>
      <c r="F5146" s="3">
        <v>0</v>
      </c>
      <c r="G5146" s="3">
        <v>38145.390829820048</v>
      </c>
      <c r="H5146" s="3">
        <v>-1614924.4379131291</v>
      </c>
      <c r="I5146" s="3">
        <v>1625</v>
      </c>
      <c r="J5146" s="3">
        <v>0</v>
      </c>
      <c r="K5146" s="3">
        <v>64428.745545020007</v>
      </c>
      <c r="L5146" s="3">
        <v>0</v>
      </c>
      <c r="M5146" s="3">
        <v>0</v>
      </c>
      <c r="N5146" s="3">
        <v>0</v>
      </c>
      <c r="O5146">
        <v>208202.5915382891</v>
      </c>
      <c r="P5146">
        <v>8854100</v>
      </c>
    </row>
    <row r="5147" spans="1:16" x14ac:dyDescent="0.25">
      <c r="A5147" s="10">
        <v>45274</v>
      </c>
      <c r="B5147" s="3">
        <v>-14126</v>
      </c>
      <c r="C5147" s="3">
        <v>188877.95250000001</v>
      </c>
      <c r="D5147" s="3">
        <v>0</v>
      </c>
      <c r="E5147" s="3">
        <v>0</v>
      </c>
      <c r="F5147" s="3">
        <v>0</v>
      </c>
      <c r="G5147" s="3">
        <v>881.57222453999975</v>
      </c>
      <c r="H5147" s="3">
        <v>-896586.01266180724</v>
      </c>
      <c r="I5147" s="3">
        <v>2.0023435354232791E-8</v>
      </c>
      <c r="J5147" s="3">
        <v>0</v>
      </c>
      <c r="K5147" s="3">
        <v>151003.0399439832</v>
      </c>
      <c r="L5147" s="3">
        <v>0</v>
      </c>
      <c r="M5147" s="3">
        <v>0</v>
      </c>
      <c r="N5147" s="3">
        <v>0</v>
      </c>
      <c r="O5147">
        <v>541697.44799326395</v>
      </c>
      <c r="P5147">
        <v>8839974</v>
      </c>
    </row>
    <row r="5148" spans="1:16" x14ac:dyDescent="0.25">
      <c r="A5148" s="10">
        <v>45275</v>
      </c>
      <c r="B5148" s="3">
        <v>192430</v>
      </c>
      <c r="C5148" s="3">
        <v>165985.5705</v>
      </c>
      <c r="D5148" s="3">
        <v>-30747.997491980001</v>
      </c>
      <c r="E5148" s="3">
        <v>0</v>
      </c>
      <c r="F5148" s="3">
        <v>0</v>
      </c>
      <c r="G5148" s="3">
        <v>32639.401628640251</v>
      </c>
      <c r="H5148" s="3">
        <v>-312126.7488128629</v>
      </c>
      <c r="I5148" s="3">
        <v>0</v>
      </c>
      <c r="J5148" s="3">
        <v>0</v>
      </c>
      <c r="K5148" s="3">
        <v>58454.704215719998</v>
      </c>
      <c r="L5148" s="3">
        <v>0</v>
      </c>
      <c r="M5148" s="3">
        <v>0</v>
      </c>
      <c r="N5148" s="3">
        <v>0</v>
      </c>
      <c r="O5148">
        <v>278225.06996048271</v>
      </c>
      <c r="P5148">
        <v>9032404</v>
      </c>
    </row>
    <row r="5149" spans="1:16" x14ac:dyDescent="0.25">
      <c r="A5149" s="10">
        <v>45278</v>
      </c>
      <c r="B5149" s="3">
        <v>-130972</v>
      </c>
      <c r="C5149" s="3">
        <v>172733.33799999999</v>
      </c>
      <c r="D5149" s="3">
        <v>-73252.002508019999</v>
      </c>
      <c r="E5149" s="3">
        <v>0</v>
      </c>
      <c r="F5149" s="3">
        <v>0</v>
      </c>
      <c r="G5149" s="3">
        <v>80016.601630729856</v>
      </c>
      <c r="H5149" s="3">
        <v>-586354.25800058153</v>
      </c>
      <c r="I5149" s="3">
        <v>0</v>
      </c>
      <c r="J5149" s="3">
        <v>0</v>
      </c>
      <c r="K5149" s="3">
        <v>178589.71465665</v>
      </c>
      <c r="L5149" s="3">
        <v>0</v>
      </c>
      <c r="M5149" s="3">
        <v>0</v>
      </c>
      <c r="N5149" s="3">
        <v>0</v>
      </c>
      <c r="O5149">
        <v>97294.606221221649</v>
      </c>
      <c r="P5149">
        <v>8901432</v>
      </c>
    </row>
    <row r="5150" spans="1:16" x14ac:dyDescent="0.25">
      <c r="A5150" s="10">
        <v>45279</v>
      </c>
      <c r="B5150" s="3">
        <v>51663</v>
      </c>
      <c r="C5150" s="3">
        <v>144187.67449999999</v>
      </c>
      <c r="D5150" s="3">
        <v>0</v>
      </c>
      <c r="E5150" s="3">
        <v>0</v>
      </c>
      <c r="F5150" s="3">
        <v>0</v>
      </c>
      <c r="G5150" s="3">
        <v>-3084.44246724</v>
      </c>
      <c r="H5150" s="3">
        <v>-1346609.2009020711</v>
      </c>
      <c r="I5150" s="3">
        <v>974322.41231849999</v>
      </c>
      <c r="J5150" s="3">
        <v>0</v>
      </c>
      <c r="K5150" s="3">
        <v>160780.16133179</v>
      </c>
      <c r="L5150" s="3">
        <v>0</v>
      </c>
      <c r="M5150" s="3">
        <v>0</v>
      </c>
      <c r="N5150" s="3">
        <v>0</v>
      </c>
      <c r="O5150">
        <v>122066.3952190205</v>
      </c>
      <c r="P5150">
        <v>8953095</v>
      </c>
    </row>
    <row r="5151" spans="1:16" x14ac:dyDescent="0.25">
      <c r="A5151" s="10">
        <v>45280</v>
      </c>
      <c r="B5151" s="3">
        <v>91885</v>
      </c>
      <c r="C5151" s="3">
        <v>137496.984</v>
      </c>
      <c r="D5151" s="3">
        <v>0</v>
      </c>
      <c r="E5151" s="3">
        <v>0</v>
      </c>
      <c r="F5151" s="3">
        <v>0</v>
      </c>
      <c r="G5151" s="3">
        <v>3458.9908290399999</v>
      </c>
      <c r="H5151" s="3">
        <v>-222354.60085149729</v>
      </c>
      <c r="I5151" s="3">
        <v>4275</v>
      </c>
      <c r="J5151" s="3">
        <v>0</v>
      </c>
      <c r="K5151" s="3">
        <v>67844.114600950008</v>
      </c>
      <c r="L5151" s="3">
        <v>0</v>
      </c>
      <c r="M5151" s="3">
        <v>0</v>
      </c>
      <c r="N5151" s="3">
        <v>0</v>
      </c>
      <c r="O5151">
        <v>101164.5114215073</v>
      </c>
      <c r="P5151">
        <v>9044980</v>
      </c>
    </row>
    <row r="5152" spans="1:16" x14ac:dyDescent="0.25">
      <c r="A5152" s="10">
        <v>45281</v>
      </c>
      <c r="B5152" s="3">
        <v>122620</v>
      </c>
      <c r="C5152" s="3">
        <v>216329.8</v>
      </c>
      <c r="D5152" s="3">
        <v>0</v>
      </c>
      <c r="E5152" s="3">
        <v>0</v>
      </c>
      <c r="F5152" s="3">
        <v>0</v>
      </c>
      <c r="G5152" s="3">
        <v>-497.0930762000001</v>
      </c>
      <c r="H5152" s="3">
        <v>-446369.31620219181</v>
      </c>
      <c r="I5152" s="3">
        <v>173144.5144445</v>
      </c>
      <c r="J5152" s="3">
        <v>0</v>
      </c>
      <c r="K5152" s="3">
        <v>83544.025792200002</v>
      </c>
      <c r="L5152" s="3">
        <v>0</v>
      </c>
      <c r="M5152" s="3">
        <v>0</v>
      </c>
      <c r="N5152" s="3">
        <v>0</v>
      </c>
      <c r="O5152">
        <v>96468.069041691779</v>
      </c>
      <c r="P5152">
        <v>9167600</v>
      </c>
    </row>
    <row r="5153" spans="1:16" x14ac:dyDescent="0.25">
      <c r="A5153" s="10">
        <v>45282</v>
      </c>
      <c r="B5153" s="3">
        <v>-136695</v>
      </c>
      <c r="C5153" s="3">
        <v>268223.17499999999</v>
      </c>
      <c r="D5153" s="3">
        <v>0</v>
      </c>
      <c r="E5153" s="3">
        <v>0</v>
      </c>
      <c r="F5153" s="3">
        <v>0</v>
      </c>
      <c r="G5153" s="3">
        <v>-2962525.8385299998</v>
      </c>
      <c r="H5153" s="3">
        <v>2139206.02863729</v>
      </c>
      <c r="I5153" s="3">
        <v>0</v>
      </c>
      <c r="J5153" s="3">
        <v>0</v>
      </c>
      <c r="K5153" s="3">
        <v>67192.598314860021</v>
      </c>
      <c r="L5153" s="3">
        <v>0</v>
      </c>
      <c r="M5153" s="3">
        <v>0</v>
      </c>
      <c r="N5153" s="3">
        <v>0</v>
      </c>
      <c r="O5153">
        <v>351209.03657784982</v>
      </c>
      <c r="P5153">
        <v>9030905</v>
      </c>
    </row>
    <row r="5154" spans="1:16" x14ac:dyDescent="0.25">
      <c r="A5154" s="10">
        <v>45286</v>
      </c>
      <c r="B5154" s="3">
        <v>182539</v>
      </c>
      <c r="C5154" s="3">
        <v>150492.74249999999</v>
      </c>
      <c r="D5154" s="3">
        <v>0</v>
      </c>
      <c r="E5154" s="3">
        <v>0</v>
      </c>
      <c r="F5154" s="3">
        <v>0</v>
      </c>
      <c r="G5154" s="3">
        <v>-677.43253139988292</v>
      </c>
      <c r="H5154" s="3">
        <v>-746281.37323816493</v>
      </c>
      <c r="I5154" s="3">
        <v>319558.02772190003</v>
      </c>
      <c r="J5154" s="3">
        <v>0</v>
      </c>
      <c r="K5154" s="3">
        <v>278219.59594751091</v>
      </c>
      <c r="L5154" s="3">
        <v>0</v>
      </c>
      <c r="M5154" s="3">
        <v>0</v>
      </c>
      <c r="N5154" s="3">
        <v>0</v>
      </c>
      <c r="O5154">
        <v>181227.43960015391</v>
      </c>
      <c r="P5154">
        <v>9213444</v>
      </c>
    </row>
    <row r="5155" spans="1:16" x14ac:dyDescent="0.25">
      <c r="A5155" s="10">
        <v>45287</v>
      </c>
      <c r="B5155" s="3">
        <v>13371</v>
      </c>
      <c r="C5155" s="3">
        <v>165388.79</v>
      </c>
      <c r="D5155" s="3">
        <v>0</v>
      </c>
      <c r="E5155" s="3">
        <v>0</v>
      </c>
      <c r="F5155" s="3">
        <v>0</v>
      </c>
      <c r="G5155" s="3">
        <v>792.59929783000007</v>
      </c>
      <c r="H5155" s="3">
        <v>-295799.18719195569</v>
      </c>
      <c r="I5155" s="3">
        <v>2525</v>
      </c>
      <c r="J5155" s="3">
        <v>0</v>
      </c>
      <c r="K5155" s="3">
        <v>65075.656656098537</v>
      </c>
      <c r="L5155" s="3">
        <v>0</v>
      </c>
      <c r="M5155" s="3">
        <v>0</v>
      </c>
      <c r="N5155" s="3">
        <v>0</v>
      </c>
      <c r="O5155">
        <v>75388.141238027179</v>
      </c>
      <c r="P5155">
        <v>9226815</v>
      </c>
    </row>
    <row r="5156" spans="1:16" x14ac:dyDescent="0.25">
      <c r="A5156" s="10">
        <v>45288</v>
      </c>
      <c r="B5156" s="3">
        <v>-21071</v>
      </c>
      <c r="C5156" s="3">
        <v>246141.9675</v>
      </c>
      <c r="D5156" s="3">
        <v>0</v>
      </c>
      <c r="E5156" s="3">
        <v>0</v>
      </c>
      <c r="F5156" s="3">
        <v>0</v>
      </c>
      <c r="G5156" s="3">
        <v>200648.99583835999</v>
      </c>
      <c r="H5156" s="3">
        <v>-639924.75575626642</v>
      </c>
      <c r="I5156" s="3">
        <v>51530.516242570011</v>
      </c>
      <c r="J5156" s="3">
        <v>0</v>
      </c>
      <c r="K5156" s="3">
        <v>69537.919853639702</v>
      </c>
      <c r="L5156" s="3">
        <v>0</v>
      </c>
      <c r="M5156" s="3">
        <v>0</v>
      </c>
      <c r="N5156" s="3">
        <v>0</v>
      </c>
      <c r="O5156">
        <v>50994.356321696723</v>
      </c>
      <c r="P5156">
        <v>9205744</v>
      </c>
    </row>
    <row r="5157" spans="1:16" x14ac:dyDescent="0.25">
      <c r="A5157" s="10">
        <v>45289</v>
      </c>
      <c r="B5157" s="3">
        <v>402248</v>
      </c>
      <c r="C5157" s="3">
        <v>217958.11</v>
      </c>
      <c r="D5157" s="3">
        <v>0</v>
      </c>
      <c r="E5157" s="3">
        <v>0</v>
      </c>
      <c r="F5157" s="3">
        <v>0</v>
      </c>
      <c r="G5157" s="3">
        <v>281.38547440990811</v>
      </c>
      <c r="H5157" s="3">
        <v>30394.20075530239</v>
      </c>
      <c r="I5157" s="3">
        <v>0</v>
      </c>
      <c r="J5157" s="3">
        <v>0</v>
      </c>
      <c r="K5157" s="3">
        <v>66043.364532699998</v>
      </c>
      <c r="L5157" s="3">
        <v>0</v>
      </c>
      <c r="M5157" s="3">
        <v>0</v>
      </c>
      <c r="N5157" s="3">
        <v>0</v>
      </c>
      <c r="O5157" s="3">
        <v>87570.939237587736</v>
      </c>
      <c r="P5157">
        <v>9607992</v>
      </c>
    </row>
    <row r="5158" spans="1:16" x14ac:dyDescent="0.25">
      <c r="A5158" s="10">
        <v>45293</v>
      </c>
      <c r="B5158" s="3">
        <v>90741</v>
      </c>
      <c r="C5158" s="3">
        <v>71734.8</v>
      </c>
      <c r="D5158" s="3">
        <v>-12000</v>
      </c>
      <c r="E5158" s="3">
        <v>0</v>
      </c>
      <c r="F5158" s="3">
        <v>0</v>
      </c>
      <c r="G5158" s="3">
        <v>94598.500093029928</v>
      </c>
      <c r="H5158" s="3">
        <v>-434014.3676112002</v>
      </c>
      <c r="I5158" s="3">
        <v>25995.7237556</v>
      </c>
      <c r="J5158" s="3">
        <v>0</v>
      </c>
      <c r="K5158" s="3">
        <v>266335.46003587998</v>
      </c>
      <c r="L5158" s="3">
        <v>0</v>
      </c>
      <c r="M5158" s="3">
        <v>0</v>
      </c>
      <c r="N5158" s="3">
        <v>0</v>
      </c>
      <c r="O5158">
        <v>78090.883726690256</v>
      </c>
      <c r="P5158">
        <v>9698733</v>
      </c>
    </row>
    <row r="5159" spans="1:16" x14ac:dyDescent="0.25">
      <c r="A5159" s="10">
        <v>45294</v>
      </c>
      <c r="B5159" s="3">
        <v>-22497</v>
      </c>
      <c r="C5159" s="3">
        <v>115565.52800000001</v>
      </c>
      <c r="D5159" s="3">
        <v>0</v>
      </c>
      <c r="E5159" s="3">
        <v>0</v>
      </c>
      <c r="F5159" s="3">
        <v>0</v>
      </c>
      <c r="G5159" s="3">
        <v>414.16610358000003</v>
      </c>
      <c r="H5159" s="3">
        <v>-308257.69042894518</v>
      </c>
      <c r="I5159" s="3">
        <v>3025</v>
      </c>
      <c r="J5159" s="3">
        <v>0</v>
      </c>
      <c r="K5159" s="3">
        <v>68928.06334796999</v>
      </c>
      <c r="L5159" s="3">
        <v>0</v>
      </c>
      <c r="M5159" s="3">
        <v>0</v>
      </c>
      <c r="N5159" s="3">
        <v>0</v>
      </c>
      <c r="O5159">
        <v>97827.932977395278</v>
      </c>
      <c r="P5159">
        <v>9676236</v>
      </c>
    </row>
    <row r="5160" spans="1:16" x14ac:dyDescent="0.25">
      <c r="A5160" s="10">
        <v>45295</v>
      </c>
      <c r="B5160" s="3">
        <v>16348</v>
      </c>
      <c r="C5160" s="3">
        <v>136000.33499999999</v>
      </c>
      <c r="D5160" s="3">
        <v>-7500</v>
      </c>
      <c r="E5160" s="3">
        <v>0</v>
      </c>
      <c r="F5160" s="3">
        <v>0</v>
      </c>
      <c r="G5160" s="3">
        <v>7428.3184438099852</v>
      </c>
      <c r="H5160" s="3">
        <v>-321371.39529996231</v>
      </c>
      <c r="I5160" s="3">
        <v>15380.742727499999</v>
      </c>
      <c r="J5160" s="3">
        <v>0</v>
      </c>
      <c r="K5160" s="3">
        <v>69359.934335330006</v>
      </c>
      <c r="L5160" s="3">
        <v>0</v>
      </c>
      <c r="M5160" s="3">
        <v>0</v>
      </c>
      <c r="N5160" s="3">
        <v>0</v>
      </c>
      <c r="O5160">
        <v>117050.06479332229</v>
      </c>
      <c r="P5160">
        <v>9692584</v>
      </c>
    </row>
    <row r="5161" spans="1:16" x14ac:dyDescent="0.25">
      <c r="A5161" s="10">
        <v>45296</v>
      </c>
      <c r="B5161" s="3">
        <v>140117</v>
      </c>
      <c r="C5161" s="3">
        <v>188969.82399999999</v>
      </c>
      <c r="D5161" s="3">
        <v>0</v>
      </c>
      <c r="E5161" s="3">
        <v>0</v>
      </c>
      <c r="F5161" s="3">
        <v>0</v>
      </c>
      <c r="G5161" s="3">
        <v>9556.6749389799079</v>
      </c>
      <c r="H5161" s="3">
        <v>-155450.72854531769</v>
      </c>
      <c r="I5161" s="3">
        <v>0</v>
      </c>
      <c r="J5161" s="3">
        <v>0</v>
      </c>
      <c r="K5161" s="3">
        <v>68706.831416629997</v>
      </c>
      <c r="L5161" s="3">
        <v>0</v>
      </c>
      <c r="M5161" s="3">
        <v>0</v>
      </c>
      <c r="N5161" s="3">
        <v>0</v>
      </c>
      <c r="O5161">
        <v>28334.398189707761</v>
      </c>
      <c r="P5161">
        <v>9832701</v>
      </c>
    </row>
    <row r="5162" spans="1:16" x14ac:dyDescent="0.25">
      <c r="A5162" s="10">
        <v>45299</v>
      </c>
      <c r="B5162" s="3">
        <v>172919</v>
      </c>
      <c r="C5162" s="3">
        <v>59317.421999999999</v>
      </c>
      <c r="D5162" s="3">
        <v>0</v>
      </c>
      <c r="E5162" s="3">
        <v>0</v>
      </c>
      <c r="F5162" s="3">
        <v>0</v>
      </c>
      <c r="G5162" s="3">
        <v>301.10135812999209</v>
      </c>
      <c r="H5162" s="3">
        <v>-108769.1154543187</v>
      </c>
      <c r="I5162" s="3">
        <v>0</v>
      </c>
      <c r="J5162" s="3">
        <v>0</v>
      </c>
      <c r="K5162" s="3">
        <v>207560.31086107</v>
      </c>
      <c r="L5162" s="3">
        <v>0</v>
      </c>
      <c r="M5162" s="3">
        <v>0</v>
      </c>
      <c r="N5162" s="3">
        <v>0</v>
      </c>
      <c r="O5162">
        <v>14509.281235118749</v>
      </c>
      <c r="P5162">
        <v>10005620</v>
      </c>
    </row>
    <row r="5163" spans="1:16" x14ac:dyDescent="0.25">
      <c r="A5163" s="10">
        <v>45300</v>
      </c>
      <c r="B5163" s="3">
        <v>280700</v>
      </c>
      <c r="C5163" s="3">
        <v>104498.776</v>
      </c>
      <c r="D5163" s="3">
        <v>0</v>
      </c>
      <c r="E5163" s="3">
        <v>0</v>
      </c>
      <c r="F5163" s="3">
        <v>0</v>
      </c>
      <c r="G5163" s="3">
        <v>-475.41125434000003</v>
      </c>
      <c r="H5163" s="3">
        <v>-464732.48445487762</v>
      </c>
      <c r="I5163" s="3">
        <v>491970.52643148002</v>
      </c>
      <c r="J5163" s="3">
        <v>0</v>
      </c>
      <c r="K5163" s="3">
        <v>119683.60362936</v>
      </c>
      <c r="L5163" s="3">
        <v>0</v>
      </c>
      <c r="M5163" s="3">
        <v>0</v>
      </c>
      <c r="N5163" s="3">
        <v>0</v>
      </c>
      <c r="O5163">
        <v>29754.989648377581</v>
      </c>
      <c r="P5163">
        <v>10286320</v>
      </c>
    </row>
    <row r="5164" spans="1:16" x14ac:dyDescent="0.25">
      <c r="A5164" s="10">
        <v>45301</v>
      </c>
      <c r="B5164" s="3">
        <v>-12261</v>
      </c>
      <c r="C5164" s="3">
        <v>103084.85</v>
      </c>
      <c r="D5164" s="3">
        <v>0</v>
      </c>
      <c r="E5164" s="3">
        <v>0</v>
      </c>
      <c r="F5164" s="3">
        <v>0</v>
      </c>
      <c r="G5164" s="3">
        <v>-1658.3068138199999</v>
      </c>
      <c r="H5164" s="3">
        <v>-210168.86610696581</v>
      </c>
      <c r="I5164" s="3">
        <v>2525</v>
      </c>
      <c r="J5164" s="3">
        <v>0</v>
      </c>
      <c r="K5164" s="3">
        <v>72400.794499430005</v>
      </c>
      <c r="L5164" s="3">
        <v>0</v>
      </c>
      <c r="M5164" s="3">
        <v>0</v>
      </c>
      <c r="N5164" s="3">
        <v>0</v>
      </c>
      <c r="O5164">
        <v>21555.528421355801</v>
      </c>
      <c r="P5164">
        <v>10274059</v>
      </c>
    </row>
    <row r="5165" spans="1:16" x14ac:dyDescent="0.25">
      <c r="A5165" s="10">
        <v>45302</v>
      </c>
      <c r="B5165" s="3">
        <v>-7424</v>
      </c>
      <c r="C5165" s="3">
        <v>144466.63800000001</v>
      </c>
      <c r="D5165" s="3">
        <v>0</v>
      </c>
      <c r="E5165" s="3">
        <v>0</v>
      </c>
      <c r="F5165" s="3">
        <v>0</v>
      </c>
      <c r="G5165" s="3">
        <v>-1837.3221112799999</v>
      </c>
      <c r="H5165" s="3">
        <v>-1233873.72321305</v>
      </c>
      <c r="I5165" s="3">
        <v>935020.42722934997</v>
      </c>
      <c r="J5165" s="3">
        <v>0</v>
      </c>
      <c r="K5165" s="3">
        <v>166827.69370368999</v>
      </c>
      <c r="L5165" s="3">
        <v>0</v>
      </c>
      <c r="M5165" s="3">
        <v>0</v>
      </c>
      <c r="N5165" s="3">
        <v>0</v>
      </c>
      <c r="O5165">
        <v>-18027.713608710419</v>
      </c>
      <c r="P5165">
        <v>10266635</v>
      </c>
    </row>
    <row r="5166" spans="1:16" x14ac:dyDescent="0.25">
      <c r="A5166" s="10">
        <v>45303</v>
      </c>
      <c r="B5166" s="3">
        <v>-4734</v>
      </c>
      <c r="C5166" s="3">
        <v>245026.4</v>
      </c>
      <c r="D5166" s="3">
        <v>0</v>
      </c>
      <c r="E5166" s="3">
        <v>0</v>
      </c>
      <c r="F5166" s="3">
        <v>0</v>
      </c>
      <c r="G5166" s="3">
        <v>1486.86215526</v>
      </c>
      <c r="H5166" s="3">
        <v>-333933.61386067641</v>
      </c>
      <c r="I5166" s="3">
        <v>0</v>
      </c>
      <c r="J5166" s="3">
        <v>0</v>
      </c>
      <c r="K5166" s="3">
        <v>74814.303271340003</v>
      </c>
      <c r="L5166" s="3">
        <v>0</v>
      </c>
      <c r="M5166" s="3">
        <v>0</v>
      </c>
      <c r="N5166" s="3">
        <v>0</v>
      </c>
      <c r="O5166">
        <v>7872.0484340763651</v>
      </c>
      <c r="P5166">
        <v>10261901</v>
      </c>
    </row>
    <row r="5167" spans="1:16" x14ac:dyDescent="0.25">
      <c r="A5167" s="10">
        <v>45306</v>
      </c>
      <c r="B5167" s="3">
        <v>95310</v>
      </c>
      <c r="C5167" s="3">
        <v>65925.100000000006</v>
      </c>
      <c r="D5167" s="3">
        <v>-85000</v>
      </c>
      <c r="E5167" s="3">
        <v>0</v>
      </c>
      <c r="F5167" s="3">
        <v>0</v>
      </c>
      <c r="G5167" s="3">
        <v>88517.780308539979</v>
      </c>
      <c r="H5167" s="3">
        <v>-212151.47557155331</v>
      </c>
      <c r="I5167" s="3">
        <v>0</v>
      </c>
      <c r="J5167" s="3">
        <v>0</v>
      </c>
      <c r="K5167" s="3">
        <v>227259.72452096001</v>
      </c>
      <c r="L5167" s="3">
        <v>0</v>
      </c>
      <c r="M5167" s="3">
        <v>0</v>
      </c>
      <c r="N5167" s="3">
        <v>0</v>
      </c>
      <c r="O5167">
        <v>10758.87074205335</v>
      </c>
      <c r="P5167">
        <v>10357211</v>
      </c>
    </row>
    <row r="5168" spans="1:16" x14ac:dyDescent="0.25">
      <c r="A5168" s="10">
        <v>45307</v>
      </c>
      <c r="B5168" s="3">
        <v>14040</v>
      </c>
      <c r="C5168" s="3">
        <v>182640.82500000001</v>
      </c>
      <c r="D5168" s="3">
        <v>0</v>
      </c>
      <c r="E5168" s="3">
        <v>0</v>
      </c>
      <c r="F5168" s="3">
        <v>0</v>
      </c>
      <c r="G5168" s="3">
        <v>-369.00954101999997</v>
      </c>
      <c r="H5168" s="3">
        <v>-301868.26109917433</v>
      </c>
      <c r="I5168" s="3">
        <v>0</v>
      </c>
      <c r="J5168" s="3">
        <v>0</v>
      </c>
      <c r="K5168" s="3">
        <v>76433.344418150009</v>
      </c>
      <c r="L5168" s="3">
        <v>0</v>
      </c>
      <c r="M5168" s="3">
        <v>0</v>
      </c>
      <c r="N5168" s="3">
        <v>0</v>
      </c>
      <c r="O5168">
        <v>57203.101222044279</v>
      </c>
      <c r="P5168">
        <v>10371251</v>
      </c>
    </row>
    <row r="5169" spans="1:16" x14ac:dyDescent="0.25">
      <c r="A5169" s="10">
        <v>45308</v>
      </c>
      <c r="B5169" s="3">
        <v>457849</v>
      </c>
      <c r="C5169" s="3">
        <v>165263.98000000001</v>
      </c>
      <c r="D5169" s="3">
        <v>0</v>
      </c>
      <c r="E5169" s="3">
        <v>0</v>
      </c>
      <c r="F5169" s="3">
        <v>0</v>
      </c>
      <c r="G5169" s="3">
        <v>-4.3271926200000053</v>
      </c>
      <c r="H5169" s="3">
        <v>20673.958518851781</v>
      </c>
      <c r="I5169" s="3">
        <v>2745.0000000000009</v>
      </c>
      <c r="J5169" s="3">
        <v>0</v>
      </c>
      <c r="K5169" s="3">
        <v>78980.797806160001</v>
      </c>
      <c r="L5169" s="3">
        <v>0</v>
      </c>
      <c r="M5169" s="3">
        <v>0</v>
      </c>
      <c r="N5169" s="3">
        <v>0</v>
      </c>
      <c r="O5169">
        <v>190189.5908676082</v>
      </c>
      <c r="P5169">
        <v>10829100</v>
      </c>
    </row>
    <row r="5170" spans="1:16" x14ac:dyDescent="0.25">
      <c r="A5170" s="10">
        <v>45309</v>
      </c>
      <c r="B5170" s="3">
        <v>-620066</v>
      </c>
      <c r="C5170" s="3">
        <v>140734.60800000001</v>
      </c>
      <c r="D5170" s="3">
        <v>0</v>
      </c>
      <c r="E5170" s="3">
        <v>0</v>
      </c>
      <c r="F5170" s="3">
        <v>0</v>
      </c>
      <c r="G5170" s="3">
        <v>-1330474.6467878199</v>
      </c>
      <c r="H5170" s="3">
        <v>1446934.7563964699</v>
      </c>
      <c r="I5170" s="3">
        <v>0</v>
      </c>
      <c r="J5170" s="3">
        <v>0</v>
      </c>
      <c r="K5170" s="3">
        <v>77065.13378797</v>
      </c>
      <c r="L5170" s="3">
        <v>0</v>
      </c>
      <c r="M5170" s="3">
        <v>0</v>
      </c>
      <c r="N5170" s="3">
        <v>0</v>
      </c>
      <c r="O5170">
        <v>-954325.85139661992</v>
      </c>
      <c r="P5170">
        <v>10209034</v>
      </c>
    </row>
    <row r="5171" spans="1:16" x14ac:dyDescent="0.25">
      <c r="A5171" s="10">
        <v>45310</v>
      </c>
      <c r="B5171" s="3">
        <v>44442</v>
      </c>
      <c r="C5171" s="3">
        <v>94875.29</v>
      </c>
      <c r="D5171" s="3">
        <v>0</v>
      </c>
      <c r="E5171" s="3">
        <v>0</v>
      </c>
      <c r="F5171" s="3">
        <v>0</v>
      </c>
      <c r="G5171" s="3">
        <v>915.98755604000019</v>
      </c>
      <c r="H5171" s="3">
        <v>-121973.5970838701</v>
      </c>
      <c r="I5171" s="3">
        <v>0</v>
      </c>
      <c r="J5171" s="3">
        <v>0</v>
      </c>
      <c r="K5171" s="3">
        <v>73267.803296049999</v>
      </c>
      <c r="L5171" s="3">
        <v>0</v>
      </c>
      <c r="M5171" s="3">
        <v>0</v>
      </c>
      <c r="N5171" s="3">
        <v>0</v>
      </c>
      <c r="O5171">
        <v>-2643.4837682198699</v>
      </c>
      <c r="P5171">
        <v>10253476</v>
      </c>
    </row>
    <row r="5172" spans="1:16" x14ac:dyDescent="0.25">
      <c r="A5172" s="10">
        <v>45313</v>
      </c>
      <c r="B5172" s="3">
        <v>-109317</v>
      </c>
      <c r="C5172" s="3">
        <v>108952.7</v>
      </c>
      <c r="D5172" s="3">
        <v>-150000</v>
      </c>
      <c r="E5172" s="3">
        <v>0</v>
      </c>
      <c r="F5172" s="3">
        <v>0</v>
      </c>
      <c r="G5172" s="3">
        <v>150564.93695480021</v>
      </c>
      <c r="H5172" s="3">
        <v>-517274.79857200477</v>
      </c>
      <c r="I5172" s="3">
        <v>0</v>
      </c>
      <c r="J5172" s="3">
        <v>0</v>
      </c>
      <c r="K5172" s="3">
        <v>220815.97261915999</v>
      </c>
      <c r="L5172" s="3">
        <v>0</v>
      </c>
      <c r="M5172" s="3">
        <v>0</v>
      </c>
      <c r="N5172" s="3">
        <v>0</v>
      </c>
      <c r="O5172">
        <v>77624.188998044643</v>
      </c>
      <c r="P5172">
        <v>10144159</v>
      </c>
    </row>
    <row r="5173" spans="1:16" x14ac:dyDescent="0.25">
      <c r="A5173" s="10">
        <v>45314</v>
      </c>
      <c r="B5173" s="3">
        <v>219333</v>
      </c>
      <c r="C5173" s="3">
        <v>155117.22399999999</v>
      </c>
      <c r="D5173" s="3">
        <v>0</v>
      </c>
      <c r="E5173" s="3">
        <v>0</v>
      </c>
      <c r="F5173" s="3">
        <v>0</v>
      </c>
      <c r="G5173" s="3">
        <v>-516.27741938999998</v>
      </c>
      <c r="H5173" s="3">
        <v>-194712.63788166529</v>
      </c>
      <c r="I5173" s="3">
        <v>0</v>
      </c>
      <c r="J5173" s="3">
        <v>0</v>
      </c>
      <c r="K5173" s="3">
        <v>75026.622891570005</v>
      </c>
      <c r="L5173" s="3">
        <v>0</v>
      </c>
      <c r="M5173" s="3">
        <v>0</v>
      </c>
      <c r="N5173" s="3">
        <v>0</v>
      </c>
      <c r="O5173">
        <v>184418.06840948519</v>
      </c>
      <c r="P5173">
        <v>10363492</v>
      </c>
    </row>
    <row r="5174" spans="1:16" x14ac:dyDescent="0.25">
      <c r="A5174" s="10">
        <v>45315</v>
      </c>
      <c r="B5174" s="3">
        <v>-11840</v>
      </c>
      <c r="C5174" s="3">
        <v>134471.01</v>
      </c>
      <c r="D5174" s="3">
        <v>0</v>
      </c>
      <c r="E5174" s="3">
        <v>0</v>
      </c>
      <c r="F5174" s="3">
        <v>0</v>
      </c>
      <c r="G5174" s="3">
        <v>-663.63929953000002</v>
      </c>
      <c r="H5174" s="3">
        <v>-314756.18471522268</v>
      </c>
      <c r="I5174" s="3">
        <v>4550</v>
      </c>
      <c r="J5174" s="3">
        <v>0</v>
      </c>
      <c r="K5174" s="3">
        <v>78422.062360010008</v>
      </c>
      <c r="L5174" s="3">
        <v>0</v>
      </c>
      <c r="M5174" s="3">
        <v>0</v>
      </c>
      <c r="N5174" s="3">
        <v>0</v>
      </c>
      <c r="O5174">
        <v>86136.751654742766</v>
      </c>
      <c r="P5174">
        <v>10351652</v>
      </c>
    </row>
    <row r="5175" spans="1:16" x14ac:dyDescent="0.25">
      <c r="A5175" s="10">
        <v>45316</v>
      </c>
      <c r="B5175" s="3">
        <v>-26011</v>
      </c>
      <c r="C5175" s="3">
        <v>163571.25</v>
      </c>
      <c r="D5175" s="3">
        <v>0</v>
      </c>
      <c r="E5175" s="3">
        <v>0</v>
      </c>
      <c r="F5175" s="3">
        <v>0</v>
      </c>
      <c r="G5175" s="3">
        <v>501.87040157000001</v>
      </c>
      <c r="H5175" s="3">
        <v>-415471.98537456163</v>
      </c>
      <c r="I5175" s="3">
        <v>0</v>
      </c>
      <c r="J5175" s="3">
        <v>0</v>
      </c>
      <c r="K5175" s="3">
        <v>76420.446681460002</v>
      </c>
      <c r="L5175" s="3">
        <v>0</v>
      </c>
      <c r="M5175" s="3">
        <v>0</v>
      </c>
      <c r="N5175" s="3">
        <v>0</v>
      </c>
      <c r="O5175">
        <v>148967.41829153159</v>
      </c>
      <c r="P5175">
        <v>10325641</v>
      </c>
    </row>
    <row r="5176" spans="1:16" x14ac:dyDescent="0.25">
      <c r="A5176" s="10">
        <v>45317</v>
      </c>
      <c r="B5176" s="3">
        <v>323977</v>
      </c>
      <c r="C5176" s="3">
        <v>95991.074999999997</v>
      </c>
      <c r="D5176" s="3">
        <v>0</v>
      </c>
      <c r="E5176" s="3">
        <v>0</v>
      </c>
      <c r="F5176" s="3">
        <v>0</v>
      </c>
      <c r="G5176" s="3">
        <v>19040.135565449931</v>
      </c>
      <c r="H5176" s="3">
        <v>67912.41324957872</v>
      </c>
      <c r="I5176" s="3">
        <v>0</v>
      </c>
      <c r="J5176" s="3">
        <v>0</v>
      </c>
      <c r="K5176" s="3">
        <v>77565.176496060012</v>
      </c>
      <c r="L5176" s="3">
        <v>0</v>
      </c>
      <c r="M5176" s="3">
        <v>0</v>
      </c>
      <c r="N5176" s="3">
        <v>0</v>
      </c>
      <c r="O5176">
        <v>63468.199688911351</v>
      </c>
      <c r="P5176">
        <v>10649618</v>
      </c>
    </row>
    <row r="5177" spans="1:16" x14ac:dyDescent="0.25">
      <c r="A5177" s="10">
        <v>45320</v>
      </c>
      <c r="B5177" s="3">
        <v>-243445</v>
      </c>
      <c r="C5177" s="3">
        <v>69628.600000000006</v>
      </c>
      <c r="D5177" s="3">
        <v>-110000</v>
      </c>
      <c r="E5177" s="3">
        <v>0</v>
      </c>
      <c r="F5177" s="3">
        <v>0</v>
      </c>
      <c r="G5177" s="3">
        <v>110105.46978909</v>
      </c>
      <c r="H5177" s="3">
        <v>-616782.57685571234</v>
      </c>
      <c r="I5177" s="3">
        <v>0</v>
      </c>
      <c r="J5177" s="3">
        <v>0</v>
      </c>
      <c r="K5177" s="3">
        <v>232162.07947775</v>
      </c>
      <c r="L5177" s="3">
        <v>0</v>
      </c>
      <c r="M5177" s="3">
        <v>0</v>
      </c>
      <c r="N5177" s="3">
        <v>0</v>
      </c>
      <c r="O5177">
        <v>71441.427588872379</v>
      </c>
      <c r="P5177">
        <v>10406173</v>
      </c>
    </row>
    <row r="5178" spans="1:16" x14ac:dyDescent="0.25">
      <c r="A5178" s="10">
        <v>45321</v>
      </c>
      <c r="B5178" s="3">
        <v>-80149</v>
      </c>
      <c r="C5178" s="3">
        <v>137853.22500000001</v>
      </c>
      <c r="D5178" s="3">
        <v>0</v>
      </c>
      <c r="E5178" s="3">
        <v>0</v>
      </c>
      <c r="F5178" s="3">
        <v>0</v>
      </c>
      <c r="G5178" s="3">
        <v>-277.58334447999999</v>
      </c>
      <c r="H5178" s="3">
        <v>-849879.57669752196</v>
      </c>
      <c r="I5178" s="3">
        <v>0</v>
      </c>
      <c r="J5178" s="3">
        <v>0</v>
      </c>
      <c r="K5178" s="3">
        <v>79076.022895099988</v>
      </c>
      <c r="L5178" s="3">
        <v>0</v>
      </c>
      <c r="M5178" s="3">
        <v>0</v>
      </c>
      <c r="N5178" s="3">
        <v>0</v>
      </c>
      <c r="O5178">
        <v>553078.91214690206</v>
      </c>
      <c r="P5178">
        <v>10326024</v>
      </c>
    </row>
    <row r="5179" spans="1:16" x14ac:dyDescent="0.25">
      <c r="A5179" s="10">
        <v>45322</v>
      </c>
      <c r="B5179" s="3">
        <v>597508</v>
      </c>
      <c r="C5179" s="3">
        <v>-8007.1299999999992</v>
      </c>
      <c r="D5179" s="3">
        <v>0</v>
      </c>
      <c r="E5179" s="3">
        <v>0</v>
      </c>
      <c r="F5179" s="3">
        <v>0</v>
      </c>
      <c r="G5179" s="3">
        <v>390.87829363008501</v>
      </c>
      <c r="H5179" s="3">
        <v>-144798.3766036247</v>
      </c>
      <c r="I5179" s="3">
        <v>375</v>
      </c>
      <c r="J5179" s="3">
        <v>0</v>
      </c>
      <c r="K5179" s="3">
        <v>81646.141920399998</v>
      </c>
      <c r="L5179" s="3">
        <v>0</v>
      </c>
      <c r="M5179" s="3">
        <v>0</v>
      </c>
      <c r="N5179" s="3">
        <v>0</v>
      </c>
      <c r="O5179">
        <v>667901.48638959462</v>
      </c>
      <c r="P5179">
        <v>10923532</v>
      </c>
    </row>
    <row r="5180" spans="1:16" x14ac:dyDescent="0.25">
      <c r="A5180" s="10">
        <v>45323</v>
      </c>
      <c r="B5180" s="3">
        <v>-493254</v>
      </c>
      <c r="C5180" s="3">
        <v>70294.535999999993</v>
      </c>
      <c r="D5180" s="3">
        <v>0</v>
      </c>
      <c r="E5180" s="3">
        <v>0</v>
      </c>
      <c r="F5180" s="3">
        <v>0</v>
      </c>
      <c r="G5180" s="3">
        <v>-1353957.07531836</v>
      </c>
      <c r="H5180" s="3">
        <v>2569453.6639706502</v>
      </c>
      <c r="I5180" s="3">
        <v>0</v>
      </c>
      <c r="J5180" s="3">
        <v>0</v>
      </c>
      <c r="K5180" s="3">
        <v>81810.335623959996</v>
      </c>
      <c r="L5180" s="3">
        <v>0</v>
      </c>
      <c r="M5180" s="3">
        <v>0</v>
      </c>
      <c r="N5180" s="3">
        <v>0</v>
      </c>
      <c r="O5180">
        <v>-1860855.46027625</v>
      </c>
      <c r="P5180">
        <v>10430278</v>
      </c>
    </row>
    <row r="5181" spans="1:16" x14ac:dyDescent="0.25">
      <c r="A5181" s="10">
        <v>45324</v>
      </c>
      <c r="B5181" s="3">
        <v>183498</v>
      </c>
      <c r="C5181" s="3">
        <v>64870.502999999997</v>
      </c>
      <c r="D5181" s="3">
        <v>0</v>
      </c>
      <c r="E5181" s="3">
        <v>0</v>
      </c>
      <c r="F5181" s="3">
        <v>0</v>
      </c>
      <c r="G5181" s="3">
        <v>-109.98818416</v>
      </c>
      <c r="H5181" s="3">
        <v>-27281.787806766111</v>
      </c>
      <c r="I5181" s="3">
        <v>0</v>
      </c>
      <c r="J5181" s="3">
        <v>0</v>
      </c>
      <c r="K5181" s="3">
        <v>74656.78684411</v>
      </c>
      <c r="L5181" s="3">
        <v>0</v>
      </c>
      <c r="M5181" s="3">
        <v>0</v>
      </c>
      <c r="N5181" s="3">
        <v>0</v>
      </c>
      <c r="O5181">
        <v>71362.486146816111</v>
      </c>
      <c r="P5181">
        <v>10613776</v>
      </c>
    </row>
    <row r="5182" spans="1:16" x14ac:dyDescent="0.25">
      <c r="A5182" s="10">
        <v>45327</v>
      </c>
      <c r="B5182" s="3">
        <v>-171259</v>
      </c>
      <c r="C5182" s="3">
        <v>82389.381000000008</v>
      </c>
      <c r="D5182" s="3">
        <v>-33000</v>
      </c>
      <c r="E5182" s="3">
        <v>0</v>
      </c>
      <c r="F5182" s="3">
        <v>0</v>
      </c>
      <c r="G5182" s="3">
        <v>32891.022500889958</v>
      </c>
      <c r="H5182" s="3">
        <v>-577706.44209130656</v>
      </c>
      <c r="I5182" s="3">
        <v>0</v>
      </c>
      <c r="J5182" s="3">
        <v>0</v>
      </c>
      <c r="K5182" s="3">
        <v>224068.75840307999</v>
      </c>
      <c r="L5182" s="3">
        <v>0</v>
      </c>
      <c r="M5182" s="3">
        <v>0</v>
      </c>
      <c r="N5182" s="3">
        <v>0</v>
      </c>
      <c r="O5182">
        <v>100098.2801873366</v>
      </c>
      <c r="P5182">
        <v>10442517</v>
      </c>
    </row>
    <row r="5183" spans="1:16" x14ac:dyDescent="0.25">
      <c r="A5183" s="10">
        <v>45328</v>
      </c>
      <c r="B5183" s="3">
        <v>-47757</v>
      </c>
      <c r="C5183" s="3">
        <v>138306.83499999999</v>
      </c>
      <c r="D5183" s="3">
        <v>0</v>
      </c>
      <c r="E5183" s="3">
        <v>0</v>
      </c>
      <c r="F5183" s="3">
        <v>0</v>
      </c>
      <c r="G5183" s="3">
        <v>-58.07894297</v>
      </c>
      <c r="H5183" s="3">
        <v>-331231.26802144549</v>
      </c>
      <c r="I5183" s="3">
        <v>0</v>
      </c>
      <c r="J5183" s="3">
        <v>0</v>
      </c>
      <c r="K5183" s="3">
        <v>76298.903796169994</v>
      </c>
      <c r="L5183" s="3">
        <v>0</v>
      </c>
      <c r="M5183" s="3">
        <v>0</v>
      </c>
      <c r="N5183" s="3">
        <v>0</v>
      </c>
      <c r="O5183">
        <v>68926.608168245526</v>
      </c>
      <c r="P5183">
        <v>10394760</v>
      </c>
    </row>
    <row r="5184" spans="1:16" x14ac:dyDescent="0.25">
      <c r="A5184" s="10">
        <v>45329</v>
      </c>
      <c r="B5184" s="3">
        <v>35817</v>
      </c>
      <c r="C5184" s="3">
        <v>62345.856</v>
      </c>
      <c r="D5184" s="3">
        <v>0</v>
      </c>
      <c r="E5184" s="3">
        <v>0</v>
      </c>
      <c r="F5184" s="3">
        <v>0</v>
      </c>
      <c r="G5184" s="3">
        <v>-91.38931690000004</v>
      </c>
      <c r="H5184" s="3">
        <v>627200.36706325784</v>
      </c>
      <c r="I5184" s="3">
        <v>775</v>
      </c>
      <c r="J5184" s="3">
        <v>0</v>
      </c>
      <c r="K5184" s="3">
        <v>77703.805551950005</v>
      </c>
      <c r="L5184" s="3">
        <v>0</v>
      </c>
      <c r="M5184" s="3">
        <v>0</v>
      </c>
      <c r="N5184" s="3">
        <v>0</v>
      </c>
      <c r="O5184">
        <v>-732116.63929830783</v>
      </c>
      <c r="P5184">
        <v>10430577</v>
      </c>
    </row>
    <row r="5185" spans="1:16" x14ac:dyDescent="0.25">
      <c r="A5185" s="10">
        <v>45330</v>
      </c>
      <c r="B5185" s="3">
        <v>58237</v>
      </c>
      <c r="C5185" s="3">
        <v>81866.50499999999</v>
      </c>
      <c r="D5185" s="3">
        <v>0</v>
      </c>
      <c r="E5185" s="3">
        <v>0</v>
      </c>
      <c r="F5185" s="3">
        <v>0</v>
      </c>
      <c r="G5185" s="3">
        <v>-984.63458858000001</v>
      </c>
      <c r="H5185" s="3">
        <v>-116370.8470854457</v>
      </c>
      <c r="I5185" s="3">
        <v>0</v>
      </c>
      <c r="J5185" s="3">
        <v>0</v>
      </c>
      <c r="K5185" s="3">
        <v>75476.675065259988</v>
      </c>
      <c r="L5185" s="3">
        <v>0</v>
      </c>
      <c r="M5185" s="3">
        <v>0</v>
      </c>
      <c r="N5185" s="3">
        <v>0</v>
      </c>
      <c r="O5185">
        <v>18249.301608765669</v>
      </c>
      <c r="P5185">
        <v>10488814</v>
      </c>
    </row>
    <row r="5186" spans="1:16" x14ac:dyDescent="0.25">
      <c r="A5186" s="10">
        <v>45331</v>
      </c>
      <c r="B5186" s="3">
        <v>144429</v>
      </c>
      <c r="C5186" s="3">
        <v>139001.576</v>
      </c>
      <c r="D5186" s="3">
        <v>0</v>
      </c>
      <c r="E5186" s="3">
        <v>0</v>
      </c>
      <c r="F5186" s="3">
        <v>0</v>
      </c>
      <c r="G5186" s="3">
        <v>691.22136711999997</v>
      </c>
      <c r="H5186" s="3">
        <v>-123947.4202182429</v>
      </c>
      <c r="I5186" s="3">
        <v>0</v>
      </c>
      <c r="J5186" s="3">
        <v>0</v>
      </c>
      <c r="K5186" s="3">
        <v>75798.03008918</v>
      </c>
      <c r="L5186" s="3">
        <v>0</v>
      </c>
      <c r="M5186" s="3">
        <v>0</v>
      </c>
      <c r="N5186" s="3">
        <v>0</v>
      </c>
      <c r="O5186">
        <v>52885.592761942848</v>
      </c>
      <c r="P5186">
        <v>10633243</v>
      </c>
    </row>
    <row r="5187" spans="1:16" x14ac:dyDescent="0.25">
      <c r="A5187" s="10">
        <v>45336</v>
      </c>
      <c r="B5187" s="3">
        <v>-140037</v>
      </c>
      <c r="C5187" s="3">
        <v>212951.98699999999</v>
      </c>
      <c r="D5187" s="3">
        <v>-96000</v>
      </c>
      <c r="E5187" s="3">
        <v>0</v>
      </c>
      <c r="F5187" s="3">
        <v>0</v>
      </c>
      <c r="G5187" s="3">
        <v>190223.83260669</v>
      </c>
      <c r="H5187" s="3">
        <v>-893046.85601851845</v>
      </c>
      <c r="I5187" s="3">
        <v>1275</v>
      </c>
      <c r="J5187" s="3">
        <v>0</v>
      </c>
      <c r="K5187" s="3">
        <v>382234.98455797997</v>
      </c>
      <c r="L5187" s="3">
        <v>0</v>
      </c>
      <c r="M5187" s="3">
        <v>0</v>
      </c>
      <c r="N5187" s="3">
        <v>0</v>
      </c>
      <c r="O5187">
        <v>62324.051853848498</v>
      </c>
      <c r="P5187">
        <v>10493206</v>
      </c>
    </row>
    <row r="5188" spans="1:16" x14ac:dyDescent="0.25">
      <c r="A5188" s="10">
        <v>45337</v>
      </c>
      <c r="B5188" s="3">
        <v>-102047</v>
      </c>
      <c r="C5188" s="3">
        <v>104804.02650000001</v>
      </c>
      <c r="D5188" s="3">
        <v>0</v>
      </c>
      <c r="E5188" s="3">
        <v>0</v>
      </c>
      <c r="F5188" s="3">
        <v>0</v>
      </c>
      <c r="G5188" s="3">
        <v>293.50545011996292</v>
      </c>
      <c r="H5188" s="3">
        <v>-359293.08292388532</v>
      </c>
      <c r="I5188" s="3">
        <v>0</v>
      </c>
      <c r="J5188" s="3">
        <v>0</v>
      </c>
      <c r="K5188" s="3">
        <v>78753.6722095</v>
      </c>
      <c r="L5188" s="3">
        <v>0</v>
      </c>
      <c r="M5188" s="3">
        <v>0</v>
      </c>
      <c r="N5188" s="3">
        <v>0</v>
      </c>
      <c r="O5188">
        <v>73394.878764265275</v>
      </c>
      <c r="P5188">
        <v>10391159</v>
      </c>
    </row>
    <row r="5189" spans="1:16" x14ac:dyDescent="0.25">
      <c r="A5189" s="10">
        <v>45338</v>
      </c>
      <c r="B5189" s="3">
        <v>6331</v>
      </c>
      <c r="C5189" s="3">
        <v>229461.75</v>
      </c>
      <c r="D5189" s="3">
        <v>0</v>
      </c>
      <c r="E5189" s="3">
        <v>0</v>
      </c>
      <c r="F5189" s="3">
        <v>0</v>
      </c>
      <c r="G5189" s="3">
        <v>2342.3578100200002</v>
      </c>
      <c r="H5189" s="3">
        <v>-125514.6243426283</v>
      </c>
      <c r="I5189" s="3">
        <v>0</v>
      </c>
      <c r="J5189" s="3">
        <v>0</v>
      </c>
      <c r="K5189" s="3">
        <v>79738.652087909999</v>
      </c>
      <c r="L5189" s="3">
        <v>0</v>
      </c>
      <c r="M5189" s="3">
        <v>0</v>
      </c>
      <c r="N5189" s="3">
        <v>0</v>
      </c>
      <c r="O5189">
        <v>-179697.13555530171</v>
      </c>
      <c r="P5189">
        <v>10397490</v>
      </c>
    </row>
    <row r="5190" spans="1:16" x14ac:dyDescent="0.25">
      <c r="A5190" s="10">
        <v>45341</v>
      </c>
      <c r="B5190" s="3">
        <v>714061</v>
      </c>
      <c r="C5190" s="3">
        <v>77992.420000000013</v>
      </c>
      <c r="D5190" s="3">
        <v>-95000</v>
      </c>
      <c r="E5190" s="3">
        <v>0</v>
      </c>
      <c r="F5190" s="3">
        <v>0</v>
      </c>
      <c r="G5190" s="3">
        <v>100066.87009065</v>
      </c>
      <c r="H5190" s="3">
        <v>-899692.77203020616</v>
      </c>
      <c r="I5190" s="3">
        <v>0</v>
      </c>
      <c r="J5190" s="3">
        <v>0</v>
      </c>
      <c r="K5190" s="3">
        <v>240242.32282954999</v>
      </c>
      <c r="L5190" s="3">
        <v>0</v>
      </c>
      <c r="M5190" s="3">
        <v>0</v>
      </c>
      <c r="N5190" s="3">
        <v>0</v>
      </c>
      <c r="O5190">
        <v>1290452.1591100059</v>
      </c>
      <c r="P5190">
        <v>11111551</v>
      </c>
    </row>
    <row r="5191" spans="1:16" x14ac:dyDescent="0.25">
      <c r="A5191" s="10">
        <v>45342</v>
      </c>
      <c r="B5191" s="3">
        <v>-730017</v>
      </c>
      <c r="C5191" s="3">
        <v>117297.8</v>
      </c>
      <c r="D5191" s="3">
        <v>0</v>
      </c>
      <c r="E5191" s="3">
        <v>0</v>
      </c>
      <c r="F5191" s="3">
        <v>0</v>
      </c>
      <c r="G5191" s="3">
        <v>-3118237.4857811099</v>
      </c>
      <c r="H5191" s="3">
        <v>2142873.7554365308</v>
      </c>
      <c r="I5191" s="3">
        <v>0</v>
      </c>
      <c r="J5191" s="3">
        <v>0</v>
      </c>
      <c r="K5191" s="3">
        <v>82542.817818490003</v>
      </c>
      <c r="L5191" s="3">
        <v>0</v>
      </c>
      <c r="M5191" s="3">
        <v>0</v>
      </c>
      <c r="N5191" s="3">
        <v>0</v>
      </c>
      <c r="O5191">
        <v>45506.112526088596</v>
      </c>
      <c r="P5191">
        <v>10381534</v>
      </c>
    </row>
    <row r="5192" spans="1:16" x14ac:dyDescent="0.25">
      <c r="A5192" s="10">
        <v>45343</v>
      </c>
      <c r="B5192" s="3">
        <v>-41746</v>
      </c>
      <c r="C5192" s="3">
        <v>98826.888000000006</v>
      </c>
      <c r="D5192" s="3">
        <v>0</v>
      </c>
      <c r="E5192" s="3">
        <v>0</v>
      </c>
      <c r="F5192" s="3">
        <v>0</v>
      </c>
      <c r="G5192" s="3">
        <v>392.44612757000141</v>
      </c>
      <c r="H5192" s="3">
        <v>-437582.42033582932</v>
      </c>
      <c r="I5192" s="3">
        <v>50</v>
      </c>
      <c r="J5192" s="3">
        <v>0</v>
      </c>
      <c r="K5192" s="3">
        <v>76698.142739490009</v>
      </c>
      <c r="L5192" s="3">
        <v>0</v>
      </c>
      <c r="M5192" s="3">
        <v>0</v>
      </c>
      <c r="N5192" s="3">
        <v>0</v>
      </c>
      <c r="O5192">
        <v>219868.9434687692</v>
      </c>
      <c r="P5192">
        <v>10339788</v>
      </c>
    </row>
    <row r="5193" spans="1:16" x14ac:dyDescent="0.25">
      <c r="A5193" s="10">
        <v>45344</v>
      </c>
      <c r="B5193" s="3">
        <v>5636</v>
      </c>
      <c r="C5193" s="3">
        <v>238935.356</v>
      </c>
      <c r="D5193" s="3">
        <v>-625000</v>
      </c>
      <c r="E5193" s="3">
        <v>0</v>
      </c>
      <c r="F5193" s="3">
        <v>0</v>
      </c>
      <c r="G5193" s="3">
        <v>624917.16546782001</v>
      </c>
      <c r="H5193" s="3">
        <v>638779.97536104859</v>
      </c>
      <c r="I5193" s="3">
        <v>0</v>
      </c>
      <c r="J5193" s="3">
        <v>0</v>
      </c>
      <c r="K5193" s="3">
        <v>77872.426120059987</v>
      </c>
      <c r="L5193" s="3">
        <v>0</v>
      </c>
      <c r="M5193" s="3">
        <v>0</v>
      </c>
      <c r="N5193" s="3">
        <v>0</v>
      </c>
      <c r="O5193">
        <v>-949868.92294892867</v>
      </c>
      <c r="P5193">
        <v>10345424</v>
      </c>
    </row>
    <row r="5194" spans="1:16" x14ac:dyDescent="0.25">
      <c r="A5194" s="10">
        <v>45345</v>
      </c>
      <c r="B5194" s="3">
        <v>1485</v>
      </c>
      <c r="C5194" s="3">
        <v>98990.2</v>
      </c>
      <c r="D5194" s="3">
        <v>0</v>
      </c>
      <c r="E5194" s="3">
        <v>0</v>
      </c>
      <c r="F5194" s="3">
        <v>0</v>
      </c>
      <c r="G5194" s="3">
        <v>40353.277891399986</v>
      </c>
      <c r="H5194" s="3">
        <v>-323321.05917638139</v>
      </c>
      <c r="I5194" s="3">
        <v>0</v>
      </c>
      <c r="J5194" s="3">
        <v>0</v>
      </c>
      <c r="K5194" s="3">
        <v>76123.436742329985</v>
      </c>
      <c r="L5194" s="3">
        <v>0</v>
      </c>
      <c r="M5194" s="3">
        <v>0</v>
      </c>
      <c r="N5194" s="3">
        <v>0</v>
      </c>
      <c r="O5194">
        <v>109339.1445426515</v>
      </c>
      <c r="P5194">
        <v>10346909</v>
      </c>
    </row>
    <row r="5195" spans="1:16" x14ac:dyDescent="0.25">
      <c r="A5195" s="10">
        <v>45348</v>
      </c>
      <c r="B5195" s="3">
        <v>197381</v>
      </c>
      <c r="C5195" s="3">
        <v>61363.8</v>
      </c>
      <c r="D5195" s="3">
        <v>0</v>
      </c>
      <c r="E5195" s="3">
        <v>0</v>
      </c>
      <c r="F5195" s="3">
        <v>0</v>
      </c>
      <c r="G5195" s="3">
        <v>-1155.05158433</v>
      </c>
      <c r="H5195" s="3">
        <v>-109350.2113677858</v>
      </c>
      <c r="I5195" s="3">
        <v>0</v>
      </c>
      <c r="J5195" s="3">
        <v>0</v>
      </c>
      <c r="K5195" s="3">
        <v>231031.53759816001</v>
      </c>
      <c r="L5195" s="3">
        <v>0</v>
      </c>
      <c r="M5195" s="3">
        <v>0</v>
      </c>
      <c r="N5195" s="3">
        <v>0</v>
      </c>
      <c r="O5195">
        <v>15490.92535395583</v>
      </c>
      <c r="P5195">
        <v>10544290</v>
      </c>
    </row>
    <row r="5196" spans="1:16" x14ac:dyDescent="0.25">
      <c r="A5196" s="10">
        <v>45349</v>
      </c>
      <c r="B5196" s="3">
        <v>-245910</v>
      </c>
      <c r="C5196" s="3">
        <v>119163.215</v>
      </c>
      <c r="D5196" s="3">
        <v>0</v>
      </c>
      <c r="E5196" s="3">
        <v>0</v>
      </c>
      <c r="F5196" s="3">
        <v>0</v>
      </c>
      <c r="G5196" s="3">
        <v>869.51231513000005</v>
      </c>
      <c r="H5196" s="3">
        <v>-476514.33968887973</v>
      </c>
      <c r="I5196" s="3">
        <v>0</v>
      </c>
      <c r="J5196" s="3">
        <v>0</v>
      </c>
      <c r="K5196" s="3">
        <v>77308.811648509989</v>
      </c>
      <c r="L5196" s="3">
        <v>0</v>
      </c>
      <c r="M5196" s="3">
        <v>0</v>
      </c>
      <c r="N5196" s="3">
        <v>0</v>
      </c>
      <c r="O5196">
        <v>33262.800725239736</v>
      </c>
      <c r="P5196">
        <v>10298380</v>
      </c>
    </row>
    <row r="5197" spans="1:16" x14ac:dyDescent="0.25">
      <c r="A5197" s="10">
        <v>45350</v>
      </c>
      <c r="B5197" s="3">
        <v>102832</v>
      </c>
      <c r="C5197" s="3">
        <v>87902.01</v>
      </c>
      <c r="D5197" s="3">
        <v>0</v>
      </c>
      <c r="E5197" s="3">
        <v>0</v>
      </c>
      <c r="F5197" s="3">
        <v>0</v>
      </c>
      <c r="G5197" s="3">
        <v>-143853.48041699</v>
      </c>
      <c r="H5197" s="3">
        <v>45096.079584551582</v>
      </c>
      <c r="I5197" s="3">
        <v>50</v>
      </c>
      <c r="J5197" s="3">
        <v>0</v>
      </c>
      <c r="K5197" s="3">
        <v>78643.75507852</v>
      </c>
      <c r="L5197" s="3">
        <v>0</v>
      </c>
      <c r="M5197" s="3">
        <v>0</v>
      </c>
      <c r="N5197" s="3">
        <v>0</v>
      </c>
      <c r="O5197">
        <v>34993.635753918417</v>
      </c>
      <c r="P5197">
        <v>10401212</v>
      </c>
    </row>
    <row r="5198" spans="1:16" x14ac:dyDescent="0.25">
      <c r="A5198" s="10">
        <v>45351</v>
      </c>
      <c r="B5198" s="3">
        <v>140262</v>
      </c>
      <c r="C5198" s="3">
        <v>-119187.65</v>
      </c>
      <c r="D5198" s="3">
        <v>0</v>
      </c>
      <c r="E5198" s="3">
        <v>0</v>
      </c>
      <c r="F5198" s="3">
        <v>0</v>
      </c>
      <c r="G5198" s="3">
        <v>336.21853048997582</v>
      </c>
      <c r="H5198" s="3">
        <v>606122.43385496654</v>
      </c>
      <c r="I5198" s="3">
        <v>0</v>
      </c>
      <c r="J5198" s="3">
        <v>0</v>
      </c>
      <c r="K5198" s="3">
        <v>78487.866901120011</v>
      </c>
      <c r="L5198" s="3">
        <v>0</v>
      </c>
      <c r="M5198" s="3">
        <v>0</v>
      </c>
      <c r="N5198" s="3">
        <v>0</v>
      </c>
      <c r="O5198">
        <v>-425496.86928657652</v>
      </c>
      <c r="P5198">
        <v>10541474</v>
      </c>
    </row>
    <row r="5199" spans="1:16" x14ac:dyDescent="0.25">
      <c r="A5199" s="10">
        <v>45352</v>
      </c>
      <c r="B5199" s="3">
        <v>251091</v>
      </c>
      <c r="C5199" s="3">
        <v>57541.95</v>
      </c>
      <c r="D5199" s="3">
        <v>0</v>
      </c>
      <c r="E5199" s="3">
        <v>0</v>
      </c>
      <c r="F5199" s="3">
        <v>0</v>
      </c>
      <c r="G5199" s="3">
        <v>-57.900513409999988</v>
      </c>
      <c r="H5199" s="3">
        <v>98623.474941589258</v>
      </c>
      <c r="I5199" s="3">
        <v>0</v>
      </c>
      <c r="J5199" s="3">
        <v>0</v>
      </c>
      <c r="K5199" s="3">
        <v>76829.213226740001</v>
      </c>
      <c r="L5199" s="3">
        <v>0</v>
      </c>
      <c r="M5199" s="3">
        <v>0</v>
      </c>
      <c r="N5199" s="3">
        <v>0</v>
      </c>
      <c r="O5199">
        <v>18154.26234508073</v>
      </c>
      <c r="P5199">
        <v>10792565</v>
      </c>
    </row>
    <row r="5200" spans="1:16" x14ac:dyDescent="0.25">
      <c r="A5200" s="10">
        <v>45355</v>
      </c>
      <c r="B5200" s="3">
        <v>-24588</v>
      </c>
      <c r="C5200" s="3">
        <v>255335.32</v>
      </c>
      <c r="D5200" s="3">
        <v>0</v>
      </c>
      <c r="E5200" s="3">
        <v>0</v>
      </c>
      <c r="F5200" s="3">
        <v>0</v>
      </c>
      <c r="G5200" s="3">
        <v>-153.25487699000001</v>
      </c>
      <c r="H5200" s="3">
        <v>-574086.1061736627</v>
      </c>
      <c r="I5200" s="3">
        <v>0</v>
      </c>
      <c r="J5200" s="3">
        <v>0</v>
      </c>
      <c r="K5200" s="3">
        <v>229390.67239443999</v>
      </c>
      <c r="L5200" s="3">
        <v>0</v>
      </c>
      <c r="M5200" s="3">
        <v>0</v>
      </c>
      <c r="N5200" s="3">
        <v>0</v>
      </c>
      <c r="O5200">
        <v>64925.368656212668</v>
      </c>
      <c r="P5200">
        <v>10767977</v>
      </c>
    </row>
    <row r="5201" spans="1:16" x14ac:dyDescent="0.25">
      <c r="A5201" s="10">
        <v>45356</v>
      </c>
      <c r="B5201" s="3">
        <v>-124236</v>
      </c>
      <c r="C5201" s="3">
        <v>70616.649999999994</v>
      </c>
      <c r="D5201" s="3">
        <v>0</v>
      </c>
      <c r="E5201" s="3">
        <v>0</v>
      </c>
      <c r="F5201" s="3">
        <v>0</v>
      </c>
      <c r="G5201" s="3">
        <v>-149.77283542999999</v>
      </c>
      <c r="H5201" s="3">
        <v>-305892.7205841142</v>
      </c>
      <c r="I5201" s="3">
        <v>0</v>
      </c>
      <c r="J5201" s="3">
        <v>0</v>
      </c>
      <c r="K5201" s="3">
        <v>78038.640574649995</v>
      </c>
      <c r="L5201" s="3">
        <v>0</v>
      </c>
      <c r="M5201" s="3">
        <v>0</v>
      </c>
      <c r="N5201" s="3">
        <v>0</v>
      </c>
      <c r="O5201">
        <v>33151.2028448942</v>
      </c>
      <c r="P5201">
        <v>10643741</v>
      </c>
    </row>
    <row r="5202" spans="1:16" x14ac:dyDescent="0.25">
      <c r="A5202" s="10">
        <v>45357</v>
      </c>
      <c r="B5202" s="3">
        <v>-46282</v>
      </c>
      <c r="C5202" s="3">
        <v>189814.75</v>
      </c>
      <c r="D5202" s="3">
        <v>0</v>
      </c>
      <c r="E5202" s="3">
        <v>0</v>
      </c>
      <c r="F5202" s="3">
        <v>0</v>
      </c>
      <c r="G5202" s="3">
        <v>-103.68520805999999</v>
      </c>
      <c r="H5202" s="3">
        <v>-318337.63019197702</v>
      </c>
      <c r="I5202" s="3">
        <v>0</v>
      </c>
      <c r="J5202" s="3">
        <v>0</v>
      </c>
      <c r="K5202" s="3">
        <v>78971.857961160014</v>
      </c>
      <c r="L5202" s="3">
        <v>0</v>
      </c>
      <c r="M5202" s="3">
        <v>0</v>
      </c>
      <c r="N5202" s="3">
        <v>0</v>
      </c>
      <c r="O5202">
        <v>3372.7074388769688</v>
      </c>
      <c r="P5202">
        <v>10597459</v>
      </c>
    </row>
    <row r="5203" spans="1:16" x14ac:dyDescent="0.25">
      <c r="A5203" s="10">
        <v>45358</v>
      </c>
      <c r="B5203" s="3">
        <v>171513</v>
      </c>
      <c r="C5203" s="3">
        <v>215137.8</v>
      </c>
      <c r="D5203" s="3">
        <v>0</v>
      </c>
      <c r="E5203" s="3">
        <v>0</v>
      </c>
      <c r="F5203" s="3">
        <v>0</v>
      </c>
      <c r="G5203" s="3">
        <v>143.92887908</v>
      </c>
      <c r="H5203" s="3">
        <v>243149.89484512899</v>
      </c>
      <c r="I5203" s="3">
        <v>0</v>
      </c>
      <c r="J5203" s="3">
        <v>0</v>
      </c>
      <c r="K5203" s="3">
        <v>79844.971703470001</v>
      </c>
      <c r="L5203" s="3">
        <v>0</v>
      </c>
      <c r="M5203" s="3">
        <v>0</v>
      </c>
      <c r="N5203" s="3">
        <v>0</v>
      </c>
      <c r="O5203">
        <v>-366763.5954276789</v>
      </c>
      <c r="P5203">
        <v>10768972</v>
      </c>
    </row>
    <row r="5204" spans="1:16" x14ac:dyDescent="0.25">
      <c r="A5204" s="10">
        <v>45359</v>
      </c>
      <c r="B5204" s="3">
        <v>61199</v>
      </c>
      <c r="C5204" s="3">
        <v>139587.85</v>
      </c>
      <c r="D5204" s="3">
        <v>0</v>
      </c>
      <c r="E5204" s="3">
        <v>0</v>
      </c>
      <c r="F5204" s="3">
        <v>0</v>
      </c>
      <c r="G5204" s="3">
        <v>-364.77486950000002</v>
      </c>
      <c r="H5204" s="3">
        <v>-214573.3083981383</v>
      </c>
      <c r="I5204" s="3">
        <v>0</v>
      </c>
      <c r="J5204" s="3">
        <v>0</v>
      </c>
      <c r="K5204" s="3">
        <v>79178.246849399991</v>
      </c>
      <c r="L5204" s="3">
        <v>0</v>
      </c>
      <c r="M5204" s="3">
        <v>0</v>
      </c>
      <c r="N5204" s="3">
        <v>0</v>
      </c>
      <c r="O5204">
        <v>57370.986418238288</v>
      </c>
      <c r="P5204">
        <v>10830171</v>
      </c>
    </row>
    <row r="5205" spans="1:16" x14ac:dyDescent="0.25">
      <c r="A5205" s="10">
        <v>45362</v>
      </c>
      <c r="B5205" s="3">
        <v>-6386</v>
      </c>
      <c r="C5205" s="3">
        <v>229994.07</v>
      </c>
      <c r="D5205" s="3">
        <v>0</v>
      </c>
      <c r="E5205" s="3">
        <v>0</v>
      </c>
      <c r="F5205" s="3">
        <v>0</v>
      </c>
      <c r="G5205" s="3">
        <v>18.55596448</v>
      </c>
      <c r="H5205" s="3">
        <v>-584787.58947188815</v>
      </c>
      <c r="I5205" s="3">
        <v>0</v>
      </c>
      <c r="J5205" s="3">
        <v>0</v>
      </c>
      <c r="K5205" s="3">
        <v>239304.62743902</v>
      </c>
      <c r="L5205" s="3">
        <v>0</v>
      </c>
      <c r="M5205" s="3">
        <v>0</v>
      </c>
      <c r="N5205" s="3">
        <v>0</v>
      </c>
      <c r="O5205">
        <v>109084.33606838821</v>
      </c>
      <c r="P5205">
        <v>10823785</v>
      </c>
    </row>
    <row r="5206" spans="1:16" x14ac:dyDescent="0.25">
      <c r="A5206" s="10">
        <v>45363</v>
      </c>
      <c r="B5206" s="3">
        <v>-28287</v>
      </c>
      <c r="C5206" s="3">
        <v>75949.899999999994</v>
      </c>
      <c r="D5206" s="3">
        <v>0</v>
      </c>
      <c r="E5206" s="3">
        <v>0</v>
      </c>
      <c r="F5206" s="3">
        <v>0</v>
      </c>
      <c r="G5206" s="3">
        <v>-243.83240886999999</v>
      </c>
      <c r="H5206" s="3">
        <v>-226794.5433396514</v>
      </c>
      <c r="I5206" s="3">
        <v>0</v>
      </c>
      <c r="J5206" s="3">
        <v>0</v>
      </c>
      <c r="K5206" s="3">
        <v>81370.006824590004</v>
      </c>
      <c r="L5206" s="3">
        <v>0</v>
      </c>
      <c r="M5206" s="3">
        <v>0</v>
      </c>
      <c r="N5206" s="3">
        <v>0</v>
      </c>
      <c r="O5206">
        <v>41431.468923931359</v>
      </c>
      <c r="P5206">
        <v>10795498</v>
      </c>
    </row>
    <row r="5207" spans="1:16" x14ac:dyDescent="0.25">
      <c r="A5207" s="10">
        <v>45364</v>
      </c>
      <c r="B5207" s="3">
        <v>5624</v>
      </c>
      <c r="C5207" s="3">
        <v>252055.14499999999</v>
      </c>
      <c r="D5207" s="3">
        <v>0</v>
      </c>
      <c r="E5207" s="3">
        <v>0</v>
      </c>
      <c r="F5207" s="3">
        <v>0</v>
      </c>
      <c r="G5207" s="3">
        <v>-1194.7318274500001</v>
      </c>
      <c r="H5207" s="3">
        <v>-911474.96616736636</v>
      </c>
      <c r="I5207" s="3">
        <v>3000</v>
      </c>
      <c r="J5207" s="3">
        <v>0</v>
      </c>
      <c r="K5207" s="3">
        <v>67331.318570830001</v>
      </c>
      <c r="L5207" s="3">
        <v>0</v>
      </c>
      <c r="M5207" s="3">
        <v>0</v>
      </c>
      <c r="N5207" s="3">
        <v>0</v>
      </c>
      <c r="O5207">
        <v>595907.23442398629</v>
      </c>
      <c r="P5207">
        <v>10801122</v>
      </c>
    </row>
    <row r="5208" spans="1:16" x14ac:dyDescent="0.25">
      <c r="A5208" s="10">
        <v>45365</v>
      </c>
      <c r="B5208" s="3">
        <v>-321781</v>
      </c>
      <c r="C5208" s="3">
        <v>111784.72500000001</v>
      </c>
      <c r="D5208" s="3">
        <v>0</v>
      </c>
      <c r="E5208" s="3">
        <v>0</v>
      </c>
      <c r="F5208" s="3">
        <v>0</v>
      </c>
      <c r="G5208" s="3">
        <v>709.29924504999997</v>
      </c>
      <c r="H5208" s="3">
        <v>-279823.39148943959</v>
      </c>
      <c r="I5208" s="3">
        <v>0</v>
      </c>
      <c r="J5208" s="3">
        <v>0</v>
      </c>
      <c r="K5208" s="3">
        <v>67560.950885319995</v>
      </c>
      <c r="L5208" s="3">
        <v>0</v>
      </c>
      <c r="M5208" s="3">
        <v>0</v>
      </c>
      <c r="N5208" s="3">
        <v>0</v>
      </c>
      <c r="O5208">
        <v>-222012.58364093039</v>
      </c>
      <c r="P5208">
        <v>10479341</v>
      </c>
    </row>
    <row r="5209" spans="1:16" x14ac:dyDescent="0.25">
      <c r="A5209" s="10">
        <v>45366</v>
      </c>
      <c r="B5209" s="3">
        <v>26191</v>
      </c>
      <c r="C5209" s="3">
        <v>194439.15</v>
      </c>
      <c r="D5209" s="3">
        <v>0</v>
      </c>
      <c r="E5209" s="3">
        <v>0</v>
      </c>
      <c r="F5209" s="3">
        <v>0</v>
      </c>
      <c r="G5209" s="3">
        <v>-56212.325910649961</v>
      </c>
      <c r="H5209" s="3">
        <v>-206830.29456356319</v>
      </c>
      <c r="I5209" s="3">
        <v>0</v>
      </c>
      <c r="J5209" s="3">
        <v>0</v>
      </c>
      <c r="K5209" s="3">
        <v>68181.864695490003</v>
      </c>
      <c r="L5209" s="3">
        <v>0</v>
      </c>
      <c r="M5209" s="3">
        <v>0</v>
      </c>
      <c r="N5209" s="3">
        <v>0</v>
      </c>
      <c r="O5209">
        <v>26612.605778723151</v>
      </c>
      <c r="P5209">
        <v>10505532</v>
      </c>
    </row>
    <row r="5210" spans="1:16" x14ac:dyDescent="0.25">
      <c r="A5210" s="10">
        <v>45369</v>
      </c>
      <c r="B5210" s="3">
        <v>51102</v>
      </c>
      <c r="C5210" s="3">
        <v>56758.695</v>
      </c>
      <c r="D5210" s="3">
        <v>0</v>
      </c>
      <c r="E5210" s="3">
        <v>0</v>
      </c>
      <c r="F5210" s="3">
        <v>0</v>
      </c>
      <c r="G5210" s="3">
        <v>-3762.63109755</v>
      </c>
      <c r="H5210" s="3">
        <v>-212943.42988173949</v>
      </c>
      <c r="I5210" s="3">
        <v>0</v>
      </c>
      <c r="J5210" s="3">
        <v>0</v>
      </c>
      <c r="K5210" s="3">
        <v>205953.34366009</v>
      </c>
      <c r="L5210" s="3">
        <v>0</v>
      </c>
      <c r="M5210" s="3">
        <v>0</v>
      </c>
      <c r="N5210" s="3">
        <v>0</v>
      </c>
      <c r="O5210">
        <v>5096.0223191995456</v>
      </c>
      <c r="P5210">
        <v>10556634</v>
      </c>
    </row>
    <row r="5211" spans="1:16" x14ac:dyDescent="0.25">
      <c r="A5211" s="10">
        <v>45370</v>
      </c>
      <c r="B5211" s="3">
        <v>34077</v>
      </c>
      <c r="C5211" s="3">
        <v>-62255.29</v>
      </c>
      <c r="D5211" s="3">
        <v>0</v>
      </c>
      <c r="E5211" s="3">
        <v>0</v>
      </c>
      <c r="F5211" s="3">
        <v>0</v>
      </c>
      <c r="G5211" s="3">
        <v>5429.258176379999</v>
      </c>
      <c r="H5211" s="3">
        <v>-109626.93890750781</v>
      </c>
      <c r="I5211" s="3">
        <v>0</v>
      </c>
      <c r="J5211" s="3">
        <v>0</v>
      </c>
      <c r="K5211" s="3">
        <v>69128.982599440002</v>
      </c>
      <c r="L5211" s="3">
        <v>0</v>
      </c>
      <c r="M5211" s="3">
        <v>0</v>
      </c>
      <c r="N5211" s="3">
        <v>0</v>
      </c>
      <c r="O5211">
        <v>131400.9881316878</v>
      </c>
      <c r="P5211">
        <v>10590711</v>
      </c>
    </row>
    <row r="5212" spans="1:16" x14ac:dyDescent="0.25">
      <c r="A5212" s="10">
        <v>45371</v>
      </c>
      <c r="B5212" s="3">
        <v>658936</v>
      </c>
      <c r="C5212" s="3">
        <v>103245.625</v>
      </c>
      <c r="D5212" s="3">
        <v>0</v>
      </c>
      <c r="E5212" s="3">
        <v>0</v>
      </c>
      <c r="F5212" s="3">
        <v>0</v>
      </c>
      <c r="G5212" s="3">
        <v>181393.66054884999</v>
      </c>
      <c r="H5212" s="3">
        <v>298463.87817326927</v>
      </c>
      <c r="I5212" s="3">
        <v>0</v>
      </c>
      <c r="J5212" s="3">
        <v>0</v>
      </c>
      <c r="K5212" s="3">
        <v>69369.260821689997</v>
      </c>
      <c r="L5212" s="3">
        <v>0</v>
      </c>
      <c r="M5212" s="3">
        <v>0</v>
      </c>
      <c r="N5212" s="3">
        <v>0</v>
      </c>
      <c r="O5212">
        <v>6463.5754561907379</v>
      </c>
      <c r="P5212">
        <v>11249647</v>
      </c>
    </row>
    <row r="5213" spans="1:16" x14ac:dyDescent="0.25">
      <c r="A5213" s="10">
        <v>45372</v>
      </c>
      <c r="B5213" s="3">
        <v>-423424</v>
      </c>
      <c r="C5213" s="3">
        <v>176052.1</v>
      </c>
      <c r="D5213" s="3">
        <v>0</v>
      </c>
      <c r="E5213" s="3">
        <v>0</v>
      </c>
      <c r="F5213" s="3">
        <v>0</v>
      </c>
      <c r="G5213" s="3">
        <v>-313.53148615999999</v>
      </c>
      <c r="H5213" s="3">
        <v>-602462.85743356124</v>
      </c>
      <c r="I5213" s="3">
        <v>0</v>
      </c>
      <c r="J5213" s="3">
        <v>0</v>
      </c>
      <c r="K5213" s="3">
        <v>68715.093417509997</v>
      </c>
      <c r="L5213" s="3">
        <v>0</v>
      </c>
      <c r="M5213" s="3">
        <v>0</v>
      </c>
      <c r="N5213" s="3">
        <v>0</v>
      </c>
      <c r="O5213">
        <v>-65414.804497788718</v>
      </c>
      <c r="P5213">
        <v>10826223</v>
      </c>
    </row>
    <row r="5214" spans="1:16" x14ac:dyDescent="0.25">
      <c r="A5214" s="10">
        <v>45373</v>
      </c>
      <c r="B5214" s="3">
        <v>493550</v>
      </c>
      <c r="C5214" s="3">
        <v>154123.43</v>
      </c>
      <c r="D5214" s="3">
        <v>0</v>
      </c>
      <c r="E5214" s="3">
        <v>0</v>
      </c>
      <c r="F5214" s="3">
        <v>0</v>
      </c>
      <c r="G5214" s="3">
        <v>1545.241276620003</v>
      </c>
      <c r="H5214" s="3">
        <v>260160.83456968141</v>
      </c>
      <c r="I5214" s="3">
        <v>0</v>
      </c>
      <c r="J5214" s="3">
        <v>0</v>
      </c>
      <c r="K5214" s="3">
        <v>70035.559954299999</v>
      </c>
      <c r="L5214" s="3">
        <v>0</v>
      </c>
      <c r="M5214" s="3">
        <v>0</v>
      </c>
      <c r="N5214" s="3">
        <v>0</v>
      </c>
      <c r="O5214">
        <v>7684.9341993985581</v>
      </c>
      <c r="P5214">
        <v>11319773</v>
      </c>
    </row>
    <row r="5215" spans="1:16" x14ac:dyDescent="0.25">
      <c r="A5215" s="10">
        <v>45376</v>
      </c>
      <c r="B5215" s="3">
        <v>-128332</v>
      </c>
      <c r="C5215" s="3">
        <v>135724.65</v>
      </c>
      <c r="D5215" s="3">
        <v>0</v>
      </c>
      <c r="E5215" s="3">
        <v>0</v>
      </c>
      <c r="F5215" s="3">
        <v>0</v>
      </c>
      <c r="G5215" s="3">
        <v>-788855.13648360001</v>
      </c>
      <c r="H5215" s="3">
        <v>25293.32260990515</v>
      </c>
      <c r="I5215" s="3">
        <v>0</v>
      </c>
      <c r="J5215" s="3">
        <v>0</v>
      </c>
      <c r="K5215" s="3">
        <v>208396.03327941999</v>
      </c>
      <c r="L5215" s="3">
        <v>0</v>
      </c>
      <c r="M5215" s="3">
        <v>0</v>
      </c>
      <c r="N5215" s="3">
        <v>0</v>
      </c>
      <c r="O5215">
        <v>291109.13059427479</v>
      </c>
      <c r="P5215">
        <v>11191441</v>
      </c>
    </row>
    <row r="5216" spans="1:16" x14ac:dyDescent="0.25">
      <c r="A5216" s="10">
        <v>45377</v>
      </c>
      <c r="B5216" s="3">
        <v>41549</v>
      </c>
      <c r="C5216" s="3">
        <v>66027.14</v>
      </c>
      <c r="D5216" s="3">
        <v>-291224.77110905998</v>
      </c>
      <c r="E5216" s="3">
        <v>0</v>
      </c>
      <c r="F5216" s="3">
        <v>0</v>
      </c>
      <c r="G5216" s="3">
        <v>291304.35089188989</v>
      </c>
      <c r="H5216" s="3">
        <v>-146944.60286753249</v>
      </c>
      <c r="I5216" s="3">
        <v>0</v>
      </c>
      <c r="J5216" s="3">
        <v>0</v>
      </c>
      <c r="K5216" s="3">
        <v>69409.907007080008</v>
      </c>
      <c r="L5216" s="3">
        <v>0</v>
      </c>
      <c r="M5216" s="3">
        <v>0</v>
      </c>
      <c r="N5216" s="3">
        <v>0</v>
      </c>
      <c r="O5216">
        <v>52976.976077622588</v>
      </c>
      <c r="P5216">
        <v>11232990</v>
      </c>
    </row>
    <row r="5217" spans="1:16" x14ac:dyDescent="0.25">
      <c r="A5217" s="10">
        <v>45378</v>
      </c>
      <c r="B5217" s="3">
        <v>1230705</v>
      </c>
      <c r="C5217" s="3">
        <v>24842</v>
      </c>
      <c r="D5217" s="3">
        <v>-110000</v>
      </c>
      <c r="E5217" s="3">
        <v>0</v>
      </c>
      <c r="F5217" s="3">
        <v>0</v>
      </c>
      <c r="G5217" s="3">
        <v>112645.60917614</v>
      </c>
      <c r="H5217" s="3">
        <v>1023372.371034179</v>
      </c>
      <c r="I5217" s="3">
        <v>0</v>
      </c>
      <c r="J5217" s="3">
        <v>0</v>
      </c>
      <c r="K5217" s="3">
        <v>69731.977369529995</v>
      </c>
      <c r="L5217" s="3">
        <v>0</v>
      </c>
      <c r="M5217" s="3">
        <v>0</v>
      </c>
      <c r="N5217" s="3">
        <v>0</v>
      </c>
      <c r="O5217">
        <v>110113.04242015121</v>
      </c>
      <c r="P5217">
        <v>12463695</v>
      </c>
    </row>
    <row r="5218" spans="1:16" x14ac:dyDescent="0.25">
      <c r="A5218" s="10">
        <v>45385</v>
      </c>
      <c r="B5218" s="3">
        <v>-859018</v>
      </c>
      <c r="C5218" s="3">
        <v>210514</v>
      </c>
      <c r="D5218" s="3">
        <v>0</v>
      </c>
      <c r="E5218" s="3">
        <v>0</v>
      </c>
      <c r="F5218" s="3">
        <v>0</v>
      </c>
      <c r="G5218" s="3">
        <v>15121.644807240051</v>
      </c>
      <c r="H5218" s="3">
        <v>-1575818.591863479</v>
      </c>
      <c r="I5218" s="3">
        <v>0</v>
      </c>
      <c r="J5218" s="3">
        <v>0</v>
      </c>
      <c r="K5218" s="3">
        <v>472422.78603089001</v>
      </c>
      <c r="L5218" s="3">
        <v>0</v>
      </c>
      <c r="M5218" s="3">
        <v>0</v>
      </c>
      <c r="N5218" s="3">
        <v>0</v>
      </c>
      <c r="O5218">
        <v>18742.16102534952</v>
      </c>
      <c r="P5218">
        <v>11604677</v>
      </c>
    </row>
    <row r="5219" spans="1:16" x14ac:dyDescent="0.25">
      <c r="A5219" s="10">
        <v>45386</v>
      </c>
      <c r="B5219" s="3">
        <v>-4048</v>
      </c>
      <c r="C5219" s="3">
        <v>403052.77500000002</v>
      </c>
      <c r="D5219" s="3">
        <v>0</v>
      </c>
      <c r="E5219" s="3">
        <v>0</v>
      </c>
      <c r="F5219" s="3">
        <v>0</v>
      </c>
      <c r="G5219" s="3">
        <v>-453.41658013</v>
      </c>
      <c r="H5219" s="3">
        <v>-495064.91361640772</v>
      </c>
      <c r="I5219" s="3">
        <v>0</v>
      </c>
      <c r="J5219" s="3">
        <v>0</v>
      </c>
      <c r="K5219" s="3">
        <v>70942.818401509998</v>
      </c>
      <c r="L5219" s="3">
        <v>0</v>
      </c>
      <c r="M5219" s="3">
        <v>0</v>
      </c>
      <c r="N5219" s="3">
        <v>0</v>
      </c>
      <c r="O5219">
        <v>17474.736795027638</v>
      </c>
      <c r="P5219">
        <v>11600629</v>
      </c>
    </row>
    <row r="5220" spans="1:16" x14ac:dyDescent="0.25">
      <c r="A5220" s="10">
        <v>45387</v>
      </c>
      <c r="B5220" s="3">
        <v>144159</v>
      </c>
      <c r="C5220" s="3">
        <v>275359.26</v>
      </c>
      <c r="D5220" s="3">
        <v>0</v>
      </c>
      <c r="E5220" s="3">
        <v>0</v>
      </c>
      <c r="F5220" s="3">
        <v>0</v>
      </c>
      <c r="G5220" s="3">
        <v>7996.6988736099756</v>
      </c>
      <c r="H5220" s="3">
        <v>-221624.96693396941</v>
      </c>
      <c r="I5220" s="3">
        <v>0</v>
      </c>
      <c r="J5220" s="3">
        <v>0</v>
      </c>
      <c r="K5220" s="3">
        <v>72027.892184729993</v>
      </c>
      <c r="L5220" s="3">
        <v>0</v>
      </c>
      <c r="M5220" s="3">
        <v>0</v>
      </c>
      <c r="N5220" s="3">
        <v>0</v>
      </c>
      <c r="O5220">
        <v>10400.115875629421</v>
      </c>
      <c r="P5220">
        <v>11744788</v>
      </c>
    </row>
    <row r="5221" spans="1:16" x14ac:dyDescent="0.25">
      <c r="A5221" s="10">
        <v>45390</v>
      </c>
      <c r="B5221" s="3">
        <v>-117455</v>
      </c>
      <c r="C5221" s="3">
        <v>241920</v>
      </c>
      <c r="D5221" s="3">
        <v>0</v>
      </c>
      <c r="E5221" s="3">
        <v>0</v>
      </c>
      <c r="F5221" s="3">
        <v>0</v>
      </c>
      <c r="G5221" s="3">
        <v>-226.20193241999999</v>
      </c>
      <c r="H5221" s="3">
        <v>-585002.11736326292</v>
      </c>
      <c r="I5221" s="3">
        <v>0</v>
      </c>
      <c r="J5221" s="3">
        <v>0</v>
      </c>
      <c r="K5221" s="3">
        <v>217540.93661077</v>
      </c>
      <c r="L5221" s="3">
        <v>0</v>
      </c>
      <c r="M5221" s="3">
        <v>0</v>
      </c>
      <c r="N5221" s="3">
        <v>0</v>
      </c>
      <c r="O5221">
        <v>8312.3826849129691</v>
      </c>
      <c r="P5221">
        <v>11627333</v>
      </c>
    </row>
    <row r="5222" spans="1:16" x14ac:dyDescent="0.25">
      <c r="A5222" s="10">
        <v>45391</v>
      </c>
      <c r="B5222" s="3">
        <v>41012</v>
      </c>
      <c r="C5222" s="3">
        <v>209036.1</v>
      </c>
      <c r="D5222" s="3">
        <v>0</v>
      </c>
      <c r="E5222" s="3">
        <v>0</v>
      </c>
      <c r="F5222" s="3">
        <v>0</v>
      </c>
      <c r="G5222" s="3">
        <v>-104.79998565</v>
      </c>
      <c r="H5222" s="3">
        <v>-234094.09636608511</v>
      </c>
      <c r="I5222" s="3">
        <v>0</v>
      </c>
      <c r="J5222" s="3">
        <v>0</v>
      </c>
      <c r="K5222" s="3">
        <v>73795.841958570003</v>
      </c>
      <c r="L5222" s="3">
        <v>0</v>
      </c>
      <c r="M5222" s="3">
        <v>0</v>
      </c>
      <c r="N5222" s="3">
        <v>0</v>
      </c>
      <c r="O5222">
        <v>-7621.0456068349013</v>
      </c>
      <c r="P5222">
        <v>11668345</v>
      </c>
    </row>
    <row r="5223" spans="1:16" x14ac:dyDescent="0.25">
      <c r="A5223" s="10">
        <v>45392</v>
      </c>
      <c r="B5223" s="3">
        <v>-22670</v>
      </c>
      <c r="C5223" s="3">
        <v>94908.75</v>
      </c>
      <c r="D5223" s="3">
        <v>0</v>
      </c>
      <c r="E5223" s="3">
        <v>0</v>
      </c>
      <c r="F5223" s="3">
        <v>0</v>
      </c>
      <c r="G5223" s="3">
        <v>-148.60976081000001</v>
      </c>
      <c r="H5223" s="3">
        <v>-198815.59372079369</v>
      </c>
      <c r="I5223" s="3">
        <v>0</v>
      </c>
      <c r="J5223" s="3">
        <v>0</v>
      </c>
      <c r="K5223" s="3">
        <v>74308.924909490001</v>
      </c>
      <c r="L5223" s="3">
        <v>0</v>
      </c>
      <c r="M5223" s="3">
        <v>0</v>
      </c>
      <c r="N5223" s="3">
        <v>0</v>
      </c>
      <c r="O5223">
        <v>7076.5285721137334</v>
      </c>
      <c r="P5223">
        <v>11645675</v>
      </c>
    </row>
    <row r="5224" spans="1:16" x14ac:dyDescent="0.25">
      <c r="A5224" s="10">
        <v>45393</v>
      </c>
      <c r="B5224" s="3">
        <v>175184</v>
      </c>
      <c r="C5224" s="3">
        <v>116200.22500000001</v>
      </c>
      <c r="D5224" s="3">
        <v>0</v>
      </c>
      <c r="E5224" s="3">
        <v>0</v>
      </c>
      <c r="F5224" s="3">
        <v>0</v>
      </c>
      <c r="G5224" s="3">
        <v>435.45880427999998</v>
      </c>
      <c r="H5224" s="3">
        <v>-79956.592907607555</v>
      </c>
      <c r="I5224" s="3">
        <v>0</v>
      </c>
      <c r="J5224" s="3">
        <v>0</v>
      </c>
      <c r="K5224" s="3">
        <v>74744.685114880005</v>
      </c>
      <c r="L5224" s="3">
        <v>0</v>
      </c>
      <c r="M5224" s="3">
        <v>0</v>
      </c>
      <c r="N5224" s="3">
        <v>0</v>
      </c>
      <c r="O5224">
        <v>63760.223988447542</v>
      </c>
      <c r="P5224">
        <v>11820859</v>
      </c>
    </row>
    <row r="5225" spans="1:16" x14ac:dyDescent="0.25">
      <c r="A5225" s="10">
        <v>45394</v>
      </c>
      <c r="B5225" s="3">
        <v>403220</v>
      </c>
      <c r="C5225" s="3">
        <v>167031.29999999999</v>
      </c>
      <c r="D5225" s="3">
        <v>0</v>
      </c>
      <c r="E5225" s="3">
        <v>0</v>
      </c>
      <c r="F5225" s="3">
        <v>0</v>
      </c>
      <c r="G5225" s="3">
        <v>-259.86184038000653</v>
      </c>
      <c r="H5225" s="3">
        <v>138783.39252624661</v>
      </c>
      <c r="I5225" s="3">
        <v>0</v>
      </c>
      <c r="J5225" s="3">
        <v>0</v>
      </c>
      <c r="K5225" s="3">
        <v>65554.940886580007</v>
      </c>
      <c r="L5225" s="3">
        <v>0</v>
      </c>
      <c r="M5225" s="3">
        <v>0</v>
      </c>
      <c r="N5225" s="3">
        <v>0</v>
      </c>
      <c r="O5225">
        <v>32110.228427553429</v>
      </c>
      <c r="P5225">
        <v>12224079</v>
      </c>
    </row>
    <row r="5226" spans="1:16" x14ac:dyDescent="0.25">
      <c r="A5226" s="10">
        <v>45397</v>
      </c>
      <c r="B5226" s="3">
        <v>153115</v>
      </c>
      <c r="C5226" s="3">
        <v>96643.12</v>
      </c>
      <c r="D5226" s="3">
        <v>-230000</v>
      </c>
      <c r="E5226" s="3">
        <v>0</v>
      </c>
      <c r="F5226" s="3">
        <v>0</v>
      </c>
      <c r="G5226" s="3">
        <v>-2322022.93074833</v>
      </c>
      <c r="H5226" s="3">
        <v>2409951.965304811</v>
      </c>
      <c r="I5226" s="3">
        <v>0</v>
      </c>
      <c r="J5226" s="3">
        <v>0</v>
      </c>
      <c r="K5226" s="3">
        <v>195866.34286708999</v>
      </c>
      <c r="L5226" s="3">
        <v>0</v>
      </c>
      <c r="M5226" s="3">
        <v>0</v>
      </c>
      <c r="N5226" s="3">
        <v>0</v>
      </c>
      <c r="O5226">
        <v>2676.502576429426</v>
      </c>
      <c r="P5226">
        <v>12377194</v>
      </c>
    </row>
    <row r="5227" spans="1:16" x14ac:dyDescent="0.25">
      <c r="A5227" s="10">
        <v>45398</v>
      </c>
      <c r="B5227" s="3">
        <v>297360</v>
      </c>
      <c r="C5227" s="3">
        <v>80349.8</v>
      </c>
      <c r="D5227" s="3">
        <v>-1714000</v>
      </c>
      <c r="E5227" s="3">
        <v>0</v>
      </c>
      <c r="F5227" s="3">
        <v>0</v>
      </c>
      <c r="G5227" s="3">
        <v>1713800.21232558</v>
      </c>
      <c r="H5227" s="3">
        <v>126302.8640981838</v>
      </c>
      <c r="I5227" s="3">
        <v>0</v>
      </c>
      <c r="J5227" s="3">
        <v>0</v>
      </c>
      <c r="K5227" s="3">
        <v>60666.955268819998</v>
      </c>
      <c r="L5227" s="3">
        <v>0</v>
      </c>
      <c r="M5227" s="3">
        <v>0</v>
      </c>
      <c r="N5227" s="3">
        <v>0</v>
      </c>
      <c r="O5227">
        <v>30240.168307416199</v>
      </c>
      <c r="P5227">
        <v>12674554</v>
      </c>
    </row>
    <row r="5228" spans="1:16" x14ac:dyDescent="0.25">
      <c r="A5228" s="10">
        <v>45399</v>
      </c>
      <c r="B5228" s="3">
        <v>-34715</v>
      </c>
      <c r="C5228" s="3">
        <v>171641.3</v>
      </c>
      <c r="D5228" s="3">
        <v>0</v>
      </c>
      <c r="E5228" s="3">
        <v>0</v>
      </c>
      <c r="F5228" s="3">
        <v>0</v>
      </c>
      <c r="G5228" s="3">
        <v>6645.3152439199621</v>
      </c>
      <c r="H5228" s="3">
        <v>-276142.52734434232</v>
      </c>
      <c r="I5228" s="3">
        <v>0</v>
      </c>
      <c r="J5228" s="3">
        <v>0</v>
      </c>
      <c r="K5228" s="3">
        <v>60424.730598000002</v>
      </c>
      <c r="L5228" s="3">
        <v>0</v>
      </c>
      <c r="M5228" s="3">
        <v>0</v>
      </c>
      <c r="N5228" s="3">
        <v>0</v>
      </c>
      <c r="O5228">
        <v>2716.1815024223688</v>
      </c>
      <c r="P5228">
        <v>12639839</v>
      </c>
    </row>
    <row r="5229" spans="1:16" x14ac:dyDescent="0.25">
      <c r="A5229" s="10">
        <v>45400</v>
      </c>
      <c r="B5229" s="3">
        <v>41191</v>
      </c>
      <c r="C5229" s="3">
        <v>173043.32500000001</v>
      </c>
      <c r="D5229" s="3">
        <v>0</v>
      </c>
      <c r="E5229" s="3">
        <v>0</v>
      </c>
      <c r="F5229" s="3">
        <v>0</v>
      </c>
      <c r="G5229" s="3">
        <v>6855.5466178399511</v>
      </c>
      <c r="H5229" s="3">
        <v>-114490.0280905105</v>
      </c>
      <c r="I5229" s="3">
        <v>0</v>
      </c>
      <c r="J5229" s="3">
        <v>0</v>
      </c>
      <c r="K5229" s="3">
        <v>60954.319006600002</v>
      </c>
      <c r="L5229" s="3">
        <v>0</v>
      </c>
      <c r="M5229" s="3">
        <v>0</v>
      </c>
      <c r="N5229" s="3">
        <v>0</v>
      </c>
      <c r="O5229">
        <v>-85172.162533929441</v>
      </c>
      <c r="P5229">
        <v>12681030</v>
      </c>
    </row>
    <row r="5230" spans="1:16" x14ac:dyDescent="0.25">
      <c r="A5230" s="10">
        <v>45401</v>
      </c>
      <c r="B5230" s="3">
        <v>475693</v>
      </c>
      <c r="C5230" s="3">
        <v>381.72500000000002</v>
      </c>
      <c r="D5230" s="3">
        <v>0</v>
      </c>
      <c r="E5230" s="3">
        <v>0</v>
      </c>
      <c r="F5230" s="3">
        <v>0</v>
      </c>
      <c r="G5230" s="3">
        <v>1972.7694239199629</v>
      </c>
      <c r="H5230" s="3">
        <v>406536.34034338221</v>
      </c>
      <c r="I5230" s="3">
        <v>0</v>
      </c>
      <c r="J5230" s="3">
        <v>0</v>
      </c>
      <c r="K5230" s="3">
        <v>61173.888923489998</v>
      </c>
      <c r="L5230" s="3">
        <v>0</v>
      </c>
      <c r="M5230" s="3">
        <v>0</v>
      </c>
      <c r="N5230" s="3">
        <v>0</v>
      </c>
      <c r="O5230">
        <v>5628.2763092078376</v>
      </c>
      <c r="P5230">
        <v>13156723</v>
      </c>
    </row>
    <row r="5231" spans="1:16" x14ac:dyDescent="0.25">
      <c r="A5231" s="10">
        <v>45404</v>
      </c>
      <c r="B5231" s="3">
        <v>24147</v>
      </c>
      <c r="C5231" s="3">
        <v>263680.94</v>
      </c>
      <c r="D5231" s="3">
        <v>0</v>
      </c>
      <c r="E5231" s="3">
        <v>0</v>
      </c>
      <c r="F5231" s="3">
        <v>0</v>
      </c>
      <c r="G5231" s="3">
        <v>2.095619580000005</v>
      </c>
      <c r="H5231" s="3">
        <v>-422916.4901801534</v>
      </c>
      <c r="I5231" s="3">
        <v>0</v>
      </c>
      <c r="J5231" s="3">
        <v>0</v>
      </c>
      <c r="K5231" s="3">
        <v>181182.69056557</v>
      </c>
      <c r="L5231" s="3">
        <v>0</v>
      </c>
      <c r="M5231" s="3">
        <v>0</v>
      </c>
      <c r="N5231" s="3">
        <v>0</v>
      </c>
      <c r="O5231">
        <v>2197.7639950033922</v>
      </c>
      <c r="P5231">
        <v>13180870</v>
      </c>
    </row>
    <row r="5232" spans="1:16" x14ac:dyDescent="0.25">
      <c r="A5232" s="10">
        <v>45405</v>
      </c>
      <c r="B5232" s="3">
        <v>125450</v>
      </c>
      <c r="C5232" s="3">
        <v>109846.75</v>
      </c>
      <c r="D5232" s="3">
        <v>0</v>
      </c>
      <c r="E5232" s="3">
        <v>0</v>
      </c>
      <c r="F5232" s="3">
        <v>0</v>
      </c>
      <c r="G5232" s="3">
        <v>-154.76790524</v>
      </c>
      <c r="H5232" s="3">
        <v>-102600.8778880835</v>
      </c>
      <c r="I5232" s="3">
        <v>0</v>
      </c>
      <c r="J5232" s="3">
        <v>0</v>
      </c>
      <c r="K5232" s="3">
        <v>61205.302909449987</v>
      </c>
      <c r="L5232" s="3">
        <v>0</v>
      </c>
      <c r="M5232" s="3">
        <v>0</v>
      </c>
      <c r="N5232" s="3">
        <v>0</v>
      </c>
      <c r="O5232">
        <v>57153.592883873469</v>
      </c>
      <c r="P5232">
        <v>13306320</v>
      </c>
    </row>
    <row r="5233" spans="1:16" x14ac:dyDescent="0.25">
      <c r="A5233" s="10">
        <v>45406</v>
      </c>
      <c r="B5233" s="3">
        <v>37801</v>
      </c>
      <c r="C5233" s="3">
        <v>95446.65</v>
      </c>
      <c r="D5233" s="3">
        <v>0</v>
      </c>
      <c r="E5233" s="3">
        <v>0</v>
      </c>
      <c r="F5233" s="3">
        <v>0</v>
      </c>
      <c r="G5233" s="3">
        <v>-314.76683672994841</v>
      </c>
      <c r="H5233" s="3">
        <v>-342198.20968539268</v>
      </c>
      <c r="I5233" s="3">
        <v>0</v>
      </c>
      <c r="J5233" s="3">
        <v>0</v>
      </c>
      <c r="K5233" s="3">
        <v>61402.071716350001</v>
      </c>
      <c r="L5233" s="3">
        <v>0</v>
      </c>
      <c r="M5233" s="3">
        <v>0</v>
      </c>
      <c r="N5233" s="3">
        <v>0</v>
      </c>
      <c r="O5233">
        <v>223465.25480577259</v>
      </c>
      <c r="P5233">
        <v>13344121</v>
      </c>
    </row>
    <row r="5234" spans="1:16" x14ac:dyDescent="0.25">
      <c r="A5234" s="10">
        <v>45407</v>
      </c>
      <c r="B5234" s="3">
        <v>196170</v>
      </c>
      <c r="C5234" s="3">
        <v>50036.824999999997</v>
      </c>
      <c r="D5234" s="3">
        <v>0</v>
      </c>
      <c r="E5234" s="3">
        <v>0</v>
      </c>
      <c r="F5234" s="3">
        <v>0</v>
      </c>
      <c r="G5234" s="3">
        <v>84.428762039999981</v>
      </c>
      <c r="H5234" s="3">
        <v>-215255.5781898126</v>
      </c>
      <c r="I5234" s="3">
        <v>0</v>
      </c>
      <c r="J5234" s="3">
        <v>0</v>
      </c>
      <c r="K5234" s="3">
        <v>62058.342255449999</v>
      </c>
      <c r="L5234" s="3">
        <v>0</v>
      </c>
      <c r="M5234" s="3">
        <v>0</v>
      </c>
      <c r="N5234" s="3">
        <v>0</v>
      </c>
      <c r="O5234">
        <v>299245.98217232258</v>
      </c>
      <c r="P5234">
        <v>13540291</v>
      </c>
    </row>
    <row r="5235" spans="1:16" x14ac:dyDescent="0.25">
      <c r="A5235" s="10">
        <v>45408</v>
      </c>
      <c r="B5235" s="3">
        <v>132137</v>
      </c>
      <c r="C5235" s="3">
        <v>52120.2</v>
      </c>
      <c r="D5235" s="3">
        <v>0</v>
      </c>
      <c r="E5235" s="3">
        <v>0</v>
      </c>
      <c r="F5235" s="3">
        <v>0</v>
      </c>
      <c r="G5235" s="3">
        <v>143.58349645000001</v>
      </c>
      <c r="H5235" s="3">
        <v>-627352.79620160535</v>
      </c>
      <c r="I5235" s="3">
        <v>0</v>
      </c>
      <c r="J5235" s="3">
        <v>0</v>
      </c>
      <c r="K5235" s="3">
        <v>53546.709576519999</v>
      </c>
      <c r="L5235" s="3">
        <v>0</v>
      </c>
      <c r="M5235" s="3">
        <v>0</v>
      </c>
      <c r="N5235" s="3">
        <v>0</v>
      </c>
      <c r="O5235">
        <v>653679.30312863539</v>
      </c>
      <c r="P5235">
        <v>13672428</v>
      </c>
    </row>
    <row r="5236" spans="1:16" x14ac:dyDescent="0.25">
      <c r="A5236" s="10">
        <v>45411</v>
      </c>
      <c r="B5236" s="3">
        <v>361997</v>
      </c>
      <c r="C5236" s="3">
        <v>-80909</v>
      </c>
      <c r="D5236" s="3">
        <v>0</v>
      </c>
      <c r="E5236" s="3">
        <v>0</v>
      </c>
      <c r="F5236" s="3">
        <v>0</v>
      </c>
      <c r="G5236" s="3">
        <v>20631.531199260029</v>
      </c>
      <c r="H5236" s="3">
        <v>-105623.9447338618</v>
      </c>
      <c r="I5236" s="3">
        <v>0</v>
      </c>
      <c r="J5236" s="3">
        <v>0</v>
      </c>
      <c r="K5236" s="3">
        <v>163733.92334077001</v>
      </c>
      <c r="L5236" s="3">
        <v>0</v>
      </c>
      <c r="M5236" s="3">
        <v>0</v>
      </c>
      <c r="N5236" s="3">
        <v>0</v>
      </c>
      <c r="O5236">
        <v>364164.49019383191</v>
      </c>
      <c r="P5236">
        <v>14034425</v>
      </c>
    </row>
    <row r="5237" spans="1:16" x14ac:dyDescent="0.25">
      <c r="A5237" s="10">
        <v>45412</v>
      </c>
      <c r="B5237" s="3">
        <v>934645</v>
      </c>
      <c r="C5237" s="3">
        <v>168141.83</v>
      </c>
      <c r="D5237" s="3">
        <v>-75000</v>
      </c>
      <c r="E5237" s="3">
        <v>0</v>
      </c>
      <c r="F5237" s="3">
        <v>0</v>
      </c>
      <c r="G5237" s="3">
        <v>117253.79188431001</v>
      </c>
      <c r="H5237" s="3">
        <v>594394.26641153917</v>
      </c>
      <c r="I5237" s="3">
        <v>0</v>
      </c>
      <c r="J5237" s="3">
        <v>0</v>
      </c>
      <c r="K5237" s="3">
        <v>54751.602849269999</v>
      </c>
      <c r="L5237" s="3">
        <v>0</v>
      </c>
      <c r="M5237" s="3">
        <v>0</v>
      </c>
      <c r="N5237" s="3">
        <v>0</v>
      </c>
      <c r="O5237">
        <v>75103.508854880929</v>
      </c>
      <c r="P5237">
        <v>14969070</v>
      </c>
    </row>
    <row r="5238" spans="1:16" x14ac:dyDescent="0.25">
      <c r="A5238" s="10">
        <v>45414</v>
      </c>
      <c r="B5238" s="3">
        <v>-1723693</v>
      </c>
      <c r="C5238" s="3">
        <v>142979.29999999999</v>
      </c>
      <c r="D5238" s="3">
        <v>0</v>
      </c>
      <c r="E5238" s="3">
        <v>0</v>
      </c>
      <c r="F5238" s="3">
        <v>0</v>
      </c>
      <c r="G5238" s="3">
        <v>-376.13310878999988</v>
      </c>
      <c r="H5238" s="3">
        <v>-1900911.4672271649</v>
      </c>
      <c r="I5238" s="3">
        <v>0</v>
      </c>
      <c r="J5238" s="3">
        <v>0</v>
      </c>
      <c r="K5238" s="3">
        <v>107549.03276777999</v>
      </c>
      <c r="L5238" s="3">
        <v>0</v>
      </c>
      <c r="M5238" s="3">
        <v>0</v>
      </c>
      <c r="N5238" s="3">
        <v>0</v>
      </c>
      <c r="O5238">
        <v>-72933.73243182525</v>
      </c>
      <c r="P5238">
        <v>13245377</v>
      </c>
    </row>
    <row r="5239" spans="1:16" x14ac:dyDescent="0.25">
      <c r="A5239" s="10">
        <v>45415</v>
      </c>
      <c r="B5239" s="3">
        <v>130618</v>
      </c>
      <c r="C5239" s="3">
        <v>126528.15</v>
      </c>
      <c r="D5239" s="3">
        <v>0</v>
      </c>
      <c r="E5239" s="3">
        <v>0</v>
      </c>
      <c r="F5239" s="3">
        <v>0</v>
      </c>
      <c r="G5239" s="3">
        <v>-231.7206833800301</v>
      </c>
      <c r="H5239" s="3">
        <v>-41274.937884144478</v>
      </c>
      <c r="I5239" s="3">
        <v>0</v>
      </c>
      <c r="J5239" s="3">
        <v>0</v>
      </c>
      <c r="K5239" s="3">
        <v>47416.085297830003</v>
      </c>
      <c r="L5239" s="3">
        <v>0</v>
      </c>
      <c r="M5239" s="3">
        <v>0</v>
      </c>
      <c r="N5239" s="3">
        <v>0</v>
      </c>
      <c r="O5239">
        <v>-1819.576730305474</v>
      </c>
      <c r="P5239">
        <v>13375995</v>
      </c>
    </row>
    <row r="5240" spans="1:16" x14ac:dyDescent="0.25">
      <c r="A5240" s="10">
        <v>45418</v>
      </c>
      <c r="B5240" s="3">
        <v>157493</v>
      </c>
      <c r="C5240" s="3">
        <v>57086.475000000013</v>
      </c>
      <c r="D5240" s="3">
        <v>0</v>
      </c>
      <c r="E5240" s="3">
        <v>0</v>
      </c>
      <c r="F5240" s="3">
        <v>0</v>
      </c>
      <c r="G5240" s="3">
        <v>-59.358093500000003</v>
      </c>
      <c r="H5240" s="3">
        <v>-49465.266695603728</v>
      </c>
      <c r="I5240" s="3">
        <v>0</v>
      </c>
      <c r="J5240" s="3">
        <v>0</v>
      </c>
      <c r="K5240" s="3">
        <v>142417.87892595999</v>
      </c>
      <c r="L5240" s="3">
        <v>0</v>
      </c>
      <c r="M5240" s="3">
        <v>0</v>
      </c>
      <c r="N5240" s="3">
        <v>0</v>
      </c>
      <c r="O5240">
        <v>7513.2708631437272</v>
      </c>
      <c r="P5240">
        <v>13533488</v>
      </c>
    </row>
    <row r="5241" spans="1:16" x14ac:dyDescent="0.25">
      <c r="A5241" s="10">
        <v>45419</v>
      </c>
      <c r="B5241" s="3">
        <v>-59473</v>
      </c>
      <c r="C5241" s="3">
        <v>193172.89499999999</v>
      </c>
      <c r="D5241" s="3">
        <v>0</v>
      </c>
      <c r="E5241" s="3">
        <v>0</v>
      </c>
      <c r="F5241" s="3">
        <v>0</v>
      </c>
      <c r="G5241" s="3">
        <v>-170.50395545000001</v>
      </c>
      <c r="H5241" s="3">
        <v>-302885.40016635507</v>
      </c>
      <c r="I5241" s="3">
        <v>0</v>
      </c>
      <c r="J5241" s="3">
        <v>0</v>
      </c>
      <c r="K5241" s="3">
        <v>47540.386947860003</v>
      </c>
      <c r="L5241" s="3">
        <v>0</v>
      </c>
      <c r="M5241" s="3">
        <v>0</v>
      </c>
      <c r="N5241" s="3">
        <v>0</v>
      </c>
      <c r="O5241">
        <v>2869.6221739451071</v>
      </c>
      <c r="P5241">
        <v>13474015</v>
      </c>
    </row>
    <row r="5242" spans="1:16" x14ac:dyDescent="0.25">
      <c r="A5242" s="10">
        <v>45420</v>
      </c>
      <c r="B5242" s="3">
        <v>472568</v>
      </c>
      <c r="C5242" s="3">
        <v>203713.255</v>
      </c>
      <c r="D5242" s="3">
        <v>0</v>
      </c>
      <c r="E5242" s="3">
        <v>0</v>
      </c>
      <c r="F5242" s="3">
        <v>0</v>
      </c>
      <c r="G5242" s="3">
        <v>-206275.15153328</v>
      </c>
      <c r="H5242" s="3">
        <v>427290.6360726133</v>
      </c>
      <c r="I5242" s="3">
        <v>0</v>
      </c>
      <c r="J5242" s="3">
        <v>0</v>
      </c>
      <c r="K5242" s="3">
        <v>47955.298455160002</v>
      </c>
      <c r="L5242" s="3">
        <v>0</v>
      </c>
      <c r="M5242" s="3">
        <v>0</v>
      </c>
      <c r="N5242" s="3">
        <v>0</v>
      </c>
      <c r="O5242">
        <v>-116.0379944932647</v>
      </c>
      <c r="P5242">
        <v>13946583</v>
      </c>
    </row>
    <row r="5243" spans="1:16" x14ac:dyDescent="0.25">
      <c r="A5243" s="10">
        <v>45421</v>
      </c>
      <c r="B5243" s="3">
        <v>-57930</v>
      </c>
      <c r="C5243" s="3">
        <v>52050.67</v>
      </c>
      <c r="D5243" s="3">
        <v>0</v>
      </c>
      <c r="E5243" s="3">
        <v>0</v>
      </c>
      <c r="F5243" s="3">
        <v>0</v>
      </c>
      <c r="G5243" s="3">
        <v>427107.52280540008</v>
      </c>
      <c r="H5243" s="3">
        <v>-542109.07292997092</v>
      </c>
      <c r="I5243" s="3">
        <v>0</v>
      </c>
      <c r="J5243" s="3">
        <v>0</v>
      </c>
      <c r="K5243" s="3">
        <v>47369.968816599998</v>
      </c>
      <c r="L5243" s="3">
        <v>0</v>
      </c>
      <c r="M5243" s="3">
        <v>0</v>
      </c>
      <c r="N5243" s="3">
        <v>0</v>
      </c>
      <c r="O5243">
        <v>-42349.088692029152</v>
      </c>
      <c r="P5243">
        <v>13888653</v>
      </c>
    </row>
    <row r="5244" spans="1:16" x14ac:dyDescent="0.25">
      <c r="A5244" s="10">
        <v>45422</v>
      </c>
      <c r="B5244" s="3">
        <v>82411</v>
      </c>
      <c r="C5244" s="3">
        <v>200119.2</v>
      </c>
      <c r="D5244" s="3">
        <v>0</v>
      </c>
      <c r="E5244" s="3">
        <v>0</v>
      </c>
      <c r="F5244" s="3">
        <v>0</v>
      </c>
      <c r="G5244" s="3">
        <v>298.59137736994307</v>
      </c>
      <c r="H5244" s="3">
        <v>-166469.38474455479</v>
      </c>
      <c r="I5244" s="3">
        <v>0</v>
      </c>
      <c r="J5244" s="3">
        <v>0</v>
      </c>
      <c r="K5244" s="3">
        <v>48112.583984800003</v>
      </c>
      <c r="L5244" s="3">
        <v>0</v>
      </c>
      <c r="M5244" s="3">
        <v>0</v>
      </c>
      <c r="N5244" s="3">
        <v>0</v>
      </c>
      <c r="O5244">
        <v>350.00938238480012</v>
      </c>
      <c r="P5244">
        <v>13971064</v>
      </c>
    </row>
    <row r="5245" spans="1:16" x14ac:dyDescent="0.25">
      <c r="A5245" s="10">
        <v>45425</v>
      </c>
      <c r="B5245" s="3">
        <v>34457</v>
      </c>
      <c r="C5245" s="3">
        <v>89990</v>
      </c>
      <c r="D5245" s="3">
        <v>0</v>
      </c>
      <c r="E5245" s="3">
        <v>0</v>
      </c>
      <c r="F5245" s="3">
        <v>0</v>
      </c>
      <c r="G5245" s="3">
        <v>-150.15739998999999</v>
      </c>
      <c r="H5245" s="3">
        <v>-207388.14620465791</v>
      </c>
      <c r="I5245" s="3">
        <v>0</v>
      </c>
      <c r="J5245" s="3">
        <v>0</v>
      </c>
      <c r="K5245" s="3">
        <v>145021.87271421999</v>
      </c>
      <c r="L5245" s="3">
        <v>0</v>
      </c>
      <c r="M5245" s="3">
        <v>0</v>
      </c>
      <c r="N5245" s="3">
        <v>0</v>
      </c>
      <c r="O5245">
        <v>6983.4308904278732</v>
      </c>
      <c r="P5245">
        <v>14005521</v>
      </c>
    </row>
    <row r="5246" spans="1:16" x14ac:dyDescent="0.25">
      <c r="A5246" s="10">
        <v>45426</v>
      </c>
      <c r="B5246" s="3">
        <v>120125</v>
      </c>
      <c r="C5246" s="3">
        <v>125395.65</v>
      </c>
      <c r="D5246" s="3">
        <v>0</v>
      </c>
      <c r="E5246" s="3">
        <v>0</v>
      </c>
      <c r="F5246" s="3">
        <v>0</v>
      </c>
      <c r="G5246" s="3">
        <v>-5873.9745421999996</v>
      </c>
      <c r="H5246" s="3">
        <v>-51491.435545988381</v>
      </c>
      <c r="I5246" s="3">
        <v>0</v>
      </c>
      <c r="J5246" s="3">
        <v>0</v>
      </c>
      <c r="K5246" s="3">
        <v>48624.717588949999</v>
      </c>
      <c r="L5246" s="3">
        <v>0</v>
      </c>
      <c r="M5246" s="3">
        <v>0</v>
      </c>
      <c r="N5246" s="3">
        <v>0</v>
      </c>
      <c r="O5246">
        <v>3470.0424992383919</v>
      </c>
      <c r="P5246">
        <v>14125646</v>
      </c>
    </row>
    <row r="5247" spans="1:16" x14ac:dyDescent="0.25">
      <c r="A5247" s="10">
        <v>45427</v>
      </c>
      <c r="B5247" s="3">
        <v>1813019</v>
      </c>
      <c r="C5247" s="3">
        <v>93061.5</v>
      </c>
      <c r="D5247" s="3">
        <v>-330000</v>
      </c>
      <c r="E5247" s="3">
        <v>0</v>
      </c>
      <c r="F5247" s="3">
        <v>0</v>
      </c>
      <c r="G5247" s="3">
        <v>335959.37670666998</v>
      </c>
      <c r="H5247" s="3">
        <v>1671816.846557766</v>
      </c>
      <c r="I5247" s="3">
        <v>0</v>
      </c>
      <c r="J5247" s="3">
        <v>0</v>
      </c>
      <c r="K5247" s="3">
        <v>38956.203041769993</v>
      </c>
      <c r="L5247" s="3">
        <v>0</v>
      </c>
      <c r="M5247" s="3">
        <v>0</v>
      </c>
      <c r="N5247" s="3">
        <v>0</v>
      </c>
      <c r="O5247">
        <v>3225.0736937937331</v>
      </c>
      <c r="P5247">
        <v>15938665</v>
      </c>
    </row>
    <row r="5248" spans="1:16" x14ac:dyDescent="0.25">
      <c r="A5248" s="10">
        <v>45428</v>
      </c>
      <c r="B5248" s="3">
        <v>-120935</v>
      </c>
      <c r="C5248" s="3">
        <v>232991.76</v>
      </c>
      <c r="D5248" s="3">
        <v>0</v>
      </c>
      <c r="E5248" s="3">
        <v>0</v>
      </c>
      <c r="F5248" s="3">
        <v>0</v>
      </c>
      <c r="G5248" s="3">
        <v>-180.14761480000001</v>
      </c>
      <c r="H5248" s="3">
        <v>1219177.1863240411</v>
      </c>
      <c r="I5248" s="3">
        <v>0</v>
      </c>
      <c r="J5248" s="3">
        <v>0</v>
      </c>
      <c r="K5248" s="3">
        <v>37124.0749908</v>
      </c>
      <c r="L5248" s="3">
        <v>0</v>
      </c>
      <c r="M5248" s="3">
        <v>0</v>
      </c>
      <c r="N5248" s="3">
        <v>0</v>
      </c>
      <c r="O5248">
        <v>-1610047.8737000411</v>
      </c>
      <c r="P5248">
        <v>15817730</v>
      </c>
    </row>
    <row r="5249" spans="1:16" x14ac:dyDescent="0.25">
      <c r="A5249" s="10">
        <v>45429</v>
      </c>
      <c r="B5249" s="3">
        <v>8376</v>
      </c>
      <c r="C5249" s="3">
        <v>122851.17</v>
      </c>
      <c r="D5249" s="3">
        <v>0</v>
      </c>
      <c r="E5249" s="3">
        <v>0</v>
      </c>
      <c r="F5249" s="3">
        <v>0</v>
      </c>
      <c r="G5249" s="3">
        <v>1974.0254327699661</v>
      </c>
      <c r="H5249" s="3">
        <v>-136103.18150820961</v>
      </c>
      <c r="I5249" s="3">
        <v>0</v>
      </c>
      <c r="J5249" s="3">
        <v>0</v>
      </c>
      <c r="K5249" s="3">
        <v>35787.990403060001</v>
      </c>
      <c r="L5249" s="3">
        <v>0</v>
      </c>
      <c r="M5249" s="3">
        <v>0</v>
      </c>
      <c r="N5249" s="3">
        <v>0</v>
      </c>
      <c r="O5249">
        <v>-16134.004327620411</v>
      </c>
      <c r="P5249">
        <v>15826106</v>
      </c>
    </row>
    <row r="5250" spans="1:16" x14ac:dyDescent="0.25">
      <c r="A5250" s="10">
        <v>45432</v>
      </c>
      <c r="B5250" s="3">
        <v>2244428</v>
      </c>
      <c r="C5250" s="3">
        <v>111586.715</v>
      </c>
      <c r="D5250" s="3">
        <v>0</v>
      </c>
      <c r="E5250" s="3">
        <v>0</v>
      </c>
      <c r="F5250" s="3">
        <v>0</v>
      </c>
      <c r="G5250" s="3">
        <v>-8854103.3263427783</v>
      </c>
      <c r="H5250" s="3">
        <v>10878247.121792</v>
      </c>
      <c r="I5250" s="3">
        <v>0</v>
      </c>
      <c r="J5250" s="3">
        <v>0</v>
      </c>
      <c r="K5250" s="3">
        <v>107811.43372313</v>
      </c>
      <c r="L5250" s="3">
        <v>0</v>
      </c>
      <c r="M5250" s="3">
        <v>0</v>
      </c>
      <c r="N5250" s="3">
        <v>0</v>
      </c>
      <c r="O5250">
        <v>886.05582764884457</v>
      </c>
      <c r="P5250">
        <v>18070534</v>
      </c>
    </row>
    <row r="5251" spans="1:16" x14ac:dyDescent="0.25">
      <c r="A5251" s="10">
        <v>45433</v>
      </c>
      <c r="B5251" s="3">
        <v>-2948174</v>
      </c>
      <c r="C5251" s="3">
        <v>167623.46</v>
      </c>
      <c r="D5251" s="3">
        <v>0</v>
      </c>
      <c r="E5251" s="3">
        <v>0</v>
      </c>
      <c r="F5251" s="3">
        <v>0</v>
      </c>
      <c r="G5251" s="3">
        <v>-334.46114499999999</v>
      </c>
      <c r="H5251" s="3">
        <v>-3442304.9143171422</v>
      </c>
      <c r="I5251" s="3">
        <v>0</v>
      </c>
      <c r="J5251" s="3">
        <v>0</v>
      </c>
      <c r="K5251" s="3">
        <v>24015.777865610002</v>
      </c>
      <c r="L5251" s="3">
        <v>0</v>
      </c>
      <c r="M5251" s="3">
        <v>0</v>
      </c>
      <c r="N5251" s="3">
        <v>0</v>
      </c>
      <c r="O5251">
        <v>302826.13759653218</v>
      </c>
      <c r="P5251">
        <v>15122360</v>
      </c>
    </row>
    <row r="5252" spans="1:16" x14ac:dyDescent="0.25">
      <c r="A5252" s="10">
        <v>45434</v>
      </c>
      <c r="B5252" s="3">
        <v>-557104</v>
      </c>
      <c r="C5252" s="3">
        <v>52049.474999999999</v>
      </c>
      <c r="D5252" s="3">
        <v>0</v>
      </c>
      <c r="E5252" s="3">
        <v>0</v>
      </c>
      <c r="F5252" s="3">
        <v>0</v>
      </c>
      <c r="G5252" s="3">
        <v>-346.10706576000001</v>
      </c>
      <c r="H5252" s="3">
        <v>-602999.26504215971</v>
      </c>
      <c r="I5252" s="3">
        <v>0</v>
      </c>
      <c r="J5252" s="3">
        <v>0</v>
      </c>
      <c r="K5252" s="3">
        <v>27788.166812859999</v>
      </c>
      <c r="L5252" s="3">
        <v>0</v>
      </c>
      <c r="M5252" s="3">
        <v>0</v>
      </c>
      <c r="N5252" s="3">
        <v>0</v>
      </c>
      <c r="O5252">
        <v>-33596.269704940321</v>
      </c>
      <c r="P5252">
        <v>14565256</v>
      </c>
    </row>
    <row r="5253" spans="1:16" x14ac:dyDescent="0.25">
      <c r="A5253" s="10">
        <v>45435</v>
      </c>
      <c r="B5253" s="3">
        <v>109200</v>
      </c>
      <c r="C5253" s="3">
        <v>52279.65</v>
      </c>
      <c r="D5253" s="3">
        <v>0</v>
      </c>
      <c r="E5253" s="3">
        <v>0</v>
      </c>
      <c r="F5253" s="3">
        <v>0</v>
      </c>
      <c r="G5253" s="3">
        <v>-1707375.848747741</v>
      </c>
      <c r="H5253" s="3">
        <v>1770015.77609428</v>
      </c>
      <c r="I5253" s="3">
        <v>0</v>
      </c>
      <c r="J5253" s="3">
        <v>0</v>
      </c>
      <c r="K5253" s="3">
        <v>28448.98792507</v>
      </c>
      <c r="L5253" s="3">
        <v>0</v>
      </c>
      <c r="M5253" s="3">
        <v>0</v>
      </c>
      <c r="N5253" s="3">
        <v>0</v>
      </c>
      <c r="O5253">
        <v>-34168.565271608742</v>
      </c>
      <c r="P5253">
        <v>14674456</v>
      </c>
    </row>
    <row r="5254" spans="1:16" x14ac:dyDescent="0.25">
      <c r="A5254" s="10">
        <v>45436</v>
      </c>
      <c r="B5254" s="3">
        <v>285244</v>
      </c>
      <c r="C5254" s="3">
        <v>104202.72500000001</v>
      </c>
      <c r="D5254" s="3">
        <v>0</v>
      </c>
      <c r="E5254" s="3">
        <v>0</v>
      </c>
      <c r="F5254" s="3">
        <v>0</v>
      </c>
      <c r="G5254" s="3">
        <v>710.44164970144629</v>
      </c>
      <c r="H5254" s="3">
        <v>156141.81333180889</v>
      </c>
      <c r="I5254" s="3">
        <v>0</v>
      </c>
      <c r="J5254" s="3">
        <v>0</v>
      </c>
      <c r="K5254" s="3">
        <v>26509.244608929999</v>
      </c>
      <c r="L5254" s="3">
        <v>0</v>
      </c>
      <c r="M5254" s="3">
        <v>0</v>
      </c>
      <c r="N5254" s="3">
        <v>0</v>
      </c>
      <c r="O5254">
        <v>-2320.2245904403389</v>
      </c>
      <c r="P5254">
        <v>14959700</v>
      </c>
    </row>
    <row r="5255" spans="1:16" x14ac:dyDescent="0.25">
      <c r="A5255" s="10">
        <v>45439</v>
      </c>
      <c r="B5255" s="3">
        <v>274398</v>
      </c>
      <c r="C5255" s="3">
        <v>-9835</v>
      </c>
      <c r="D5255" s="3">
        <v>0</v>
      </c>
      <c r="E5255" s="3">
        <v>0</v>
      </c>
      <c r="F5255" s="3">
        <v>0</v>
      </c>
      <c r="G5255" s="3">
        <v>-265.34448318</v>
      </c>
      <c r="H5255" s="3">
        <v>205124.94787982851</v>
      </c>
      <c r="I5255" s="3">
        <v>0</v>
      </c>
      <c r="J5255" s="3">
        <v>0</v>
      </c>
      <c r="K5255" s="3">
        <v>79014.390878809994</v>
      </c>
      <c r="L5255" s="3">
        <v>0</v>
      </c>
      <c r="M5255" s="3">
        <v>0</v>
      </c>
      <c r="N5255" s="3">
        <v>0</v>
      </c>
      <c r="O5255">
        <v>359.00572454149369</v>
      </c>
      <c r="P5255">
        <v>15234098</v>
      </c>
    </row>
    <row r="5256" spans="1:16" x14ac:dyDescent="0.25">
      <c r="A5256" s="10">
        <v>45440</v>
      </c>
      <c r="B5256" s="3">
        <v>244207</v>
      </c>
      <c r="C5256" s="3">
        <v>49658.83</v>
      </c>
      <c r="D5256" s="3">
        <v>0</v>
      </c>
      <c r="E5256" s="3">
        <v>0</v>
      </c>
      <c r="F5256" s="3">
        <v>0</v>
      </c>
      <c r="G5256" s="3">
        <v>-130.23432063999999</v>
      </c>
      <c r="H5256" s="3">
        <v>261004.94090543769</v>
      </c>
      <c r="I5256" s="3">
        <v>0</v>
      </c>
      <c r="J5256" s="3">
        <v>0</v>
      </c>
      <c r="K5256" s="3">
        <v>26113.335829510001</v>
      </c>
      <c r="L5256" s="3">
        <v>0</v>
      </c>
      <c r="M5256" s="3">
        <v>0</v>
      </c>
      <c r="N5256" s="3">
        <v>0</v>
      </c>
      <c r="O5256">
        <v>-92439.872414307669</v>
      </c>
      <c r="P5256">
        <v>15478305</v>
      </c>
    </row>
    <row r="5257" spans="1:16" x14ac:dyDescent="0.25">
      <c r="A5257" s="10">
        <v>45441</v>
      </c>
      <c r="B5257" s="3">
        <v>90652</v>
      </c>
      <c r="C5257" s="3">
        <v>84373.205000000002</v>
      </c>
      <c r="D5257" s="3">
        <v>0</v>
      </c>
      <c r="E5257" s="3">
        <v>0</v>
      </c>
      <c r="F5257" s="3">
        <v>0</v>
      </c>
      <c r="G5257" s="3">
        <v>-157.27722686999999</v>
      </c>
      <c r="H5257" s="3">
        <v>-18979.52936972383</v>
      </c>
      <c r="I5257" s="3">
        <v>0</v>
      </c>
      <c r="J5257" s="3">
        <v>0</v>
      </c>
      <c r="K5257" s="3">
        <v>25827.302468400001</v>
      </c>
      <c r="L5257" s="3">
        <v>0</v>
      </c>
      <c r="M5257" s="3">
        <v>0</v>
      </c>
      <c r="N5257" s="3">
        <v>0</v>
      </c>
      <c r="O5257">
        <v>-411.70087180616969</v>
      </c>
      <c r="P5257">
        <v>15568957</v>
      </c>
    </row>
    <row r="5258" spans="1:16" x14ac:dyDescent="0.25">
      <c r="A5258" s="10">
        <v>45442</v>
      </c>
      <c r="B5258" s="3">
        <v>358406</v>
      </c>
      <c r="C5258" s="3">
        <v>33907.599999999999</v>
      </c>
      <c r="D5258" s="3">
        <v>0</v>
      </c>
      <c r="E5258" s="3">
        <v>0</v>
      </c>
      <c r="F5258" s="3">
        <v>0</v>
      </c>
      <c r="G5258" s="3">
        <v>10912.04948761</v>
      </c>
      <c r="H5258" s="3">
        <v>336565.37683547661</v>
      </c>
      <c r="I5258" s="3">
        <v>0</v>
      </c>
      <c r="J5258" s="3">
        <v>0</v>
      </c>
      <c r="K5258" s="3">
        <v>25848.100854079999</v>
      </c>
      <c r="L5258" s="3">
        <v>0</v>
      </c>
      <c r="M5258" s="3">
        <v>0</v>
      </c>
      <c r="N5258" s="3">
        <v>0</v>
      </c>
      <c r="O5258">
        <v>-48827.127177166578</v>
      </c>
      <c r="P5258">
        <v>15927363</v>
      </c>
    </row>
    <row r="5259" spans="1:16" x14ac:dyDescent="0.25">
      <c r="A5259" s="10">
        <v>45443</v>
      </c>
      <c r="B5259" s="3">
        <v>1224328</v>
      </c>
      <c r="C5259" s="3">
        <v>-46601</v>
      </c>
      <c r="D5259" s="3">
        <v>0</v>
      </c>
      <c r="E5259" s="3">
        <v>0</v>
      </c>
      <c r="F5259" s="3">
        <v>0</v>
      </c>
      <c r="G5259" s="3">
        <v>-3520501.8383416808</v>
      </c>
      <c r="H5259" s="3">
        <v>4760579.869698029</v>
      </c>
      <c r="I5259" s="3">
        <v>0</v>
      </c>
      <c r="J5259" s="3">
        <v>0</v>
      </c>
      <c r="K5259" s="3">
        <v>25479.263732769999</v>
      </c>
      <c r="L5259" s="3">
        <v>0</v>
      </c>
      <c r="M5259" s="3">
        <v>0</v>
      </c>
      <c r="N5259" s="3">
        <v>0</v>
      </c>
      <c r="O5259">
        <v>5371.704910882283</v>
      </c>
      <c r="P5259">
        <v>17151691</v>
      </c>
    </row>
    <row r="5260" spans="1:16" x14ac:dyDescent="0.25">
      <c r="A5260" s="10">
        <v>45446</v>
      </c>
      <c r="B5260" s="3">
        <v>-449839</v>
      </c>
      <c r="C5260" s="3">
        <v>0</v>
      </c>
      <c r="D5260" s="3">
        <v>-190000</v>
      </c>
      <c r="E5260" s="3">
        <v>0</v>
      </c>
      <c r="F5260" s="3">
        <v>0</v>
      </c>
      <c r="G5260" s="3">
        <v>189903.6794856209</v>
      </c>
      <c r="H5260" s="3">
        <v>-418997.44160493457</v>
      </c>
      <c r="I5260" s="3">
        <v>0</v>
      </c>
      <c r="J5260" s="3">
        <v>0</v>
      </c>
      <c r="K5260" s="3">
        <v>60786.569708659998</v>
      </c>
      <c r="L5260" s="3">
        <v>0</v>
      </c>
      <c r="M5260" s="3">
        <v>0</v>
      </c>
      <c r="N5260" s="3">
        <v>0</v>
      </c>
      <c r="O5260">
        <v>-91531.80758934631</v>
      </c>
      <c r="P5260">
        <v>16701852</v>
      </c>
    </row>
    <row r="5261" spans="1:16" x14ac:dyDescent="0.25">
      <c r="A5261" s="10">
        <v>45447</v>
      </c>
      <c r="B5261" s="3">
        <v>-58986</v>
      </c>
      <c r="C5261" s="3">
        <v>53283.89</v>
      </c>
      <c r="D5261" s="3">
        <v>0</v>
      </c>
      <c r="E5261" s="3">
        <v>0</v>
      </c>
      <c r="F5261" s="3">
        <v>0</v>
      </c>
      <c r="G5261" s="3">
        <v>-131.63450931</v>
      </c>
      <c r="H5261" s="3">
        <v>-128988.0440585762</v>
      </c>
      <c r="I5261" s="3">
        <v>0</v>
      </c>
      <c r="J5261" s="3">
        <v>0</v>
      </c>
      <c r="K5261" s="3">
        <v>20721.365181379999</v>
      </c>
      <c r="L5261" s="3">
        <v>0</v>
      </c>
      <c r="M5261" s="3">
        <v>0</v>
      </c>
      <c r="N5261" s="3">
        <v>0</v>
      </c>
      <c r="O5261">
        <v>-3871.5766134937799</v>
      </c>
      <c r="P5261">
        <v>16642866</v>
      </c>
    </row>
    <row r="5262" spans="1:16" x14ac:dyDescent="0.25">
      <c r="A5262" s="10">
        <v>45448</v>
      </c>
      <c r="B5262" s="3">
        <v>226665</v>
      </c>
      <c r="C5262" s="3">
        <v>43192.5</v>
      </c>
      <c r="D5262" s="3">
        <v>0</v>
      </c>
      <c r="E5262" s="3">
        <v>0</v>
      </c>
      <c r="F5262" s="3">
        <v>0</v>
      </c>
      <c r="G5262" s="3">
        <v>-170.4011797</v>
      </c>
      <c r="H5262" s="3">
        <v>164267.19888809699</v>
      </c>
      <c r="I5262" s="3">
        <v>0</v>
      </c>
      <c r="J5262" s="3">
        <v>0</v>
      </c>
      <c r="K5262" s="3">
        <v>20862.721942</v>
      </c>
      <c r="L5262" s="3">
        <v>0</v>
      </c>
      <c r="M5262" s="3">
        <v>0</v>
      </c>
      <c r="N5262" s="3">
        <v>0</v>
      </c>
      <c r="O5262">
        <v>-1487.0196503969489</v>
      </c>
      <c r="P5262">
        <v>16869531</v>
      </c>
    </row>
    <row r="5263" spans="1:16" x14ac:dyDescent="0.25">
      <c r="A5263" s="10">
        <v>45449</v>
      </c>
      <c r="B5263" s="3">
        <v>348331</v>
      </c>
      <c r="C5263" s="3">
        <v>-1241.5</v>
      </c>
      <c r="D5263" s="3">
        <v>0</v>
      </c>
      <c r="E5263" s="3">
        <v>0</v>
      </c>
      <c r="F5263" s="3">
        <v>0</v>
      </c>
      <c r="G5263" s="3">
        <v>-165.71499194</v>
      </c>
      <c r="H5263" s="3">
        <v>336602.10724177578</v>
      </c>
      <c r="I5263" s="3">
        <v>0</v>
      </c>
      <c r="J5263" s="3">
        <v>0</v>
      </c>
      <c r="K5263" s="3">
        <v>20682.703093780001</v>
      </c>
      <c r="L5263" s="3">
        <v>0</v>
      </c>
      <c r="M5263" s="3">
        <v>0</v>
      </c>
      <c r="N5263" s="3">
        <v>0</v>
      </c>
      <c r="O5263">
        <v>-7546.5953436158024</v>
      </c>
      <c r="P5263">
        <v>17217862</v>
      </c>
    </row>
    <row r="5264" spans="1:16" x14ac:dyDescent="0.25">
      <c r="A5264" s="10">
        <v>45450</v>
      </c>
      <c r="B5264" s="3">
        <v>534236</v>
      </c>
      <c r="C5264" s="3">
        <v>17980</v>
      </c>
      <c r="D5264" s="3">
        <v>0</v>
      </c>
      <c r="E5264" s="3">
        <v>0</v>
      </c>
      <c r="F5264" s="3">
        <v>0</v>
      </c>
      <c r="G5264" s="3">
        <v>-178.5876835193485</v>
      </c>
      <c r="H5264" s="3">
        <v>515421.91945948818</v>
      </c>
      <c r="I5264" s="3">
        <v>0</v>
      </c>
      <c r="J5264" s="3">
        <v>0</v>
      </c>
      <c r="K5264" s="3">
        <v>20313.824072269999</v>
      </c>
      <c r="L5264" s="3">
        <v>0</v>
      </c>
      <c r="M5264" s="3">
        <v>0</v>
      </c>
      <c r="N5264" s="3">
        <v>0</v>
      </c>
      <c r="O5264">
        <v>-19301.15584823885</v>
      </c>
      <c r="P5264">
        <v>17752098</v>
      </c>
    </row>
    <row r="5265" spans="1:16" x14ac:dyDescent="0.25">
      <c r="A5265" s="10">
        <v>45453</v>
      </c>
      <c r="B5265" s="3">
        <v>-817075</v>
      </c>
      <c r="C5265" s="3">
        <v>-24430.65</v>
      </c>
      <c r="D5265" s="3">
        <v>0</v>
      </c>
      <c r="E5265" s="3">
        <v>0</v>
      </c>
      <c r="F5265" s="3">
        <v>0</v>
      </c>
      <c r="G5265" s="3">
        <v>195329.48671897131</v>
      </c>
      <c r="H5265" s="3">
        <v>-1113741.7778129911</v>
      </c>
      <c r="I5265" s="3">
        <v>0</v>
      </c>
      <c r="J5265" s="3">
        <v>0</v>
      </c>
      <c r="K5265" s="3">
        <v>59246.934399199999</v>
      </c>
      <c r="L5265" s="3">
        <v>0</v>
      </c>
      <c r="M5265" s="3">
        <v>0</v>
      </c>
      <c r="N5265" s="3">
        <v>0</v>
      </c>
      <c r="O5265">
        <v>66521.006694820011</v>
      </c>
      <c r="P5265">
        <v>16935023</v>
      </c>
    </row>
    <row r="5266" spans="1:16" x14ac:dyDescent="0.25">
      <c r="A5266" s="10">
        <v>45454</v>
      </c>
      <c r="B5266" s="3">
        <v>-248937</v>
      </c>
      <c r="C5266" s="3">
        <v>-8123</v>
      </c>
      <c r="D5266" s="3">
        <v>0</v>
      </c>
      <c r="E5266" s="3">
        <v>0</v>
      </c>
      <c r="F5266" s="3">
        <v>0</v>
      </c>
      <c r="G5266" s="3">
        <v>-1161.1008902799999</v>
      </c>
      <c r="H5266" s="3">
        <v>-256873.0786850937</v>
      </c>
      <c r="I5266" s="3">
        <v>0</v>
      </c>
      <c r="J5266" s="3">
        <v>0</v>
      </c>
      <c r="K5266" s="3">
        <v>20969.517067739998</v>
      </c>
      <c r="L5266" s="3">
        <v>0</v>
      </c>
      <c r="M5266" s="3">
        <v>0</v>
      </c>
      <c r="N5266" s="3">
        <v>0</v>
      </c>
      <c r="O5266">
        <v>-3749.33749236635</v>
      </c>
      <c r="P5266">
        <v>16686086</v>
      </c>
    </row>
    <row r="5267" spans="1:16" x14ac:dyDescent="0.25">
      <c r="A5267" s="10">
        <v>45455</v>
      </c>
      <c r="B5267" s="3">
        <v>786804</v>
      </c>
      <c r="C5267" s="3">
        <v>-27987.075000000001</v>
      </c>
      <c r="D5267" s="3">
        <v>0</v>
      </c>
      <c r="E5267" s="3">
        <v>0</v>
      </c>
      <c r="F5267" s="3">
        <v>0</v>
      </c>
      <c r="G5267" s="3">
        <v>1499.6737324600001</v>
      </c>
      <c r="H5267" s="3">
        <v>794531.42049423233</v>
      </c>
      <c r="I5267" s="3">
        <v>0</v>
      </c>
      <c r="J5267" s="3">
        <v>0</v>
      </c>
      <c r="K5267" s="3">
        <v>21251.021811350001</v>
      </c>
      <c r="L5267" s="3">
        <v>0</v>
      </c>
      <c r="M5267" s="3">
        <v>0</v>
      </c>
      <c r="N5267" s="3">
        <v>0</v>
      </c>
      <c r="O5267">
        <v>-2491.0410380424</v>
      </c>
      <c r="P5267">
        <v>17472890</v>
      </c>
    </row>
    <row r="5268" spans="1:16" x14ac:dyDescent="0.25">
      <c r="A5268" s="10">
        <v>45456</v>
      </c>
      <c r="B5268" s="3">
        <v>-281343</v>
      </c>
      <c r="C5268" s="3">
        <v>21611.46</v>
      </c>
      <c r="D5268" s="3">
        <v>0</v>
      </c>
      <c r="E5268" s="3">
        <v>0</v>
      </c>
      <c r="F5268" s="3">
        <v>0</v>
      </c>
      <c r="G5268" s="3">
        <v>18058.695698229611</v>
      </c>
      <c r="H5268" s="3">
        <v>-343693.74106992409</v>
      </c>
      <c r="I5268" s="3">
        <v>0</v>
      </c>
      <c r="J5268" s="3">
        <v>0</v>
      </c>
      <c r="K5268" s="3">
        <v>20380.302446559999</v>
      </c>
      <c r="L5268" s="3">
        <v>0</v>
      </c>
      <c r="M5268" s="3">
        <v>0</v>
      </c>
      <c r="N5268" s="3">
        <v>0</v>
      </c>
      <c r="O5268">
        <v>2300.282925134466</v>
      </c>
      <c r="P5268">
        <v>17191547</v>
      </c>
    </row>
    <row r="5269" spans="1:16" x14ac:dyDescent="0.25">
      <c r="A5269" s="10">
        <v>45457</v>
      </c>
      <c r="B5269" s="3">
        <v>1873607</v>
      </c>
      <c r="C5269" s="3">
        <v>123275.075</v>
      </c>
      <c r="D5269" s="3">
        <v>0</v>
      </c>
      <c r="E5269" s="3">
        <v>0</v>
      </c>
      <c r="F5269" s="3">
        <v>0</v>
      </c>
      <c r="G5269" s="3">
        <v>-232897.08548814061</v>
      </c>
      <c r="H5269" s="3">
        <v>1966588.8996391301</v>
      </c>
      <c r="I5269" s="3">
        <v>0</v>
      </c>
      <c r="J5269" s="3">
        <v>0</v>
      </c>
      <c r="K5269" s="3">
        <v>20756.953121679999</v>
      </c>
      <c r="L5269" s="3">
        <v>0</v>
      </c>
      <c r="M5269" s="3">
        <v>0</v>
      </c>
      <c r="N5269" s="3">
        <v>0</v>
      </c>
      <c r="O5269">
        <v>-4116.8422726690769</v>
      </c>
      <c r="P5269">
        <v>19065154</v>
      </c>
    </row>
    <row r="5270" spans="1:16" x14ac:dyDescent="0.25">
      <c r="A5270" s="10">
        <v>45461</v>
      </c>
      <c r="B5270" s="3">
        <v>-776031</v>
      </c>
      <c r="C5270" s="3">
        <v>-110194.325</v>
      </c>
      <c r="D5270" s="3">
        <v>0</v>
      </c>
      <c r="E5270" s="3">
        <v>0</v>
      </c>
      <c r="F5270" s="3">
        <v>0</v>
      </c>
      <c r="G5270" s="3">
        <v>8835.9659215901047</v>
      </c>
      <c r="H5270" s="3">
        <v>-746395.56148424</v>
      </c>
      <c r="I5270" s="3">
        <v>0</v>
      </c>
      <c r="J5270" s="3">
        <v>0</v>
      </c>
      <c r="K5270" s="3">
        <v>74407.148816920002</v>
      </c>
      <c r="L5270" s="3">
        <v>0</v>
      </c>
      <c r="M5270" s="3">
        <v>0</v>
      </c>
      <c r="N5270" s="3">
        <v>0</v>
      </c>
      <c r="O5270">
        <v>-2684.2282542701578</v>
      </c>
      <c r="P5270">
        <v>18289123</v>
      </c>
    </row>
    <row r="5271" spans="1:16" x14ac:dyDescent="0.25">
      <c r="A5271" s="10">
        <v>45462</v>
      </c>
      <c r="B5271" s="3">
        <v>486212</v>
      </c>
      <c r="C5271" s="3">
        <v>73862.850000000006</v>
      </c>
      <c r="D5271" s="3">
        <v>0</v>
      </c>
      <c r="E5271" s="3">
        <v>0</v>
      </c>
      <c r="F5271" s="3">
        <v>0</v>
      </c>
      <c r="G5271" s="3">
        <v>7950.1698068194091</v>
      </c>
      <c r="H5271" s="3">
        <v>381490.42776279518</v>
      </c>
      <c r="I5271" s="3">
        <v>0</v>
      </c>
      <c r="J5271" s="3">
        <v>0</v>
      </c>
      <c r="K5271" s="3">
        <v>19419.75494286</v>
      </c>
      <c r="L5271" s="3">
        <v>0</v>
      </c>
      <c r="M5271" s="3">
        <v>0</v>
      </c>
      <c r="N5271" s="3">
        <v>0</v>
      </c>
      <c r="O5271">
        <v>3488.7974875253858</v>
      </c>
      <c r="P5271">
        <v>18775335</v>
      </c>
    </row>
    <row r="5272" spans="1:16" x14ac:dyDescent="0.25">
      <c r="A5272" s="10">
        <v>45467</v>
      </c>
      <c r="B5272" s="3">
        <v>-834584</v>
      </c>
      <c r="C5272" s="3">
        <v>-141781.66500000001</v>
      </c>
      <c r="D5272" s="3">
        <v>0</v>
      </c>
      <c r="E5272" s="3">
        <v>0</v>
      </c>
      <c r="F5272" s="3">
        <v>0</v>
      </c>
      <c r="G5272" s="3">
        <v>445.12977221980691</v>
      </c>
      <c r="H5272" s="3">
        <v>-787874.26855516434</v>
      </c>
      <c r="I5272" s="3">
        <v>0</v>
      </c>
      <c r="J5272" s="3">
        <v>0</v>
      </c>
      <c r="K5272" s="3">
        <v>95008.416205899994</v>
      </c>
      <c r="L5272" s="3">
        <v>0</v>
      </c>
      <c r="M5272" s="3">
        <v>0</v>
      </c>
      <c r="N5272" s="3">
        <v>0</v>
      </c>
      <c r="O5272">
        <v>-381.61242295545532</v>
      </c>
      <c r="P5272">
        <v>17940751</v>
      </c>
    </row>
    <row r="5273" spans="1:16" x14ac:dyDescent="0.25">
      <c r="A5273" s="10">
        <v>45468</v>
      </c>
      <c r="B5273" s="3">
        <v>249892</v>
      </c>
      <c r="C5273" s="3">
        <v>42599.514999999999</v>
      </c>
      <c r="D5273" s="3">
        <v>0</v>
      </c>
      <c r="E5273" s="3">
        <v>0</v>
      </c>
      <c r="F5273" s="3">
        <v>0</v>
      </c>
      <c r="G5273" s="3">
        <v>68.587228400000015</v>
      </c>
      <c r="H5273" s="3">
        <v>172272.01138732579</v>
      </c>
      <c r="I5273" s="3">
        <v>0</v>
      </c>
      <c r="J5273" s="3">
        <v>0</v>
      </c>
      <c r="K5273" s="3">
        <v>19865.107097240001</v>
      </c>
      <c r="L5273" s="3">
        <v>0</v>
      </c>
      <c r="M5273" s="3">
        <v>0</v>
      </c>
      <c r="N5273" s="3">
        <v>0</v>
      </c>
      <c r="O5273">
        <v>15086.77928703418</v>
      </c>
      <c r="P5273">
        <v>18190643</v>
      </c>
    </row>
    <row r="5274" spans="1:16" x14ac:dyDescent="0.25">
      <c r="A5274" s="10">
        <v>45469</v>
      </c>
      <c r="B5274" s="3">
        <v>395060</v>
      </c>
      <c r="C5274" s="3">
        <v>39130</v>
      </c>
      <c r="D5274" s="3">
        <v>0</v>
      </c>
      <c r="E5274" s="3">
        <v>0</v>
      </c>
      <c r="F5274" s="3">
        <v>0</v>
      </c>
      <c r="G5274" s="3">
        <v>-176.86320678000001</v>
      </c>
      <c r="H5274" s="3">
        <v>332098.03990789881</v>
      </c>
      <c r="I5274" s="3">
        <v>0</v>
      </c>
      <c r="J5274" s="3">
        <v>0</v>
      </c>
      <c r="K5274" s="3">
        <v>19676.315851830001</v>
      </c>
      <c r="L5274" s="3">
        <v>0</v>
      </c>
      <c r="M5274" s="3">
        <v>0</v>
      </c>
      <c r="N5274" s="3">
        <v>0</v>
      </c>
      <c r="O5274">
        <v>4332.5074470512336</v>
      </c>
      <c r="P5274">
        <v>18585703</v>
      </c>
    </row>
    <row r="5275" spans="1:16" x14ac:dyDescent="0.25">
      <c r="A5275" s="10">
        <v>45470</v>
      </c>
      <c r="B5275" s="3">
        <v>19272</v>
      </c>
      <c r="C5275" s="3">
        <v>-69188.820000000007</v>
      </c>
      <c r="D5275" s="3">
        <v>0</v>
      </c>
      <c r="E5275" s="3">
        <v>0</v>
      </c>
      <c r="F5275" s="3">
        <v>0</v>
      </c>
      <c r="G5275" s="3">
        <v>-263.32201205000001</v>
      </c>
      <c r="H5275" s="3">
        <v>97843.480798970908</v>
      </c>
      <c r="I5275" s="3">
        <v>0</v>
      </c>
      <c r="J5275" s="3">
        <v>0</v>
      </c>
      <c r="K5275" s="3">
        <v>19312.37279429</v>
      </c>
      <c r="L5275" s="3">
        <v>0</v>
      </c>
      <c r="M5275" s="3">
        <v>0</v>
      </c>
      <c r="N5275" s="3">
        <v>0</v>
      </c>
      <c r="O5275">
        <v>-28431.7115812109</v>
      </c>
      <c r="P5275">
        <v>18604975</v>
      </c>
    </row>
    <row r="5276" spans="1:16" x14ac:dyDescent="0.25">
      <c r="A5276" s="10">
        <v>45471</v>
      </c>
      <c r="B5276" s="3">
        <v>1577515</v>
      </c>
      <c r="C5276" s="3">
        <v>-77120.75</v>
      </c>
      <c r="D5276" s="3">
        <v>0</v>
      </c>
      <c r="E5276" s="3">
        <v>0</v>
      </c>
      <c r="F5276" s="3">
        <v>0</v>
      </c>
      <c r="G5276" s="3">
        <v>-1751.804618719965</v>
      </c>
      <c r="H5276" s="3">
        <v>1643947.942690549</v>
      </c>
      <c r="I5276" s="3">
        <v>0</v>
      </c>
      <c r="J5276" s="3">
        <v>0</v>
      </c>
      <c r="K5276" s="3">
        <v>19205.147061939999</v>
      </c>
      <c r="L5276" s="3">
        <v>0</v>
      </c>
      <c r="M5276" s="3">
        <v>0</v>
      </c>
      <c r="N5276" s="3">
        <v>0</v>
      </c>
      <c r="O5276">
        <v>-6765.5351337695029</v>
      </c>
      <c r="P5276">
        <v>20182490</v>
      </c>
    </row>
    <row r="5277" spans="1:16" x14ac:dyDescent="0.25">
      <c r="A5277" s="10">
        <v>45474</v>
      </c>
      <c r="B5277" s="3">
        <v>4108907</v>
      </c>
      <c r="C5277" s="3">
        <v>-34758</v>
      </c>
      <c r="D5277" s="3">
        <v>0</v>
      </c>
      <c r="E5277" s="3">
        <v>0</v>
      </c>
      <c r="F5277" s="3">
        <v>0</v>
      </c>
      <c r="G5277" s="3">
        <v>-2760257.503386782</v>
      </c>
      <c r="H5277" s="3">
        <v>4889720.2953854203</v>
      </c>
      <c r="I5277" s="3">
        <v>0</v>
      </c>
      <c r="J5277" s="3">
        <v>0</v>
      </c>
      <c r="K5277" s="3">
        <v>52210.680826329997</v>
      </c>
      <c r="L5277" s="3">
        <v>0</v>
      </c>
      <c r="M5277" s="3">
        <v>0</v>
      </c>
      <c r="N5277" s="3">
        <v>0</v>
      </c>
      <c r="O5277">
        <v>1961991.5271750321</v>
      </c>
      <c r="P5277">
        <v>24291397</v>
      </c>
    </row>
    <row r="5278" spans="1:16" x14ac:dyDescent="0.25">
      <c r="A5278" s="10">
        <v>45475</v>
      </c>
      <c r="B5278" s="3">
        <v>-2386841</v>
      </c>
      <c r="C5278" s="3">
        <v>45278.5</v>
      </c>
      <c r="D5278" s="3">
        <v>0</v>
      </c>
      <c r="E5278" s="3">
        <v>0</v>
      </c>
      <c r="F5278" s="3">
        <v>0</v>
      </c>
      <c r="G5278" s="3">
        <v>-494.8907604599998</v>
      </c>
      <c r="H5278" s="3">
        <v>-2444494.73475115</v>
      </c>
      <c r="I5278" s="3">
        <v>0</v>
      </c>
      <c r="J5278" s="3">
        <v>0</v>
      </c>
      <c r="K5278" s="3">
        <v>12044.962691479999</v>
      </c>
      <c r="L5278" s="3">
        <v>0</v>
      </c>
      <c r="M5278" s="3">
        <v>0</v>
      </c>
      <c r="N5278" s="3">
        <v>0</v>
      </c>
      <c r="O5278">
        <v>825.16282013012096</v>
      </c>
      <c r="P5278">
        <v>21904556</v>
      </c>
    </row>
    <row r="5279" spans="1:16" x14ac:dyDescent="0.25">
      <c r="A5279" s="10">
        <v>45476</v>
      </c>
      <c r="B5279" s="3">
        <v>175841</v>
      </c>
      <c r="C5279" s="3">
        <v>1831.5</v>
      </c>
      <c r="D5279" s="3">
        <v>0</v>
      </c>
      <c r="E5279" s="3">
        <v>0</v>
      </c>
      <c r="F5279" s="3">
        <v>0</v>
      </c>
      <c r="G5279" s="3">
        <v>-7.0796792700000424</v>
      </c>
      <c r="H5279" s="3">
        <v>155479.1225475017</v>
      </c>
      <c r="I5279" s="3">
        <v>0</v>
      </c>
      <c r="J5279" s="3">
        <v>0</v>
      </c>
      <c r="K5279" s="3">
        <v>14723.861030890001</v>
      </c>
      <c r="L5279" s="3">
        <v>0</v>
      </c>
      <c r="M5279" s="3">
        <v>0</v>
      </c>
      <c r="N5279" s="3">
        <v>0</v>
      </c>
      <c r="O5279">
        <v>3813.5961008783202</v>
      </c>
      <c r="P5279">
        <v>22080397</v>
      </c>
    </row>
    <row r="5280" spans="1:16" x14ac:dyDescent="0.25">
      <c r="A5280" s="10">
        <v>45477</v>
      </c>
      <c r="B5280" s="3">
        <v>-201775</v>
      </c>
      <c r="C5280" s="3">
        <v>4425.2</v>
      </c>
      <c r="D5280" s="3">
        <v>-3500000</v>
      </c>
      <c r="E5280" s="3">
        <v>0</v>
      </c>
      <c r="F5280" s="3">
        <v>0</v>
      </c>
      <c r="G5280" s="3">
        <v>3499667.6420366708</v>
      </c>
      <c r="H5280" s="3">
        <v>-217234.6435157154</v>
      </c>
      <c r="I5280" s="3">
        <v>0</v>
      </c>
      <c r="J5280" s="3">
        <v>0</v>
      </c>
      <c r="K5280" s="3">
        <v>14553.472951399999</v>
      </c>
      <c r="L5280" s="3">
        <v>0</v>
      </c>
      <c r="M5280" s="3">
        <v>0</v>
      </c>
      <c r="N5280" s="3">
        <v>0</v>
      </c>
      <c r="O5280">
        <v>-3186.6714723556361</v>
      </c>
      <c r="P5280">
        <v>21878622</v>
      </c>
    </row>
    <row r="5281" spans="1:16" x14ac:dyDescent="0.25">
      <c r="A5281" s="10">
        <v>45478</v>
      </c>
      <c r="B5281" s="3">
        <v>219038</v>
      </c>
      <c r="C5281" s="3">
        <v>19843.349999999999</v>
      </c>
      <c r="D5281" s="3">
        <v>0</v>
      </c>
      <c r="E5281" s="3">
        <v>0</v>
      </c>
      <c r="F5281" s="3">
        <v>0</v>
      </c>
      <c r="G5281" s="3">
        <v>3504.6633084509522</v>
      </c>
      <c r="H5281" s="3">
        <v>160563.2405898236</v>
      </c>
      <c r="I5281" s="3">
        <v>0</v>
      </c>
      <c r="J5281" s="3">
        <v>0</v>
      </c>
      <c r="K5281" s="3">
        <v>14791.53831423</v>
      </c>
      <c r="L5281" s="3">
        <v>0</v>
      </c>
      <c r="M5281" s="3">
        <v>0</v>
      </c>
      <c r="N5281" s="3">
        <v>0</v>
      </c>
      <c r="O5281">
        <v>20335.207787495459</v>
      </c>
      <c r="P5281">
        <v>22097660</v>
      </c>
    </row>
    <row r="5282" spans="1:16" x14ac:dyDescent="0.25">
      <c r="A5282" s="10">
        <v>45481</v>
      </c>
      <c r="B5282" s="3">
        <v>39045</v>
      </c>
      <c r="C5282" s="3">
        <v>-5515</v>
      </c>
      <c r="D5282" s="3">
        <v>0</v>
      </c>
      <c r="E5282" s="3">
        <v>0</v>
      </c>
      <c r="F5282" s="3">
        <v>0</v>
      </c>
      <c r="G5282" s="3">
        <v>-35.47791319000001</v>
      </c>
      <c r="H5282" s="3">
        <v>2721.6079262774442</v>
      </c>
      <c r="I5282" s="3">
        <v>0</v>
      </c>
      <c r="J5282" s="3">
        <v>0</v>
      </c>
      <c r="K5282" s="3">
        <v>43846.735795449997</v>
      </c>
      <c r="L5282" s="3">
        <v>0</v>
      </c>
      <c r="M5282" s="3">
        <v>0</v>
      </c>
      <c r="N5282" s="3">
        <v>0</v>
      </c>
      <c r="O5282">
        <v>-1972.8658085374409</v>
      </c>
      <c r="P5282">
        <v>22136705</v>
      </c>
    </row>
    <row r="5283" spans="1:16" x14ac:dyDescent="0.25">
      <c r="A5283" s="10">
        <v>45483</v>
      </c>
      <c r="B5283" s="3">
        <v>-618305</v>
      </c>
      <c r="C5283" s="3">
        <v>37566.65</v>
      </c>
      <c r="D5283" s="3">
        <v>0</v>
      </c>
      <c r="E5283" s="3">
        <v>0</v>
      </c>
      <c r="F5283" s="3">
        <v>0</v>
      </c>
      <c r="G5283" s="3">
        <v>-385.90669551000002</v>
      </c>
      <c r="H5283" s="3">
        <v>-682527.62946790084</v>
      </c>
      <c r="I5283" s="3">
        <v>0</v>
      </c>
      <c r="J5283" s="3">
        <v>0</v>
      </c>
      <c r="K5283" s="3">
        <v>29225.192028829999</v>
      </c>
      <c r="L5283" s="3">
        <v>0</v>
      </c>
      <c r="M5283" s="3">
        <v>0</v>
      </c>
      <c r="N5283" s="3">
        <v>0</v>
      </c>
      <c r="O5283">
        <v>-2183.3058654190968</v>
      </c>
      <c r="P5283">
        <v>21518400</v>
      </c>
    </row>
    <row r="5284" spans="1:16" x14ac:dyDescent="0.25">
      <c r="A5284" s="10">
        <v>45484</v>
      </c>
      <c r="B5284" s="3">
        <v>-232383</v>
      </c>
      <c r="C5284" s="3">
        <v>18424</v>
      </c>
      <c r="D5284" s="3">
        <v>0</v>
      </c>
      <c r="E5284" s="3">
        <v>0</v>
      </c>
      <c r="F5284" s="3">
        <v>0</v>
      </c>
      <c r="G5284" s="3">
        <v>-280.42345899999998</v>
      </c>
      <c r="H5284" s="3">
        <v>-265838.87253001519</v>
      </c>
      <c r="I5284" s="3">
        <v>0</v>
      </c>
      <c r="J5284" s="3">
        <v>0</v>
      </c>
      <c r="K5284" s="3">
        <v>15360.571498859999</v>
      </c>
      <c r="L5284" s="3">
        <v>0</v>
      </c>
      <c r="M5284" s="3">
        <v>0</v>
      </c>
      <c r="N5284" s="3">
        <v>0</v>
      </c>
      <c r="O5284">
        <v>-48.275509844796026</v>
      </c>
      <c r="P5284">
        <v>21286017</v>
      </c>
    </row>
    <row r="5285" spans="1:16" x14ac:dyDescent="0.25">
      <c r="A5285" s="10">
        <v>45485</v>
      </c>
      <c r="B5285" s="3">
        <v>428535</v>
      </c>
      <c r="C5285" s="3">
        <v>46125.5</v>
      </c>
      <c r="D5285" s="3">
        <v>0</v>
      </c>
      <c r="E5285" s="3">
        <v>0</v>
      </c>
      <c r="F5285" s="3">
        <v>0</v>
      </c>
      <c r="G5285" s="3">
        <v>-3191586.1197089418</v>
      </c>
      <c r="H5285" s="3">
        <v>3560192.695759119</v>
      </c>
      <c r="I5285" s="3">
        <v>0</v>
      </c>
      <c r="J5285" s="3">
        <v>0</v>
      </c>
      <c r="K5285" s="3">
        <v>15651.90177009</v>
      </c>
      <c r="L5285" s="3">
        <v>0</v>
      </c>
      <c r="M5285" s="3">
        <v>0</v>
      </c>
      <c r="N5285" s="3">
        <v>0</v>
      </c>
      <c r="O5285">
        <v>-1848.9778202672021</v>
      </c>
      <c r="P5285">
        <v>21714552</v>
      </c>
    </row>
    <row r="5286" spans="1:16" x14ac:dyDescent="0.25">
      <c r="A5286" s="10">
        <v>45488</v>
      </c>
      <c r="B5286" s="3">
        <v>-520022</v>
      </c>
      <c r="C5286" s="3">
        <v>39163.75</v>
      </c>
      <c r="D5286" s="3">
        <v>0</v>
      </c>
      <c r="E5286" s="3">
        <v>0</v>
      </c>
      <c r="F5286" s="3">
        <v>0</v>
      </c>
      <c r="G5286" s="3">
        <v>4929.1158700899978</v>
      </c>
      <c r="H5286" s="3">
        <v>-594339.80056868866</v>
      </c>
      <c r="I5286" s="3">
        <v>0</v>
      </c>
      <c r="J5286" s="3">
        <v>0</v>
      </c>
      <c r="K5286" s="3">
        <v>35250.962200850001</v>
      </c>
      <c r="L5286" s="3">
        <v>0</v>
      </c>
      <c r="M5286" s="3">
        <v>0</v>
      </c>
      <c r="N5286" s="3">
        <v>0</v>
      </c>
      <c r="O5286">
        <v>-5026.0275022513233</v>
      </c>
      <c r="P5286">
        <v>21194530</v>
      </c>
    </row>
    <row r="5287" spans="1:16" x14ac:dyDescent="0.25">
      <c r="A5287" s="10">
        <v>45489</v>
      </c>
      <c r="B5287" s="3">
        <v>-399051</v>
      </c>
      <c r="C5287" s="3">
        <v>33210</v>
      </c>
      <c r="D5287" s="3">
        <v>0</v>
      </c>
      <c r="E5287" s="3">
        <v>0</v>
      </c>
      <c r="F5287" s="3">
        <v>0</v>
      </c>
      <c r="G5287" s="3">
        <v>-487.34315305000001</v>
      </c>
      <c r="H5287" s="3">
        <v>-434965.29561199428</v>
      </c>
      <c r="I5287" s="3">
        <v>0</v>
      </c>
      <c r="J5287" s="3">
        <v>0</v>
      </c>
      <c r="K5287" s="3">
        <v>12401.652021940001</v>
      </c>
      <c r="L5287" s="3">
        <v>0</v>
      </c>
      <c r="M5287" s="3">
        <v>0</v>
      </c>
      <c r="N5287" s="3">
        <v>0</v>
      </c>
      <c r="O5287">
        <v>-9210.0132568956469</v>
      </c>
      <c r="P5287">
        <v>20795479</v>
      </c>
    </row>
    <row r="5288" spans="1:16" x14ac:dyDescent="0.25">
      <c r="A5288" s="10">
        <v>45490</v>
      </c>
      <c r="B5288" s="3">
        <v>207218</v>
      </c>
      <c r="C5288" s="3">
        <v>-2315</v>
      </c>
      <c r="D5288" s="3">
        <v>0</v>
      </c>
      <c r="E5288" s="3">
        <v>0</v>
      </c>
      <c r="F5288" s="3">
        <v>0</v>
      </c>
      <c r="G5288" s="3">
        <v>320.44367095999951</v>
      </c>
      <c r="H5288" s="3">
        <v>223762.27247345261</v>
      </c>
      <c r="I5288" s="3">
        <v>0</v>
      </c>
      <c r="J5288" s="3">
        <v>0</v>
      </c>
      <c r="K5288" s="3">
        <v>12878.326318449999</v>
      </c>
      <c r="L5288" s="3">
        <v>0</v>
      </c>
      <c r="M5288" s="3">
        <v>0</v>
      </c>
      <c r="N5288" s="3">
        <v>0</v>
      </c>
      <c r="O5288">
        <v>-27428.042462862621</v>
      </c>
      <c r="P5288">
        <v>21002697</v>
      </c>
    </row>
    <row r="5289" spans="1:16" x14ac:dyDescent="0.25">
      <c r="A5289" s="10">
        <v>45491</v>
      </c>
      <c r="B5289" s="3">
        <v>287893</v>
      </c>
      <c r="C5289" s="3">
        <v>27841.255000000001</v>
      </c>
      <c r="D5289" s="3">
        <v>0</v>
      </c>
      <c r="E5289" s="3">
        <v>0</v>
      </c>
      <c r="F5289" s="3">
        <v>0</v>
      </c>
      <c r="G5289" s="3">
        <v>-5748.7228774099985</v>
      </c>
      <c r="H5289" s="3">
        <v>250151.11098334569</v>
      </c>
      <c r="I5289" s="3">
        <v>0</v>
      </c>
      <c r="J5289" s="3">
        <v>0</v>
      </c>
      <c r="K5289" s="3">
        <v>12633.108129550001</v>
      </c>
      <c r="L5289" s="3">
        <v>0</v>
      </c>
      <c r="M5289" s="3">
        <v>0</v>
      </c>
      <c r="N5289" s="3">
        <v>0</v>
      </c>
      <c r="O5289">
        <v>3016.248764514341</v>
      </c>
      <c r="P5289">
        <v>21290590</v>
      </c>
    </row>
    <row r="5290" spans="1:16" x14ac:dyDescent="0.25">
      <c r="A5290" s="10">
        <v>45492</v>
      </c>
      <c r="B5290" s="3">
        <v>254245</v>
      </c>
      <c r="C5290" s="3">
        <v>-57401.125749300001</v>
      </c>
      <c r="D5290" s="3">
        <v>0</v>
      </c>
      <c r="E5290" s="3">
        <v>0</v>
      </c>
      <c r="F5290" s="3">
        <v>0</v>
      </c>
      <c r="G5290" s="3">
        <v>8248.9506888203323</v>
      </c>
      <c r="H5290" s="3">
        <v>424856.56902957289</v>
      </c>
      <c r="I5290" s="3">
        <v>0</v>
      </c>
      <c r="J5290" s="3">
        <v>0</v>
      </c>
      <c r="K5290" s="3">
        <v>12358.96918586</v>
      </c>
      <c r="L5290" s="3">
        <v>0</v>
      </c>
      <c r="M5290" s="3">
        <v>0</v>
      </c>
      <c r="N5290" s="3">
        <v>0</v>
      </c>
      <c r="O5290">
        <v>-133818.36315495329</v>
      </c>
      <c r="P5290">
        <v>21544835</v>
      </c>
    </row>
    <row r="5291" spans="1:16" x14ac:dyDescent="0.25">
      <c r="A5291" s="10">
        <v>45495</v>
      </c>
      <c r="B5291" s="3">
        <v>-118774</v>
      </c>
      <c r="C5291" s="3">
        <v>-98264.5</v>
      </c>
      <c r="D5291" s="3">
        <v>0</v>
      </c>
      <c r="E5291" s="3">
        <v>0</v>
      </c>
      <c r="F5291" s="3">
        <v>0</v>
      </c>
      <c r="G5291" s="3">
        <v>-237.66678422999979</v>
      </c>
      <c r="H5291" s="3">
        <v>10852784.513289999</v>
      </c>
      <c r="I5291" s="3">
        <v>0</v>
      </c>
      <c r="J5291" s="3">
        <v>0</v>
      </c>
      <c r="K5291" s="3">
        <v>35680.121879300001</v>
      </c>
      <c r="L5291" s="3">
        <v>0</v>
      </c>
      <c r="M5291" s="3">
        <v>0</v>
      </c>
      <c r="N5291" s="3">
        <v>-10852365.406268099</v>
      </c>
      <c r="O5291">
        <v>-56371.062116971239</v>
      </c>
      <c r="P5291">
        <v>21426061</v>
      </c>
    </row>
    <row r="5292" spans="1:16" x14ac:dyDescent="0.25">
      <c r="A5292" s="10">
        <v>45496</v>
      </c>
      <c r="B5292" s="3">
        <v>-538697</v>
      </c>
      <c r="C5292" s="3">
        <v>50511.775000000001</v>
      </c>
      <c r="D5292" s="3">
        <v>0</v>
      </c>
      <c r="E5292" s="3">
        <v>0</v>
      </c>
      <c r="F5292" s="3">
        <v>0</v>
      </c>
      <c r="G5292" s="3">
        <v>-573.44325316000004</v>
      </c>
      <c r="H5292" s="3">
        <v>-80.774999999999991</v>
      </c>
      <c r="I5292" s="3">
        <v>0</v>
      </c>
      <c r="J5292" s="3">
        <v>0</v>
      </c>
      <c r="K5292" s="3">
        <v>-0.10622466</v>
      </c>
      <c r="L5292" s="3">
        <v>0</v>
      </c>
      <c r="M5292" s="3">
        <v>0</v>
      </c>
      <c r="N5292" s="3">
        <v>-590285.99871128006</v>
      </c>
      <c r="O5292">
        <v>1731.5481891001109</v>
      </c>
      <c r="P5292">
        <v>20887364</v>
      </c>
    </row>
    <row r="5293" spans="1:16" x14ac:dyDescent="0.25">
      <c r="A5293" s="10">
        <v>45497</v>
      </c>
      <c r="B5293" s="3">
        <v>-361185</v>
      </c>
      <c r="C5293" s="3">
        <v>43528.99</v>
      </c>
      <c r="D5293" s="3">
        <v>0</v>
      </c>
      <c r="E5293" s="3">
        <v>0</v>
      </c>
      <c r="F5293" s="3">
        <v>0</v>
      </c>
      <c r="G5293" s="3">
        <v>304.63185693000003</v>
      </c>
      <c r="H5293" s="3">
        <v>0</v>
      </c>
      <c r="I5293" s="3">
        <v>0</v>
      </c>
      <c r="J5293" s="3">
        <v>0</v>
      </c>
      <c r="K5293" s="3">
        <v>0</v>
      </c>
      <c r="L5293" s="3">
        <v>0</v>
      </c>
      <c r="M5293" s="3">
        <v>0</v>
      </c>
      <c r="N5293" s="3">
        <v>-325050.67134008999</v>
      </c>
      <c r="O5293">
        <v>-79967.950516839977</v>
      </c>
      <c r="P5293">
        <v>20526179</v>
      </c>
    </row>
    <row r="5294" spans="1:16" x14ac:dyDescent="0.25">
      <c r="A5294" s="10">
        <v>45498</v>
      </c>
      <c r="B5294" s="3">
        <v>-114949</v>
      </c>
      <c r="C5294" s="3">
        <v>-803.02500000000009</v>
      </c>
      <c r="D5294" s="3">
        <v>0</v>
      </c>
      <c r="E5294" s="3">
        <v>0</v>
      </c>
      <c r="F5294" s="3">
        <v>0</v>
      </c>
      <c r="G5294" s="3">
        <v>178.87570976000279</v>
      </c>
      <c r="H5294" s="3">
        <v>95.427000000000007</v>
      </c>
      <c r="I5294" s="3">
        <v>0</v>
      </c>
      <c r="J5294" s="3">
        <v>0</v>
      </c>
      <c r="K5294" s="3">
        <v>0</v>
      </c>
      <c r="L5294" s="3">
        <v>0</v>
      </c>
      <c r="M5294" s="3">
        <v>0</v>
      </c>
      <c r="N5294" s="3">
        <v>-115533.5545767</v>
      </c>
      <c r="O5294">
        <v>1113.2768669399959</v>
      </c>
      <c r="P5294">
        <v>20411230</v>
      </c>
    </row>
    <row r="5295" spans="1:16" x14ac:dyDescent="0.25">
      <c r="A5295" s="10">
        <v>45499</v>
      </c>
      <c r="B5295" s="3">
        <v>246162</v>
      </c>
      <c r="C5295" s="3">
        <v>-39976.525000000001</v>
      </c>
      <c r="D5295" s="3">
        <v>0</v>
      </c>
      <c r="E5295" s="3">
        <v>0</v>
      </c>
      <c r="F5295" s="3">
        <v>0</v>
      </c>
      <c r="G5295" s="3">
        <v>-669079.7999597583</v>
      </c>
      <c r="H5295" s="3">
        <v>-96.352199999999996</v>
      </c>
      <c r="I5295" s="3">
        <v>0</v>
      </c>
      <c r="J5295" s="3">
        <v>0</v>
      </c>
      <c r="K5295" s="3">
        <v>-0.13400994999999999</v>
      </c>
      <c r="L5295" s="3">
        <v>0</v>
      </c>
      <c r="M5295" s="3">
        <v>0</v>
      </c>
      <c r="N5295" s="3">
        <v>947741.09312714997</v>
      </c>
      <c r="O5295">
        <v>7573.7180425582919</v>
      </c>
      <c r="P5295">
        <v>20657392</v>
      </c>
    </row>
    <row r="5296" spans="1:16" x14ac:dyDescent="0.25">
      <c r="A5296" s="10">
        <v>45502</v>
      </c>
      <c r="B5296" s="3">
        <v>260875</v>
      </c>
      <c r="C5296" s="3">
        <v>-85267.5</v>
      </c>
      <c r="D5296" s="3">
        <v>0</v>
      </c>
      <c r="E5296" s="3">
        <v>0</v>
      </c>
      <c r="F5296" s="3">
        <v>0</v>
      </c>
      <c r="G5296" s="3">
        <v>1403.76533505</v>
      </c>
      <c r="H5296" s="3">
        <v>0</v>
      </c>
      <c r="I5296" s="3">
        <v>0</v>
      </c>
      <c r="J5296" s="3">
        <v>0</v>
      </c>
      <c r="K5296" s="3">
        <v>0</v>
      </c>
      <c r="L5296" s="3">
        <v>0</v>
      </c>
      <c r="M5296" s="3">
        <v>0</v>
      </c>
      <c r="N5296" s="3">
        <v>347545.06951648998</v>
      </c>
      <c r="O5296">
        <v>-2806.3348515399848</v>
      </c>
      <c r="P5296">
        <v>20918267</v>
      </c>
    </row>
    <row r="5297" spans="1:16" x14ac:dyDescent="0.25">
      <c r="A5297" s="10">
        <v>45503</v>
      </c>
      <c r="B5297" s="3">
        <v>174495</v>
      </c>
      <c r="C5297" s="3">
        <v>-115124</v>
      </c>
      <c r="D5297" s="3">
        <v>0</v>
      </c>
      <c r="E5297" s="3">
        <v>0</v>
      </c>
      <c r="F5297" s="3">
        <v>0</v>
      </c>
      <c r="G5297" s="3">
        <v>-524.19438477956646</v>
      </c>
      <c r="H5297" s="3">
        <v>0</v>
      </c>
      <c r="I5297" s="3">
        <v>0</v>
      </c>
      <c r="J5297" s="3">
        <v>0</v>
      </c>
      <c r="K5297" s="3">
        <v>0</v>
      </c>
      <c r="L5297" s="3">
        <v>0</v>
      </c>
      <c r="M5297" s="3">
        <v>0</v>
      </c>
      <c r="N5297" s="3">
        <v>298756.46360202</v>
      </c>
      <c r="O5297">
        <v>-8613.2692172404495</v>
      </c>
      <c r="P5297">
        <v>21092762</v>
      </c>
    </row>
    <row r="5298" spans="1:16" x14ac:dyDescent="0.25">
      <c r="A5298" s="10">
        <v>45504</v>
      </c>
      <c r="B5298" s="3">
        <v>730215</v>
      </c>
      <c r="C5298" s="3">
        <v>-59220.75</v>
      </c>
      <c r="D5298" s="3">
        <v>0</v>
      </c>
      <c r="E5298" s="3">
        <v>0</v>
      </c>
      <c r="F5298" s="3">
        <v>0</v>
      </c>
      <c r="G5298" s="3">
        <v>166.8356256689876</v>
      </c>
      <c r="H5298" s="3">
        <v>0</v>
      </c>
      <c r="I5298" s="3">
        <v>0</v>
      </c>
      <c r="J5298" s="3">
        <v>0</v>
      </c>
      <c r="K5298" s="3">
        <v>0</v>
      </c>
      <c r="L5298" s="3">
        <v>0</v>
      </c>
      <c r="M5298" s="3">
        <v>0</v>
      </c>
      <c r="N5298" s="3">
        <v>793909.54431251006</v>
      </c>
      <c r="O5298">
        <v>-4640.629938179045</v>
      </c>
      <c r="P5298">
        <v>21822977</v>
      </c>
    </row>
    <row r="5299" spans="1:16" x14ac:dyDescent="0.25">
      <c r="A5299" s="10">
        <v>45505</v>
      </c>
      <c r="B5299" s="3">
        <v>952259</v>
      </c>
      <c r="C5299" s="3">
        <v>-75130.5</v>
      </c>
      <c r="D5299" s="3">
        <v>0</v>
      </c>
      <c r="E5299" s="3">
        <v>0</v>
      </c>
      <c r="F5299" s="3">
        <v>0</v>
      </c>
      <c r="G5299" s="3">
        <v>-5.1861120800000151</v>
      </c>
      <c r="H5299" s="3">
        <v>10586.27</v>
      </c>
      <c r="I5299" s="3">
        <v>0</v>
      </c>
      <c r="J5299" s="3">
        <v>0</v>
      </c>
      <c r="K5299" s="3">
        <v>0</v>
      </c>
      <c r="L5299" s="3">
        <v>0</v>
      </c>
      <c r="M5299" s="3">
        <v>0</v>
      </c>
      <c r="N5299" s="3">
        <v>1013851.4859231201</v>
      </c>
      <c r="O5299">
        <v>2956.930188960047</v>
      </c>
      <c r="P5299">
        <v>22775236</v>
      </c>
    </row>
    <row r="5300" spans="1:16" x14ac:dyDescent="0.25">
      <c r="A5300" s="10">
        <v>45506</v>
      </c>
      <c r="B5300" s="3">
        <v>517941</v>
      </c>
      <c r="C5300" s="3">
        <v>135439.95000000001</v>
      </c>
      <c r="D5300" s="3">
        <v>0</v>
      </c>
      <c r="E5300" s="3">
        <v>0</v>
      </c>
      <c r="F5300" s="3">
        <v>0</v>
      </c>
      <c r="G5300" s="3">
        <v>-417.21726495958859</v>
      </c>
      <c r="H5300" s="3">
        <v>31970.85</v>
      </c>
      <c r="I5300" s="3">
        <v>0</v>
      </c>
      <c r="J5300" s="3">
        <v>0</v>
      </c>
      <c r="K5300" s="3">
        <v>0</v>
      </c>
      <c r="L5300" s="3">
        <v>0</v>
      </c>
      <c r="M5300" s="3">
        <v>0</v>
      </c>
      <c r="N5300" s="3">
        <v>425219.17026648001</v>
      </c>
      <c r="O5300">
        <v>-74271.75300152041</v>
      </c>
      <c r="P5300">
        <v>23293177</v>
      </c>
    </row>
    <row r="5301" spans="1:16" x14ac:dyDescent="0.25">
      <c r="A5301" s="10">
        <v>45509</v>
      </c>
      <c r="B5301" s="3">
        <v>460759</v>
      </c>
      <c r="C5301" s="3">
        <v>-22919.75</v>
      </c>
      <c r="D5301" s="3">
        <v>0</v>
      </c>
      <c r="E5301" s="3">
        <v>0</v>
      </c>
      <c r="F5301" s="3">
        <v>0</v>
      </c>
      <c r="G5301" s="3">
        <v>-157.90155530000001</v>
      </c>
      <c r="H5301" s="3">
        <v>-21950.384999999998</v>
      </c>
      <c r="I5301" s="3">
        <v>0</v>
      </c>
      <c r="J5301" s="3">
        <v>0</v>
      </c>
      <c r="K5301" s="3">
        <v>-126.1315726</v>
      </c>
      <c r="L5301" s="3">
        <v>0</v>
      </c>
      <c r="M5301" s="3">
        <v>0</v>
      </c>
      <c r="N5301" s="3">
        <v>505448.00491619</v>
      </c>
      <c r="O5301">
        <v>465.16321170999441</v>
      </c>
      <c r="P5301">
        <v>23753936</v>
      </c>
    </row>
    <row r="5302" spans="1:16" x14ac:dyDescent="0.25">
      <c r="A5302" s="10">
        <v>45510</v>
      </c>
      <c r="B5302" s="3">
        <v>-496420</v>
      </c>
      <c r="C5302" s="3">
        <v>-22744.799999999999</v>
      </c>
      <c r="D5302" s="3">
        <v>0</v>
      </c>
      <c r="E5302" s="3">
        <v>0</v>
      </c>
      <c r="F5302" s="3">
        <v>0</v>
      </c>
      <c r="G5302" s="3">
        <v>-19.909784740000021</v>
      </c>
      <c r="H5302" s="3">
        <v>3083.2200000000012</v>
      </c>
      <c r="I5302" s="3">
        <v>0</v>
      </c>
      <c r="J5302" s="3">
        <v>0</v>
      </c>
      <c r="K5302" s="3">
        <v>0</v>
      </c>
      <c r="L5302" s="3">
        <v>0</v>
      </c>
      <c r="M5302" s="3">
        <v>0</v>
      </c>
      <c r="N5302" s="3">
        <v>-478662.50091162999</v>
      </c>
      <c r="O5302">
        <v>1923.99069637002</v>
      </c>
      <c r="P5302">
        <v>23257516</v>
      </c>
    </row>
    <row r="5303" spans="1:16" x14ac:dyDescent="0.25">
      <c r="A5303" s="10">
        <v>45511</v>
      </c>
      <c r="B5303" s="3">
        <v>-138378</v>
      </c>
      <c r="C5303" s="3">
        <v>15443.5</v>
      </c>
      <c r="D5303" s="3">
        <v>0</v>
      </c>
      <c r="E5303" s="3">
        <v>0</v>
      </c>
      <c r="F5303" s="3">
        <v>0</v>
      </c>
      <c r="G5303" s="3">
        <v>-289.19551951</v>
      </c>
      <c r="H5303" s="3">
        <v>0</v>
      </c>
      <c r="I5303" s="3">
        <v>0</v>
      </c>
      <c r="J5303" s="3">
        <v>0</v>
      </c>
      <c r="K5303" s="3">
        <v>0</v>
      </c>
      <c r="L5303" s="3">
        <v>0</v>
      </c>
      <c r="M5303" s="3">
        <v>0</v>
      </c>
      <c r="N5303" s="3">
        <v>-144011.74170568</v>
      </c>
      <c r="O5303">
        <v>-9520.5627748099942</v>
      </c>
      <c r="P5303">
        <v>23119138</v>
      </c>
    </row>
    <row r="5304" spans="1:16" x14ac:dyDescent="0.25">
      <c r="A5304" s="10">
        <v>45512</v>
      </c>
      <c r="B5304" s="3">
        <v>91192</v>
      </c>
      <c r="C5304" s="3">
        <v>44373.05</v>
      </c>
      <c r="D5304" s="3">
        <v>0</v>
      </c>
      <c r="E5304" s="3">
        <v>0</v>
      </c>
      <c r="F5304" s="3">
        <v>0</v>
      </c>
      <c r="G5304" s="3">
        <v>82.431898050010204</v>
      </c>
      <c r="H5304" s="3">
        <v>-10586.27</v>
      </c>
      <c r="I5304" s="3">
        <v>0</v>
      </c>
      <c r="J5304" s="3">
        <v>0</v>
      </c>
      <c r="K5304" s="3">
        <v>-97.451690959999993</v>
      </c>
      <c r="L5304" s="3">
        <v>0</v>
      </c>
      <c r="M5304" s="3">
        <v>0</v>
      </c>
      <c r="N5304" s="3">
        <v>78494.044201419994</v>
      </c>
      <c r="O5304">
        <v>-21073.804408510008</v>
      </c>
      <c r="P5304">
        <v>23210330</v>
      </c>
    </row>
    <row r="5305" spans="1:16" x14ac:dyDescent="0.25">
      <c r="A5305" s="10">
        <v>45513</v>
      </c>
      <c r="B5305" s="3">
        <v>-639024</v>
      </c>
      <c r="C5305" s="3">
        <v>40629.300000000003</v>
      </c>
      <c r="D5305" s="3">
        <v>0</v>
      </c>
      <c r="E5305" s="3">
        <v>0</v>
      </c>
      <c r="F5305" s="3">
        <v>0</v>
      </c>
      <c r="G5305" s="3">
        <v>-452.18353546999998</v>
      </c>
      <c r="H5305" s="3">
        <v>0</v>
      </c>
      <c r="I5305" s="3">
        <v>0</v>
      </c>
      <c r="J5305" s="3">
        <v>0</v>
      </c>
      <c r="K5305" s="3">
        <v>0</v>
      </c>
      <c r="L5305" s="3">
        <v>0</v>
      </c>
      <c r="M5305" s="3">
        <v>0</v>
      </c>
      <c r="N5305" s="3">
        <v>-676626.31625248003</v>
      </c>
      <c r="O5305">
        <v>-2574.8002120499732</v>
      </c>
      <c r="P5305">
        <v>22571306</v>
      </c>
    </row>
    <row r="5306" spans="1:16" x14ac:dyDescent="0.25">
      <c r="A5306" s="10">
        <v>45516</v>
      </c>
      <c r="B5306" s="3">
        <v>71138</v>
      </c>
      <c r="C5306" s="3">
        <v>2817</v>
      </c>
      <c r="D5306" s="3">
        <v>0</v>
      </c>
      <c r="E5306" s="3">
        <v>0</v>
      </c>
      <c r="F5306" s="3">
        <v>0</v>
      </c>
      <c r="G5306" s="3">
        <v>-247.71332720000001</v>
      </c>
      <c r="H5306" s="3">
        <v>-10020.465</v>
      </c>
      <c r="I5306" s="3">
        <v>0</v>
      </c>
      <c r="J5306" s="3">
        <v>0</v>
      </c>
      <c r="K5306" s="3">
        <v>-92.243184659999997</v>
      </c>
      <c r="L5306" s="3">
        <v>0</v>
      </c>
      <c r="M5306" s="3">
        <v>0</v>
      </c>
      <c r="N5306" s="3">
        <v>83260.074293369995</v>
      </c>
      <c r="O5306">
        <v>-4578.652781509998</v>
      </c>
      <c r="P5306">
        <v>22642444</v>
      </c>
    </row>
    <row r="5307" spans="1:16" x14ac:dyDescent="0.25">
      <c r="A5307" s="10">
        <v>45517</v>
      </c>
      <c r="B5307" s="3">
        <v>557794</v>
      </c>
      <c r="C5307" s="3">
        <v>32893.050000000003</v>
      </c>
      <c r="D5307" s="3">
        <v>0</v>
      </c>
      <c r="E5307" s="3">
        <v>0</v>
      </c>
      <c r="F5307" s="3">
        <v>0</v>
      </c>
      <c r="G5307" s="3">
        <v>-3071.98716844</v>
      </c>
      <c r="H5307" s="3">
        <v>-3083.22</v>
      </c>
      <c r="I5307" s="3">
        <v>0</v>
      </c>
      <c r="J5307" s="3">
        <v>0</v>
      </c>
      <c r="K5307" s="3">
        <v>-28.382518359999999</v>
      </c>
      <c r="L5307" s="3">
        <v>0</v>
      </c>
      <c r="M5307" s="3">
        <v>0</v>
      </c>
      <c r="N5307" s="3">
        <v>521976.48213332001</v>
      </c>
      <c r="O5307">
        <v>9108.05755348003</v>
      </c>
      <c r="P5307">
        <v>23200238</v>
      </c>
    </row>
    <row r="5308" spans="1:16" x14ac:dyDescent="0.25">
      <c r="A5308" s="10">
        <v>45518</v>
      </c>
      <c r="B5308" s="3">
        <v>-75413</v>
      </c>
      <c r="C5308" s="3">
        <v>2350</v>
      </c>
      <c r="D5308" s="3">
        <v>0</v>
      </c>
      <c r="E5308" s="3">
        <v>0</v>
      </c>
      <c r="F5308" s="3">
        <v>0</v>
      </c>
      <c r="G5308" s="3">
        <v>170387.9977105498</v>
      </c>
      <c r="H5308" s="3">
        <v>0</v>
      </c>
      <c r="I5308" s="3">
        <v>0</v>
      </c>
      <c r="J5308" s="3">
        <v>0</v>
      </c>
      <c r="K5308" s="3">
        <v>0</v>
      </c>
      <c r="L5308" s="3">
        <v>0</v>
      </c>
      <c r="M5308" s="3">
        <v>0</v>
      </c>
      <c r="N5308" s="3">
        <v>-242963.57862371</v>
      </c>
      <c r="O5308">
        <v>-5187.4190868398291</v>
      </c>
      <c r="P5308">
        <v>23124825</v>
      </c>
    </row>
    <row r="5309" spans="1:16" x14ac:dyDescent="0.25">
      <c r="A5309" s="10">
        <v>45519</v>
      </c>
      <c r="B5309" s="3">
        <v>-629539</v>
      </c>
      <c r="C5309" s="3">
        <v>31059.95</v>
      </c>
      <c r="D5309" s="3">
        <v>0</v>
      </c>
      <c r="E5309" s="3">
        <v>0</v>
      </c>
      <c r="F5309" s="3">
        <v>0</v>
      </c>
      <c r="G5309" s="3">
        <v>-104.6892331801355</v>
      </c>
      <c r="H5309" s="3">
        <v>0</v>
      </c>
      <c r="I5309" s="3">
        <v>0</v>
      </c>
      <c r="J5309" s="3">
        <v>0</v>
      </c>
      <c r="K5309" s="3">
        <v>0</v>
      </c>
      <c r="L5309" s="3">
        <v>0</v>
      </c>
      <c r="M5309" s="3">
        <v>0</v>
      </c>
      <c r="N5309" s="3">
        <v>-665273.66817617009</v>
      </c>
      <c r="O5309">
        <v>4779.4074093502713</v>
      </c>
      <c r="P5309">
        <v>22495286</v>
      </c>
    </row>
    <row r="5310" spans="1:16" x14ac:dyDescent="0.25">
      <c r="A5310" s="10">
        <v>45520</v>
      </c>
      <c r="B5310" s="3">
        <v>-18986</v>
      </c>
      <c r="C5310" s="3">
        <v>27303.5</v>
      </c>
      <c r="D5310" s="3">
        <v>0</v>
      </c>
      <c r="E5310" s="3">
        <v>0</v>
      </c>
      <c r="F5310" s="3">
        <v>0</v>
      </c>
      <c r="G5310" s="3">
        <v>-495717.35993808031</v>
      </c>
      <c r="H5310" s="3">
        <v>0</v>
      </c>
      <c r="I5310" s="3">
        <v>0</v>
      </c>
      <c r="J5310" s="3">
        <v>0</v>
      </c>
      <c r="K5310" s="3">
        <v>0</v>
      </c>
      <c r="L5310" s="3">
        <v>0</v>
      </c>
      <c r="M5310" s="3">
        <v>0</v>
      </c>
      <c r="N5310" s="3">
        <v>458764.13521682</v>
      </c>
      <c r="O5310">
        <v>-9336.2752787396894</v>
      </c>
      <c r="P5310">
        <v>22476300</v>
      </c>
    </row>
    <row r="5311" spans="1:16" x14ac:dyDescent="0.25">
      <c r="A5311" s="10">
        <v>45523</v>
      </c>
      <c r="B5311" s="3">
        <v>-238974</v>
      </c>
      <c r="C5311" s="3">
        <v>698.19</v>
      </c>
      <c r="D5311" s="3">
        <v>0</v>
      </c>
      <c r="E5311" s="3">
        <v>0</v>
      </c>
      <c r="F5311" s="3">
        <v>0</v>
      </c>
      <c r="G5311" s="3">
        <v>22630.611923309039</v>
      </c>
      <c r="H5311" s="3">
        <v>0</v>
      </c>
      <c r="I5311" s="3">
        <v>0</v>
      </c>
      <c r="J5311" s="3">
        <v>0</v>
      </c>
      <c r="K5311" s="3">
        <v>0</v>
      </c>
      <c r="L5311" s="3">
        <v>0</v>
      </c>
      <c r="M5311" s="3">
        <v>0</v>
      </c>
      <c r="N5311" s="3">
        <v>-265683.37966645003</v>
      </c>
      <c r="O5311">
        <v>3380.5777431409811</v>
      </c>
      <c r="P5311">
        <v>22237326</v>
      </c>
    </row>
    <row r="5312" spans="1:16" x14ac:dyDescent="0.25">
      <c r="A5312" s="10">
        <v>45524</v>
      </c>
      <c r="B5312" s="3">
        <v>-357407</v>
      </c>
      <c r="C5312" s="3">
        <v>82804.25</v>
      </c>
      <c r="D5312" s="3">
        <v>0</v>
      </c>
      <c r="E5312" s="3">
        <v>0</v>
      </c>
      <c r="F5312" s="3">
        <v>0</v>
      </c>
      <c r="G5312" s="3">
        <v>-216.48989394893209</v>
      </c>
      <c r="H5312" s="3">
        <v>0</v>
      </c>
      <c r="I5312" s="3">
        <v>0</v>
      </c>
      <c r="J5312" s="3">
        <v>0</v>
      </c>
      <c r="K5312" s="3">
        <v>0</v>
      </c>
      <c r="L5312" s="3">
        <v>0</v>
      </c>
      <c r="M5312" s="3">
        <v>0</v>
      </c>
      <c r="N5312" s="3">
        <v>-443077.39912139002</v>
      </c>
      <c r="O5312">
        <v>3082.6390153389661</v>
      </c>
      <c r="P5312">
        <v>21879919</v>
      </c>
    </row>
    <row r="5313" spans="1:16" x14ac:dyDescent="0.25">
      <c r="A5313" s="10">
        <v>45525</v>
      </c>
      <c r="B5313" s="3">
        <v>214044</v>
      </c>
      <c r="C5313" s="3">
        <v>47334.9</v>
      </c>
      <c r="D5313" s="3">
        <v>0</v>
      </c>
      <c r="E5313" s="3">
        <v>0</v>
      </c>
      <c r="F5313" s="3">
        <v>0</v>
      </c>
      <c r="G5313" s="3">
        <v>-266.85379142922471</v>
      </c>
      <c r="H5313" s="3">
        <v>0</v>
      </c>
      <c r="I5313" s="3">
        <v>0</v>
      </c>
      <c r="J5313" s="3">
        <v>0</v>
      </c>
      <c r="K5313" s="3">
        <v>0</v>
      </c>
      <c r="L5313" s="3">
        <v>0</v>
      </c>
      <c r="M5313" s="3">
        <v>0</v>
      </c>
      <c r="N5313" s="3">
        <v>196569.61735543999</v>
      </c>
      <c r="O5313">
        <v>-29593.663564010789</v>
      </c>
      <c r="P5313">
        <v>22093963</v>
      </c>
    </row>
    <row r="5314" spans="1:16" x14ac:dyDescent="0.25">
      <c r="A5314" s="10">
        <v>45526</v>
      </c>
      <c r="B5314" s="3">
        <v>-63798</v>
      </c>
      <c r="C5314" s="3">
        <v>77017.5</v>
      </c>
      <c r="D5314" s="3">
        <v>0</v>
      </c>
      <c r="E5314" s="3">
        <v>0</v>
      </c>
      <c r="F5314" s="3">
        <v>0</v>
      </c>
      <c r="G5314" s="3">
        <v>-132.38168757036331</v>
      </c>
      <c r="H5314" s="3">
        <v>0</v>
      </c>
      <c r="I5314" s="3">
        <v>0</v>
      </c>
      <c r="J5314" s="3">
        <v>0</v>
      </c>
      <c r="K5314" s="3">
        <v>0</v>
      </c>
      <c r="L5314" s="3">
        <v>0</v>
      </c>
      <c r="M5314" s="3">
        <v>0</v>
      </c>
      <c r="N5314" s="3">
        <v>-141919.07674637999</v>
      </c>
      <c r="O5314">
        <v>1235.9584339503781</v>
      </c>
      <c r="P5314">
        <v>22030165</v>
      </c>
    </row>
    <row r="5315" spans="1:16" x14ac:dyDescent="0.25">
      <c r="A5315" s="10">
        <v>45527</v>
      </c>
      <c r="B5315" s="3">
        <v>-47323</v>
      </c>
      <c r="C5315" s="3">
        <v>10406</v>
      </c>
      <c r="D5315" s="3">
        <v>0</v>
      </c>
      <c r="E5315" s="3">
        <v>0</v>
      </c>
      <c r="F5315" s="3">
        <v>0</v>
      </c>
      <c r="G5315" s="3">
        <v>11955.984814619649</v>
      </c>
      <c r="H5315" s="3">
        <v>0</v>
      </c>
      <c r="I5315" s="3">
        <v>0</v>
      </c>
      <c r="J5315" s="3">
        <v>0</v>
      </c>
      <c r="K5315" s="3">
        <v>0</v>
      </c>
      <c r="L5315" s="3">
        <v>0</v>
      </c>
      <c r="M5315" s="3">
        <v>0</v>
      </c>
      <c r="N5315" s="3">
        <v>1347.5005362700001</v>
      </c>
      <c r="O5315">
        <v>-71032.485350889649</v>
      </c>
      <c r="P5315">
        <v>21982842</v>
      </c>
    </row>
    <row r="5316" spans="1:16" x14ac:dyDescent="0.25">
      <c r="A5316" s="10">
        <v>45530</v>
      </c>
      <c r="B5316" s="3">
        <v>26720</v>
      </c>
      <c r="C5316" s="3">
        <v>481.25</v>
      </c>
      <c r="D5316" s="3">
        <v>0</v>
      </c>
      <c r="E5316" s="3">
        <v>0</v>
      </c>
      <c r="F5316" s="3">
        <v>0</v>
      </c>
      <c r="G5316" s="3">
        <v>-553.42438059000006</v>
      </c>
      <c r="H5316" s="3">
        <v>0</v>
      </c>
      <c r="I5316" s="3">
        <v>0</v>
      </c>
      <c r="J5316" s="3">
        <v>0</v>
      </c>
      <c r="K5316" s="3">
        <v>0</v>
      </c>
      <c r="L5316" s="3">
        <v>0</v>
      </c>
      <c r="M5316" s="3">
        <v>0</v>
      </c>
      <c r="N5316" s="3">
        <v>64653.979235459999</v>
      </c>
      <c r="O5316">
        <v>-37861.804854870003</v>
      </c>
      <c r="P5316">
        <v>22009562</v>
      </c>
    </row>
    <row r="5317" spans="1:16" x14ac:dyDescent="0.25">
      <c r="A5317" s="10">
        <v>45531</v>
      </c>
      <c r="B5317" s="3">
        <v>184977</v>
      </c>
      <c r="C5317" s="3">
        <v>7.7250000000000227</v>
      </c>
      <c r="D5317" s="3">
        <v>0</v>
      </c>
      <c r="E5317" s="3">
        <v>0</v>
      </c>
      <c r="F5317" s="3">
        <v>0</v>
      </c>
      <c r="G5317" s="3">
        <v>587.51180251999995</v>
      </c>
      <c r="H5317" s="3">
        <v>0</v>
      </c>
      <c r="I5317" s="3">
        <v>0</v>
      </c>
      <c r="J5317" s="3">
        <v>0</v>
      </c>
      <c r="K5317" s="3">
        <v>0</v>
      </c>
      <c r="L5317" s="3">
        <v>0</v>
      </c>
      <c r="M5317" s="3">
        <v>0</v>
      </c>
      <c r="N5317" s="3">
        <v>178698.54299521999</v>
      </c>
      <c r="O5317">
        <v>5683.2202022600104</v>
      </c>
      <c r="P5317">
        <v>22194539</v>
      </c>
    </row>
    <row r="5318" spans="1:16" x14ac:dyDescent="0.25">
      <c r="A5318" s="10">
        <v>45532</v>
      </c>
      <c r="B5318" s="3">
        <v>-917483</v>
      </c>
      <c r="C5318" s="3">
        <v>-71717.425000000003</v>
      </c>
      <c r="D5318" s="3">
        <v>0</v>
      </c>
      <c r="E5318" s="3">
        <v>0</v>
      </c>
      <c r="F5318" s="3">
        <v>0</v>
      </c>
      <c r="G5318" s="3">
        <v>-214.56244461000011</v>
      </c>
      <c r="H5318" s="3">
        <v>0</v>
      </c>
      <c r="I5318" s="3">
        <v>0</v>
      </c>
      <c r="J5318" s="3">
        <v>0</v>
      </c>
      <c r="K5318" s="3">
        <v>0</v>
      </c>
      <c r="L5318" s="3">
        <v>0</v>
      </c>
      <c r="M5318" s="3">
        <v>0</v>
      </c>
      <c r="N5318" s="3">
        <v>-840657.25793422002</v>
      </c>
      <c r="O5318">
        <v>-4893.7546211699964</v>
      </c>
      <c r="P5318">
        <v>21277056</v>
      </c>
    </row>
    <row r="5319" spans="1:16" x14ac:dyDescent="0.25">
      <c r="A5319" s="10">
        <v>45533</v>
      </c>
      <c r="B5319" s="3">
        <v>688427</v>
      </c>
      <c r="C5319" s="3">
        <v>145843.20000000001</v>
      </c>
      <c r="D5319" s="3">
        <v>0</v>
      </c>
      <c r="E5319" s="3">
        <v>0</v>
      </c>
      <c r="F5319" s="3">
        <v>0</v>
      </c>
      <c r="G5319" s="3">
        <v>-328.00530871003872</v>
      </c>
      <c r="H5319" s="3">
        <v>0</v>
      </c>
      <c r="I5319" s="3">
        <v>0</v>
      </c>
      <c r="J5319" s="3">
        <v>0</v>
      </c>
      <c r="K5319" s="3">
        <v>0</v>
      </c>
      <c r="L5319" s="3">
        <v>0</v>
      </c>
      <c r="M5319" s="3">
        <v>0</v>
      </c>
      <c r="N5319" s="3">
        <v>558810.28440180002</v>
      </c>
      <c r="O5319">
        <v>-15898.479093089931</v>
      </c>
      <c r="P5319">
        <v>21965483</v>
      </c>
    </row>
    <row r="5320" spans="1:16" x14ac:dyDescent="0.25">
      <c r="A5320" s="10">
        <v>45534</v>
      </c>
      <c r="B5320" s="3">
        <v>-12475</v>
      </c>
      <c r="C5320" s="3">
        <v>83</v>
      </c>
      <c r="D5320" s="3">
        <v>0</v>
      </c>
      <c r="E5320" s="3">
        <v>0</v>
      </c>
      <c r="F5320" s="3">
        <v>0</v>
      </c>
      <c r="G5320" s="3">
        <v>-891920.97071594</v>
      </c>
      <c r="H5320" s="3">
        <v>0</v>
      </c>
      <c r="I5320" s="3">
        <v>0</v>
      </c>
      <c r="J5320" s="3">
        <v>0</v>
      </c>
      <c r="K5320" s="3">
        <v>0</v>
      </c>
      <c r="L5320" s="3">
        <v>0</v>
      </c>
      <c r="M5320" s="3">
        <v>0</v>
      </c>
      <c r="N5320" s="3">
        <v>884042.43975456001</v>
      </c>
      <c r="O5320">
        <v>-4679.4690386200091</v>
      </c>
      <c r="P5320">
        <v>21953008</v>
      </c>
    </row>
    <row r="5321" spans="1:16" x14ac:dyDescent="0.25">
      <c r="A5321" s="10">
        <v>45537</v>
      </c>
      <c r="B5321" s="3">
        <v>1126610</v>
      </c>
      <c r="C5321" s="3">
        <v>-226864.5</v>
      </c>
      <c r="D5321" s="3">
        <v>0</v>
      </c>
      <c r="E5321" s="3">
        <v>0</v>
      </c>
      <c r="F5321" s="3">
        <v>0</v>
      </c>
      <c r="G5321" s="3">
        <v>-79.776792489218849</v>
      </c>
      <c r="H5321" s="3">
        <v>0</v>
      </c>
      <c r="I5321" s="3">
        <v>0</v>
      </c>
      <c r="J5321" s="3">
        <v>0</v>
      </c>
      <c r="K5321" s="3">
        <v>0</v>
      </c>
      <c r="L5321" s="3">
        <v>0</v>
      </c>
      <c r="M5321" s="3">
        <v>0</v>
      </c>
      <c r="N5321" s="3">
        <v>1394264.6731281399</v>
      </c>
      <c r="O5321">
        <v>-40710.396335650701</v>
      </c>
      <c r="P5321">
        <v>23079618</v>
      </c>
    </row>
    <row r="5322" spans="1:16" x14ac:dyDescent="0.25">
      <c r="A5322" s="10">
        <v>45538</v>
      </c>
      <c r="B5322" s="3">
        <v>315449</v>
      </c>
      <c r="C5322" s="3">
        <v>61912.5</v>
      </c>
      <c r="D5322" s="3">
        <v>0</v>
      </c>
      <c r="E5322" s="3">
        <v>0</v>
      </c>
      <c r="F5322" s="3">
        <v>0</v>
      </c>
      <c r="G5322" s="3">
        <v>-689.43431151999994</v>
      </c>
      <c r="H5322" s="3">
        <v>0</v>
      </c>
      <c r="I5322" s="3">
        <v>0</v>
      </c>
      <c r="J5322" s="3">
        <v>0</v>
      </c>
      <c r="K5322" s="3">
        <v>0</v>
      </c>
      <c r="L5322" s="3">
        <v>0</v>
      </c>
      <c r="M5322" s="3">
        <v>0</v>
      </c>
      <c r="N5322" s="3">
        <v>306094.54597362998</v>
      </c>
      <c r="O5322">
        <v>-51868.611662109957</v>
      </c>
      <c r="P5322">
        <v>23395067</v>
      </c>
    </row>
    <row r="5323" spans="1:16" x14ac:dyDescent="0.25">
      <c r="A5323" s="10">
        <v>45539</v>
      </c>
      <c r="B5323" s="3">
        <v>334983</v>
      </c>
      <c r="C5323" s="3">
        <v>-6683.5</v>
      </c>
      <c r="D5323" s="3">
        <v>0</v>
      </c>
      <c r="E5323" s="3">
        <v>0</v>
      </c>
      <c r="F5323" s="3">
        <v>0</v>
      </c>
      <c r="G5323" s="3">
        <v>354.63423226000032</v>
      </c>
      <c r="H5323" s="3">
        <v>531.38882999999998</v>
      </c>
      <c r="I5323" s="3">
        <v>0</v>
      </c>
      <c r="J5323" s="3">
        <v>0</v>
      </c>
      <c r="K5323" s="3">
        <v>0</v>
      </c>
      <c r="L5323" s="3">
        <v>0</v>
      </c>
      <c r="M5323" s="3">
        <v>0</v>
      </c>
      <c r="N5323" s="3">
        <v>342148.14844664</v>
      </c>
      <c r="O5323">
        <v>-1367.6715089000061</v>
      </c>
      <c r="P5323">
        <v>23730050</v>
      </c>
    </row>
    <row r="5324" spans="1:16" x14ac:dyDescent="0.25">
      <c r="A5324" s="10">
        <v>45540</v>
      </c>
      <c r="B5324" s="3">
        <v>-310562</v>
      </c>
      <c r="C5324" s="3">
        <v>-5300.16</v>
      </c>
      <c r="D5324" s="3">
        <v>0</v>
      </c>
      <c r="E5324" s="3">
        <v>0</v>
      </c>
      <c r="F5324" s="3">
        <v>0</v>
      </c>
      <c r="G5324" s="3">
        <v>-164.99715226888659</v>
      </c>
      <c r="H5324" s="3">
        <v>-497.78883000000002</v>
      </c>
      <c r="I5324" s="3">
        <v>0</v>
      </c>
      <c r="J5324" s="3">
        <v>0</v>
      </c>
      <c r="K5324" s="3">
        <v>-0.69881271999999994</v>
      </c>
      <c r="L5324" s="3">
        <v>0</v>
      </c>
      <c r="M5324" s="3">
        <v>0</v>
      </c>
      <c r="N5324" s="3">
        <v>-302267.74965448998</v>
      </c>
      <c r="O5324">
        <v>-2330.605550521112</v>
      </c>
      <c r="P5324">
        <v>23419488</v>
      </c>
    </row>
    <row r="5325" spans="1:16" x14ac:dyDescent="0.25">
      <c r="A5325" s="10">
        <v>45541</v>
      </c>
      <c r="B5325" s="3">
        <v>263939</v>
      </c>
      <c r="C5325" s="3">
        <v>87432.2</v>
      </c>
      <c r="D5325" s="3">
        <v>0</v>
      </c>
      <c r="E5325" s="3">
        <v>0</v>
      </c>
      <c r="F5325" s="3">
        <v>0</v>
      </c>
      <c r="G5325" s="3">
        <v>-164.45296579999999</v>
      </c>
      <c r="H5325" s="3">
        <v>476.14</v>
      </c>
      <c r="I5325" s="3">
        <v>0</v>
      </c>
      <c r="J5325" s="3">
        <v>0</v>
      </c>
      <c r="K5325" s="3">
        <v>0</v>
      </c>
      <c r="L5325" s="3">
        <v>0</v>
      </c>
      <c r="M5325" s="3">
        <v>0</v>
      </c>
      <c r="N5325" s="3">
        <v>190494.47769748999</v>
      </c>
      <c r="O5325">
        <v>-14299.36473168997</v>
      </c>
      <c r="P5325">
        <v>23683427</v>
      </c>
    </row>
    <row r="5326" spans="1:16" x14ac:dyDescent="0.25">
      <c r="A5326" s="10">
        <v>45544</v>
      </c>
      <c r="B5326" s="3">
        <v>-291257</v>
      </c>
      <c r="C5326" s="3">
        <v>-957.5</v>
      </c>
      <c r="D5326" s="3">
        <v>0</v>
      </c>
      <c r="E5326" s="3">
        <v>0</v>
      </c>
      <c r="F5326" s="3">
        <v>0</v>
      </c>
      <c r="G5326" s="3">
        <v>-1180.4553719400001</v>
      </c>
      <c r="H5326" s="3">
        <v>-289.24</v>
      </c>
      <c r="I5326" s="3">
        <v>0</v>
      </c>
      <c r="J5326" s="3">
        <v>0</v>
      </c>
      <c r="K5326" s="3">
        <v>-0.94551781000000001</v>
      </c>
      <c r="L5326" s="3">
        <v>0</v>
      </c>
      <c r="M5326" s="3">
        <v>0</v>
      </c>
      <c r="N5326" s="3">
        <v>-291608.30358151998</v>
      </c>
      <c r="O5326">
        <v>2779.444471270021</v>
      </c>
      <c r="P5326">
        <v>23392170</v>
      </c>
    </row>
    <row r="5327" spans="1:16" x14ac:dyDescent="0.25">
      <c r="A5327" s="10">
        <v>45545</v>
      </c>
      <c r="B5327" s="3">
        <v>-366234</v>
      </c>
      <c r="C5327" s="3">
        <v>-158004.29999999999</v>
      </c>
      <c r="D5327" s="3">
        <v>0</v>
      </c>
      <c r="E5327" s="3">
        <v>0</v>
      </c>
      <c r="F5327" s="3">
        <v>0</v>
      </c>
      <c r="G5327" s="3">
        <v>-124.90057092000001</v>
      </c>
      <c r="H5327" s="3">
        <v>47671.959374999999</v>
      </c>
      <c r="I5327" s="3">
        <v>0</v>
      </c>
      <c r="J5327" s="3">
        <v>0</v>
      </c>
      <c r="K5327" s="3">
        <v>0</v>
      </c>
      <c r="L5327" s="3">
        <v>0</v>
      </c>
      <c r="M5327" s="3">
        <v>0</v>
      </c>
      <c r="N5327" s="3">
        <v>-261718.79396903</v>
      </c>
      <c r="O5327">
        <v>5942.0351649499498</v>
      </c>
      <c r="P5327">
        <v>23025936</v>
      </c>
    </row>
    <row r="5328" spans="1:16" x14ac:dyDescent="0.25">
      <c r="A5328" s="10">
        <v>45546</v>
      </c>
      <c r="B5328" s="3">
        <v>239189</v>
      </c>
      <c r="C5328" s="3">
        <v>-29236.25</v>
      </c>
      <c r="D5328" s="3">
        <v>0</v>
      </c>
      <c r="E5328" s="3">
        <v>0</v>
      </c>
      <c r="F5328" s="3">
        <v>0</v>
      </c>
      <c r="G5328" s="3">
        <v>-1679.3840290099999</v>
      </c>
      <c r="H5328" s="3">
        <v>-40642.864953999997</v>
      </c>
      <c r="I5328" s="3">
        <v>0</v>
      </c>
      <c r="J5328" s="3">
        <v>0</v>
      </c>
      <c r="K5328" s="3">
        <v>-54.15302466</v>
      </c>
      <c r="L5328" s="3">
        <v>0</v>
      </c>
      <c r="M5328" s="3">
        <v>0</v>
      </c>
      <c r="N5328" s="3">
        <v>310069.43134734011</v>
      </c>
      <c r="O5328">
        <v>732.220660329971</v>
      </c>
      <c r="P5328">
        <v>23265125</v>
      </c>
    </row>
    <row r="5329" spans="1:16" x14ac:dyDescent="0.25">
      <c r="A5329" s="10">
        <v>45547</v>
      </c>
      <c r="B5329" s="3">
        <v>54471</v>
      </c>
      <c r="C5329" s="3">
        <v>20128.5</v>
      </c>
      <c r="D5329" s="3">
        <v>-1465964</v>
      </c>
      <c r="E5329" s="3">
        <v>0</v>
      </c>
      <c r="F5329" s="3">
        <v>0</v>
      </c>
      <c r="G5329" s="3">
        <v>1467535.484218749</v>
      </c>
      <c r="H5329" s="3">
        <v>49424.232000000004</v>
      </c>
      <c r="I5329" s="3">
        <v>0</v>
      </c>
      <c r="J5329" s="3">
        <v>0</v>
      </c>
      <c r="K5329" s="3">
        <v>0</v>
      </c>
      <c r="L5329" s="3">
        <v>0</v>
      </c>
      <c r="M5329" s="3">
        <v>0</v>
      </c>
      <c r="N5329" s="3">
        <v>10708.418849629999</v>
      </c>
      <c r="O5329">
        <v>-27361.635068379299</v>
      </c>
      <c r="P5329">
        <v>23319596</v>
      </c>
    </row>
    <row r="5330" spans="1:16" x14ac:dyDescent="0.25">
      <c r="A5330" s="10">
        <v>45548</v>
      </c>
      <c r="B5330" s="3">
        <v>-139818</v>
      </c>
      <c r="C5330" s="3">
        <v>-71056</v>
      </c>
      <c r="D5330" s="3">
        <v>0</v>
      </c>
      <c r="E5330" s="3">
        <v>0</v>
      </c>
      <c r="F5330" s="3">
        <v>0</v>
      </c>
      <c r="G5330" s="3">
        <v>-24355.652949690819</v>
      </c>
      <c r="H5330" s="3">
        <v>97452.107711999997</v>
      </c>
      <c r="I5330" s="3">
        <v>0</v>
      </c>
      <c r="J5330" s="3">
        <v>0</v>
      </c>
      <c r="K5330" s="3">
        <v>-59.063899999999997</v>
      </c>
      <c r="L5330" s="3">
        <v>0</v>
      </c>
      <c r="M5330" s="3">
        <v>0</v>
      </c>
      <c r="N5330" s="3">
        <v>-138234.56269992</v>
      </c>
      <c r="O5330">
        <v>-3564.8281623891671</v>
      </c>
      <c r="P5330">
        <v>23179778</v>
      </c>
    </row>
    <row r="5331" spans="1:16" x14ac:dyDescent="0.25">
      <c r="A5331" s="10">
        <v>45551</v>
      </c>
      <c r="B5331" s="3">
        <v>-472178</v>
      </c>
      <c r="C5331" s="3">
        <v>-85537</v>
      </c>
      <c r="D5331" s="3">
        <v>0</v>
      </c>
      <c r="E5331" s="3">
        <v>0</v>
      </c>
      <c r="F5331" s="3">
        <v>0</v>
      </c>
      <c r="G5331" s="3">
        <v>-415.30686106000002</v>
      </c>
      <c r="H5331" s="3">
        <v>-108034.6145</v>
      </c>
      <c r="I5331" s="3">
        <v>0</v>
      </c>
      <c r="J5331" s="3">
        <v>0</v>
      </c>
      <c r="K5331" s="3">
        <v>-531.91756850000002</v>
      </c>
      <c r="L5331" s="3">
        <v>0</v>
      </c>
      <c r="M5331" s="3">
        <v>0</v>
      </c>
      <c r="N5331" s="3">
        <v>-277252.70502265001</v>
      </c>
      <c r="O5331">
        <v>-406.4560477900086</v>
      </c>
      <c r="P5331">
        <v>22707600</v>
      </c>
    </row>
    <row r="5332" spans="1:16" x14ac:dyDescent="0.25">
      <c r="A5332" s="10">
        <v>45552</v>
      </c>
      <c r="B5332" s="3">
        <v>174395</v>
      </c>
      <c r="C5332" s="3">
        <v>10576.5</v>
      </c>
      <c r="D5332" s="3">
        <v>0</v>
      </c>
      <c r="E5332" s="3">
        <v>0</v>
      </c>
      <c r="F5332" s="3">
        <v>0</v>
      </c>
      <c r="G5332" s="3">
        <v>-269.03729534000013</v>
      </c>
      <c r="H5332" s="3">
        <v>-32204.926408989999</v>
      </c>
      <c r="I5332" s="3">
        <v>0</v>
      </c>
      <c r="J5332" s="3">
        <v>0</v>
      </c>
      <c r="K5332" s="3">
        <v>-76.456863040000002</v>
      </c>
      <c r="L5332" s="3">
        <v>0</v>
      </c>
      <c r="M5332" s="3">
        <v>0</v>
      </c>
      <c r="N5332" s="3">
        <v>196047.33166554</v>
      </c>
      <c r="O5332">
        <v>321.58890182999312</v>
      </c>
      <c r="P5332">
        <v>22881995</v>
      </c>
    </row>
    <row r="5333" spans="1:16" x14ac:dyDescent="0.25">
      <c r="A5333" s="10">
        <v>45553</v>
      </c>
      <c r="B5333" s="3">
        <v>144651</v>
      </c>
      <c r="C5333" s="3">
        <v>67195.7</v>
      </c>
      <c r="D5333" s="3">
        <v>0</v>
      </c>
      <c r="E5333" s="3">
        <v>0</v>
      </c>
      <c r="F5333" s="3">
        <v>0</v>
      </c>
      <c r="G5333" s="3">
        <v>-421.54170876000001</v>
      </c>
      <c r="H5333" s="3">
        <v>25105.124371000002</v>
      </c>
      <c r="I5333" s="3">
        <v>0</v>
      </c>
      <c r="J5333" s="3">
        <v>0</v>
      </c>
      <c r="K5333" s="3">
        <v>-30.801284330000001</v>
      </c>
      <c r="L5333" s="3">
        <v>0</v>
      </c>
      <c r="M5333" s="3">
        <v>0</v>
      </c>
      <c r="N5333" s="3">
        <v>58929.686734149996</v>
      </c>
      <c r="O5333">
        <v>-6127.1681120599969</v>
      </c>
      <c r="P5333">
        <v>23026646</v>
      </c>
    </row>
    <row r="5334" spans="1:16" x14ac:dyDescent="0.25">
      <c r="A5334" s="10">
        <v>45554</v>
      </c>
      <c r="B5334" s="3">
        <v>-728142</v>
      </c>
      <c r="C5334" s="3">
        <v>33416.1</v>
      </c>
      <c r="D5334" s="3">
        <v>0</v>
      </c>
      <c r="E5334" s="3">
        <v>0</v>
      </c>
      <c r="F5334" s="3">
        <v>0</v>
      </c>
      <c r="G5334" s="3">
        <v>3102.65583199</v>
      </c>
      <c r="H5334" s="3">
        <v>-7366.4038580000006</v>
      </c>
      <c r="I5334" s="3">
        <v>0</v>
      </c>
      <c r="J5334" s="3">
        <v>0</v>
      </c>
      <c r="K5334" s="3">
        <v>-41.189047270000003</v>
      </c>
      <c r="L5334" s="3">
        <v>0</v>
      </c>
      <c r="M5334" s="3">
        <v>0</v>
      </c>
      <c r="N5334" s="3">
        <v>-755751.32173537998</v>
      </c>
      <c r="O5334">
        <v>-1501.841191340005</v>
      </c>
      <c r="P5334">
        <v>22298504</v>
      </c>
    </row>
    <row r="5335" spans="1:16" x14ac:dyDescent="0.25">
      <c r="A5335" s="10">
        <v>45555</v>
      </c>
      <c r="B5335" s="3">
        <v>295882</v>
      </c>
      <c r="C5335" s="3">
        <v>32359.474999999999</v>
      </c>
      <c r="D5335" s="3">
        <v>0</v>
      </c>
      <c r="E5335" s="3">
        <v>0</v>
      </c>
      <c r="F5335" s="3">
        <v>0</v>
      </c>
      <c r="G5335" s="3">
        <v>69.41924911000001</v>
      </c>
      <c r="H5335" s="3">
        <v>26990.472288000001</v>
      </c>
      <c r="I5335" s="3">
        <v>0</v>
      </c>
      <c r="J5335" s="3">
        <v>0</v>
      </c>
      <c r="K5335" s="3">
        <v>-1.91397204</v>
      </c>
      <c r="L5335" s="3">
        <v>0</v>
      </c>
      <c r="M5335" s="3">
        <v>0</v>
      </c>
      <c r="N5335" s="3">
        <v>239953.66790818999</v>
      </c>
      <c r="O5335">
        <v>-3489.1204732600022</v>
      </c>
      <c r="P5335">
        <v>22594386</v>
      </c>
    </row>
    <row r="5336" spans="1:16" x14ac:dyDescent="0.25">
      <c r="A5336" s="10">
        <v>45558</v>
      </c>
      <c r="B5336" s="3">
        <v>-200899</v>
      </c>
      <c r="C5336" s="3">
        <v>61985.1</v>
      </c>
      <c r="D5336" s="3">
        <v>0</v>
      </c>
      <c r="E5336" s="3">
        <v>0</v>
      </c>
      <c r="F5336" s="3">
        <v>0</v>
      </c>
      <c r="G5336" s="3">
        <v>612.88159080960941</v>
      </c>
      <c r="H5336" s="3">
        <v>58173.706197000007</v>
      </c>
      <c r="I5336" s="3">
        <v>0</v>
      </c>
      <c r="J5336" s="3">
        <v>0</v>
      </c>
      <c r="K5336" s="3">
        <v>-100.64804795000001</v>
      </c>
      <c r="L5336" s="3">
        <v>0</v>
      </c>
      <c r="M5336" s="3">
        <v>0</v>
      </c>
      <c r="N5336" s="3">
        <v>-322345.91512014001</v>
      </c>
      <c r="O5336">
        <v>775.87538028039853</v>
      </c>
      <c r="P5336">
        <v>22393487</v>
      </c>
    </row>
    <row r="5337" spans="1:16" x14ac:dyDescent="0.25">
      <c r="A5337" s="10">
        <v>45559</v>
      </c>
      <c r="B5337" s="3">
        <v>-552841</v>
      </c>
      <c r="C5337" s="3">
        <v>19805.45</v>
      </c>
      <c r="D5337" s="3">
        <v>0</v>
      </c>
      <c r="E5337" s="3">
        <v>0</v>
      </c>
      <c r="F5337" s="3">
        <v>0</v>
      </c>
      <c r="G5337" s="3">
        <v>2256.1114971000011</v>
      </c>
      <c r="H5337" s="3">
        <v>-51888.59328298999</v>
      </c>
      <c r="I5337" s="3">
        <v>0</v>
      </c>
      <c r="J5337" s="3">
        <v>0</v>
      </c>
      <c r="K5337" s="3">
        <v>-143.10504109999999</v>
      </c>
      <c r="L5337" s="3">
        <v>0</v>
      </c>
      <c r="M5337" s="3">
        <v>0</v>
      </c>
      <c r="N5337" s="3">
        <v>-634087.48247663002</v>
      </c>
      <c r="O5337">
        <v>111216.61930362</v>
      </c>
      <c r="P5337">
        <v>21840646</v>
      </c>
    </row>
    <row r="5338" spans="1:16" x14ac:dyDescent="0.25">
      <c r="A5338" s="10">
        <v>45560</v>
      </c>
      <c r="B5338" s="3">
        <v>169702</v>
      </c>
      <c r="C5338" s="3">
        <v>184640.16</v>
      </c>
      <c r="D5338" s="3">
        <v>0</v>
      </c>
      <c r="E5338" s="3">
        <v>0</v>
      </c>
      <c r="F5338" s="3">
        <v>0</v>
      </c>
      <c r="G5338" s="3">
        <v>-447.78330601000022</v>
      </c>
      <c r="H5338" s="3">
        <v>-40685.354211000013</v>
      </c>
      <c r="I5338" s="3">
        <v>0</v>
      </c>
      <c r="J5338" s="3">
        <v>0</v>
      </c>
      <c r="K5338" s="3">
        <v>-192.36703191000001</v>
      </c>
      <c r="L5338" s="3">
        <v>0</v>
      </c>
      <c r="M5338" s="3">
        <v>0</v>
      </c>
      <c r="N5338" s="3">
        <v>617.28017778999993</v>
      </c>
      <c r="O5338">
        <v>25770.064371129989</v>
      </c>
      <c r="P5338">
        <v>22010348</v>
      </c>
    </row>
    <row r="5339" spans="1:16" x14ac:dyDescent="0.25">
      <c r="A5339" s="10">
        <v>45561</v>
      </c>
      <c r="B5339" s="3">
        <v>-278221</v>
      </c>
      <c r="C5339" s="3">
        <v>-29075</v>
      </c>
      <c r="D5339" s="3">
        <v>0</v>
      </c>
      <c r="E5339" s="3">
        <v>0</v>
      </c>
      <c r="F5339" s="3">
        <v>0</v>
      </c>
      <c r="G5339" s="3">
        <v>134.75897279999481</v>
      </c>
      <c r="H5339" s="3">
        <v>-5394.3735420000003</v>
      </c>
      <c r="I5339" s="3">
        <v>0</v>
      </c>
      <c r="J5339" s="3">
        <v>0</v>
      </c>
      <c r="K5339" s="3">
        <v>-66.284785839999998</v>
      </c>
      <c r="L5339" s="3">
        <v>0</v>
      </c>
      <c r="M5339" s="3">
        <v>0</v>
      </c>
      <c r="N5339" s="3">
        <v>-246412.23636382</v>
      </c>
      <c r="O5339">
        <v>2592.1357188600232</v>
      </c>
      <c r="P5339">
        <v>21732127</v>
      </c>
    </row>
    <row r="5340" spans="1:16" x14ac:dyDescent="0.25">
      <c r="A5340" s="10">
        <v>45562</v>
      </c>
      <c r="B5340" s="3">
        <v>62037</v>
      </c>
      <c r="C5340" s="3">
        <v>-19382</v>
      </c>
      <c r="D5340" s="3">
        <v>0</v>
      </c>
      <c r="E5340" s="3">
        <v>0</v>
      </c>
      <c r="F5340" s="3">
        <v>0</v>
      </c>
      <c r="G5340" s="3">
        <v>-678.52789226999994</v>
      </c>
      <c r="H5340" s="3">
        <v>6323.1372300000003</v>
      </c>
      <c r="I5340" s="3">
        <v>0</v>
      </c>
      <c r="J5340" s="3">
        <v>0</v>
      </c>
      <c r="K5340" s="3">
        <v>0</v>
      </c>
      <c r="L5340" s="3">
        <v>0</v>
      </c>
      <c r="M5340" s="3">
        <v>0</v>
      </c>
      <c r="N5340" s="3">
        <v>78894.487493429988</v>
      </c>
      <c r="O5340">
        <v>-3120.0968311599859</v>
      </c>
      <c r="P5340">
        <v>21794164</v>
      </c>
    </row>
    <row r="5341" spans="1:16" x14ac:dyDescent="0.25">
      <c r="A5341" s="10">
        <v>45565</v>
      </c>
      <c r="B5341" s="3">
        <v>601896</v>
      </c>
      <c r="C5341" s="3">
        <v>72253.5</v>
      </c>
      <c r="D5341" s="3">
        <v>0</v>
      </c>
      <c r="E5341" s="3">
        <v>0</v>
      </c>
      <c r="F5341" s="3">
        <v>0</v>
      </c>
      <c r="G5341" s="3">
        <v>2338349.3580683428</v>
      </c>
      <c r="H5341" s="3">
        <v>139291.558961</v>
      </c>
      <c r="I5341" s="3">
        <v>0</v>
      </c>
      <c r="J5341" s="3">
        <v>0</v>
      </c>
      <c r="K5341" s="3">
        <v>-59.876674919999999</v>
      </c>
      <c r="L5341" s="3">
        <v>0</v>
      </c>
      <c r="M5341" s="3">
        <v>0</v>
      </c>
      <c r="N5341" s="3">
        <v>-1945232.07776577</v>
      </c>
      <c r="O5341">
        <v>-2706.4625886532008</v>
      </c>
      <c r="P5341">
        <v>22396060</v>
      </c>
    </row>
    <row r="5342" spans="1:16" x14ac:dyDescent="0.25">
      <c r="A5342" s="10">
        <v>45566</v>
      </c>
      <c r="B5342" s="3">
        <v>1357921</v>
      </c>
      <c r="C5342" s="3">
        <v>113129.5</v>
      </c>
      <c r="D5342" s="3">
        <v>0</v>
      </c>
      <c r="E5342" s="3">
        <v>0</v>
      </c>
      <c r="F5342" s="3">
        <v>0</v>
      </c>
      <c r="G5342" s="3">
        <v>-211.7867168802768</v>
      </c>
      <c r="H5342" s="3">
        <v>-146086.11055799999</v>
      </c>
      <c r="I5342" s="3">
        <v>0</v>
      </c>
      <c r="J5342" s="3">
        <v>0</v>
      </c>
      <c r="K5342" s="3">
        <v>-221.62853824000001</v>
      </c>
      <c r="L5342" s="3">
        <v>0</v>
      </c>
      <c r="M5342" s="3">
        <v>0</v>
      </c>
      <c r="N5342" s="3">
        <v>1338930.9776709499</v>
      </c>
      <c r="O5342">
        <v>52380.048142170301</v>
      </c>
      <c r="P5342">
        <v>23753981</v>
      </c>
    </row>
    <row r="5343" spans="1:16" x14ac:dyDescent="0.25">
      <c r="A5343" s="10">
        <v>45567</v>
      </c>
      <c r="B5343" s="3">
        <v>375307</v>
      </c>
      <c r="C5343" s="3">
        <v>118560.02499999999</v>
      </c>
      <c r="D5343" s="3">
        <v>0</v>
      </c>
      <c r="E5343" s="3">
        <v>0</v>
      </c>
      <c r="F5343" s="3">
        <v>0</v>
      </c>
      <c r="G5343" s="3">
        <v>-251.36106862</v>
      </c>
      <c r="H5343" s="3">
        <v>-1881.5939310000031</v>
      </c>
      <c r="I5343" s="3">
        <v>0</v>
      </c>
      <c r="J5343" s="3">
        <v>0</v>
      </c>
      <c r="K5343" s="3">
        <v>-41.949317489999999</v>
      </c>
      <c r="L5343" s="3">
        <v>0</v>
      </c>
      <c r="M5343" s="3">
        <v>0</v>
      </c>
      <c r="N5343" s="3">
        <v>254175.95351403</v>
      </c>
      <c r="O5343">
        <v>4745.9258030799683</v>
      </c>
      <c r="P5343">
        <v>24129288</v>
      </c>
    </row>
    <row r="5344" spans="1:16" x14ac:dyDescent="0.25">
      <c r="A5344" s="10">
        <v>45568</v>
      </c>
      <c r="B5344" s="3">
        <v>61123</v>
      </c>
      <c r="C5344" s="3">
        <v>102493.25</v>
      </c>
      <c r="D5344" s="3">
        <v>0</v>
      </c>
      <c r="E5344" s="3">
        <v>0</v>
      </c>
      <c r="F5344" s="3">
        <v>0</v>
      </c>
      <c r="G5344" s="3">
        <v>-122.23921961000001</v>
      </c>
      <c r="H5344" s="3">
        <v>9.9750000000021828</v>
      </c>
      <c r="I5344" s="3">
        <v>0</v>
      </c>
      <c r="J5344" s="3">
        <v>0</v>
      </c>
      <c r="K5344" s="3">
        <v>-19.730603219999999</v>
      </c>
      <c r="L5344" s="3">
        <v>0</v>
      </c>
      <c r="M5344" s="3">
        <v>0</v>
      </c>
      <c r="N5344" s="3">
        <v>-21962.92875169</v>
      </c>
      <c r="O5344">
        <v>-19275.32642548002</v>
      </c>
      <c r="P5344">
        <v>24190411</v>
      </c>
    </row>
    <row r="5345" spans="1:16" x14ac:dyDescent="0.25">
      <c r="A5345" s="10">
        <v>45569</v>
      </c>
      <c r="B5345" s="3">
        <v>-31332</v>
      </c>
      <c r="C5345" s="3">
        <v>107169.5</v>
      </c>
      <c r="D5345" s="3">
        <v>0</v>
      </c>
      <c r="E5345" s="3">
        <v>0</v>
      </c>
      <c r="F5345" s="3">
        <v>0</v>
      </c>
      <c r="G5345" s="3">
        <v>-635.44033578003291</v>
      </c>
      <c r="H5345" s="3">
        <v>-1420.00695</v>
      </c>
      <c r="I5345" s="3">
        <v>0</v>
      </c>
      <c r="J5345" s="3">
        <v>0</v>
      </c>
      <c r="K5345" s="3">
        <v>-45.180978600000003</v>
      </c>
      <c r="L5345" s="3">
        <v>0</v>
      </c>
      <c r="M5345" s="3">
        <v>0</v>
      </c>
      <c r="N5345" s="3">
        <v>-132275.29945088</v>
      </c>
      <c r="O5345">
        <v>-4125.5722847399738</v>
      </c>
      <c r="P5345">
        <v>24159079</v>
      </c>
    </row>
    <row r="5346" spans="1:16" x14ac:dyDescent="0.25">
      <c r="A5346" s="10">
        <v>45572</v>
      </c>
      <c r="B5346" s="3">
        <v>-152748</v>
      </c>
      <c r="C5346" s="3">
        <v>51161.25</v>
      </c>
      <c r="D5346" s="3">
        <v>0</v>
      </c>
      <c r="E5346" s="3">
        <v>0</v>
      </c>
      <c r="F5346" s="3">
        <v>0</v>
      </c>
      <c r="G5346" s="3">
        <v>3028.530473299325</v>
      </c>
      <c r="H5346" s="3">
        <v>-3540.6018879999988</v>
      </c>
      <c r="I5346" s="3">
        <v>0</v>
      </c>
      <c r="J5346" s="3">
        <v>0</v>
      </c>
      <c r="K5346" s="3">
        <v>-34.156603320000002</v>
      </c>
      <c r="L5346" s="3">
        <v>0</v>
      </c>
      <c r="M5346" s="3">
        <v>0</v>
      </c>
      <c r="N5346" s="3">
        <v>-190502.33714284</v>
      </c>
      <c r="O5346">
        <v>-12860.68483913934</v>
      </c>
      <c r="P5346">
        <v>24006331</v>
      </c>
    </row>
    <row r="5347" spans="1:16" x14ac:dyDescent="0.25">
      <c r="A5347" s="10">
        <v>45573</v>
      </c>
      <c r="B5347" s="3">
        <v>-50024</v>
      </c>
      <c r="C5347" s="3">
        <v>848.25</v>
      </c>
      <c r="D5347" s="3">
        <v>0</v>
      </c>
      <c r="E5347" s="3">
        <v>0</v>
      </c>
      <c r="F5347" s="3">
        <v>0</v>
      </c>
      <c r="G5347" s="3">
        <v>-270.56869664999999</v>
      </c>
      <c r="H5347" s="3">
        <v>-532.70000000000073</v>
      </c>
      <c r="I5347" s="3">
        <v>0</v>
      </c>
      <c r="J5347" s="3">
        <v>0</v>
      </c>
      <c r="K5347" s="3">
        <v>-21.28882192</v>
      </c>
      <c r="L5347" s="3">
        <v>0</v>
      </c>
      <c r="M5347" s="3">
        <v>0</v>
      </c>
      <c r="N5347" s="3">
        <v>-51229.650550350001</v>
      </c>
      <c r="O5347">
        <v>1181.9580689200011</v>
      </c>
      <c r="P5347">
        <v>23956307</v>
      </c>
    </row>
    <row r="5348" spans="1:16" x14ac:dyDescent="0.25">
      <c r="A5348" s="10">
        <v>45574</v>
      </c>
      <c r="B5348" s="3">
        <v>-79598</v>
      </c>
      <c r="C5348" s="3">
        <v>38044.5</v>
      </c>
      <c r="D5348" s="3">
        <v>0</v>
      </c>
      <c r="E5348" s="3">
        <v>0</v>
      </c>
      <c r="F5348" s="3">
        <v>0</v>
      </c>
      <c r="G5348" s="3">
        <v>-398.77599425</v>
      </c>
      <c r="H5348" s="3">
        <v>-669.19999999999891</v>
      </c>
      <c r="I5348" s="3">
        <v>0</v>
      </c>
      <c r="J5348" s="3">
        <v>0</v>
      </c>
      <c r="K5348" s="3">
        <v>-25.710904110000001</v>
      </c>
      <c r="L5348" s="3">
        <v>0</v>
      </c>
      <c r="M5348" s="3">
        <v>0</v>
      </c>
      <c r="N5348" s="3">
        <v>-119313.81091612</v>
      </c>
      <c r="O5348">
        <v>2764.997814479997</v>
      </c>
      <c r="P5348">
        <v>23876709</v>
      </c>
    </row>
    <row r="5349" spans="1:16" x14ac:dyDescent="0.25">
      <c r="A5349" s="10">
        <v>45575</v>
      </c>
      <c r="B5349" s="3">
        <v>1087447</v>
      </c>
      <c r="C5349" s="3">
        <v>117203.36</v>
      </c>
      <c r="D5349" s="3">
        <v>0</v>
      </c>
      <c r="E5349" s="3">
        <v>0</v>
      </c>
      <c r="F5349" s="3">
        <v>0</v>
      </c>
      <c r="G5349" s="3">
        <v>-315.37783166952431</v>
      </c>
      <c r="H5349" s="3">
        <v>370072.83828600001</v>
      </c>
      <c r="I5349" s="3">
        <v>0</v>
      </c>
      <c r="J5349" s="3">
        <v>0</v>
      </c>
      <c r="K5349" s="3">
        <v>-19.816688840000001</v>
      </c>
      <c r="L5349" s="3">
        <v>0</v>
      </c>
      <c r="M5349" s="3">
        <v>0</v>
      </c>
      <c r="N5349" s="3">
        <v>601793.44998676004</v>
      </c>
      <c r="O5349">
        <v>-1287.4537522504111</v>
      </c>
      <c r="P5349">
        <v>24964156</v>
      </c>
    </row>
    <row r="5350" spans="1:16" x14ac:dyDescent="0.25">
      <c r="A5350" s="10">
        <v>45579</v>
      </c>
      <c r="B5350" s="3">
        <v>-1418648</v>
      </c>
      <c r="C5350" s="3">
        <v>68530</v>
      </c>
      <c r="D5350" s="3">
        <v>0</v>
      </c>
      <c r="E5350" s="3">
        <v>0</v>
      </c>
      <c r="F5350" s="3">
        <v>0</v>
      </c>
      <c r="G5350" s="3">
        <v>-836479.79949028045</v>
      </c>
      <c r="H5350" s="3">
        <v>140752.654664</v>
      </c>
      <c r="I5350" s="3">
        <v>0</v>
      </c>
      <c r="J5350" s="3">
        <v>0</v>
      </c>
      <c r="K5350" s="3">
        <v>-1867.4724827099999</v>
      </c>
      <c r="L5350" s="3">
        <v>0</v>
      </c>
      <c r="M5350" s="3">
        <v>0</v>
      </c>
      <c r="N5350" s="3">
        <v>-777475.82288032991</v>
      </c>
      <c r="O5350">
        <v>-12107.559810679641</v>
      </c>
      <c r="P5350">
        <v>23545508</v>
      </c>
    </row>
    <row r="5351" spans="1:16" x14ac:dyDescent="0.25">
      <c r="A5351" s="10">
        <v>45580</v>
      </c>
      <c r="B5351" s="3">
        <v>-801645</v>
      </c>
      <c r="C5351" s="3">
        <v>0</v>
      </c>
      <c r="D5351" s="3">
        <v>-560000</v>
      </c>
      <c r="E5351" s="3">
        <v>0</v>
      </c>
      <c r="F5351" s="3">
        <v>0</v>
      </c>
      <c r="G5351" s="3">
        <v>559498.24830148928</v>
      </c>
      <c r="H5351" s="3">
        <v>-268186.47820000001</v>
      </c>
      <c r="I5351" s="3">
        <v>0</v>
      </c>
      <c r="J5351" s="3">
        <v>0</v>
      </c>
      <c r="K5351" s="3">
        <v>-648.027736</v>
      </c>
      <c r="L5351" s="3">
        <v>0</v>
      </c>
      <c r="M5351" s="3">
        <v>0</v>
      </c>
      <c r="N5351" s="3">
        <v>-545260.83831748995</v>
      </c>
      <c r="O5351">
        <v>12952.0959520007</v>
      </c>
      <c r="P5351">
        <v>22743863</v>
      </c>
    </row>
    <row r="5352" spans="1:16" x14ac:dyDescent="0.25">
      <c r="A5352" s="10">
        <v>45581</v>
      </c>
      <c r="B5352" s="3">
        <v>-99031</v>
      </c>
      <c r="C5352" s="3">
        <v>10872.5</v>
      </c>
      <c r="D5352" s="3">
        <v>0</v>
      </c>
      <c r="E5352" s="3">
        <v>0</v>
      </c>
      <c r="F5352" s="3">
        <v>0</v>
      </c>
      <c r="G5352" s="3">
        <v>-274.73069489</v>
      </c>
      <c r="H5352" s="3">
        <v>116407.43833</v>
      </c>
      <c r="I5352" s="3">
        <v>0</v>
      </c>
      <c r="J5352" s="3">
        <v>0</v>
      </c>
      <c r="K5352" s="3">
        <v>-320.73709166999998</v>
      </c>
      <c r="L5352" s="3">
        <v>0</v>
      </c>
      <c r="M5352" s="3">
        <v>0</v>
      </c>
      <c r="N5352" s="3">
        <v>-252810.86881315001</v>
      </c>
      <c r="O5352">
        <v>27095.39826971</v>
      </c>
      <c r="P5352">
        <v>22644832</v>
      </c>
    </row>
    <row r="5353" spans="1:16" x14ac:dyDescent="0.25">
      <c r="A5353" s="10">
        <v>45582</v>
      </c>
      <c r="B5353" s="3">
        <v>31980</v>
      </c>
      <c r="C5353" s="3">
        <v>12976.844999999999</v>
      </c>
      <c r="D5353" s="3">
        <v>0</v>
      </c>
      <c r="E5353" s="3">
        <v>0</v>
      </c>
      <c r="F5353" s="3">
        <v>0</v>
      </c>
      <c r="G5353" s="3">
        <v>7603.5772291403264</v>
      </c>
      <c r="H5353" s="3">
        <v>-320894.070228</v>
      </c>
      <c r="I5353" s="3">
        <v>0</v>
      </c>
      <c r="J5353" s="3">
        <v>0</v>
      </c>
      <c r="K5353" s="3">
        <v>-464.63823143000002</v>
      </c>
      <c r="L5353" s="3">
        <v>0</v>
      </c>
      <c r="M5353" s="3">
        <v>0</v>
      </c>
      <c r="N5353" s="3">
        <v>328406.02049089997</v>
      </c>
      <c r="O5353">
        <v>4352.2657393896952</v>
      </c>
      <c r="P5353">
        <v>22676812</v>
      </c>
    </row>
    <row r="5354" spans="1:16" x14ac:dyDescent="0.25">
      <c r="A5354" s="10">
        <v>45583</v>
      </c>
      <c r="B5354" s="3">
        <v>-153911</v>
      </c>
      <c r="C5354" s="3">
        <v>113166.95</v>
      </c>
      <c r="D5354" s="3">
        <v>0</v>
      </c>
      <c r="E5354" s="3">
        <v>0</v>
      </c>
      <c r="F5354" s="3">
        <v>0</v>
      </c>
      <c r="G5354" s="3">
        <v>-266.07379954999999</v>
      </c>
      <c r="H5354" s="3">
        <v>10404.331348</v>
      </c>
      <c r="I5354" s="3">
        <v>0</v>
      </c>
      <c r="J5354" s="3">
        <v>0</v>
      </c>
      <c r="K5354" s="3">
        <v>-48.77712975</v>
      </c>
      <c r="L5354" s="3">
        <v>0</v>
      </c>
      <c r="M5354" s="3">
        <v>0</v>
      </c>
      <c r="N5354" s="3">
        <v>-283834.20569497999</v>
      </c>
      <c r="O5354">
        <v>6666.7752762800083</v>
      </c>
      <c r="P5354">
        <v>22522901</v>
      </c>
    </row>
    <row r="5355" spans="1:16" x14ac:dyDescent="0.25">
      <c r="A5355" s="10">
        <v>45586</v>
      </c>
      <c r="B5355" s="3">
        <v>183914</v>
      </c>
      <c r="C5355" s="3">
        <v>491.75</v>
      </c>
      <c r="D5355" s="3">
        <v>0</v>
      </c>
      <c r="E5355" s="3">
        <v>0</v>
      </c>
      <c r="F5355" s="3">
        <v>0</v>
      </c>
      <c r="G5355" s="3">
        <v>3383.6835292199999</v>
      </c>
      <c r="H5355" s="3">
        <v>110891.4684515</v>
      </c>
      <c r="I5355" s="3">
        <v>0</v>
      </c>
      <c r="J5355" s="3">
        <v>0</v>
      </c>
      <c r="K5355" s="3">
        <v>-205.98210925999999</v>
      </c>
      <c r="L5355" s="3">
        <v>0</v>
      </c>
      <c r="M5355" s="3">
        <v>0</v>
      </c>
      <c r="N5355" s="3">
        <v>95751.455108960014</v>
      </c>
      <c r="O5355">
        <v>-26398.374980419991</v>
      </c>
      <c r="P5355">
        <v>22706815</v>
      </c>
    </row>
    <row r="5356" spans="1:16" x14ac:dyDescent="0.25">
      <c r="A5356" s="10">
        <v>45587</v>
      </c>
      <c r="B5356" s="3">
        <v>207359</v>
      </c>
      <c r="C5356" s="3">
        <v>22734.03</v>
      </c>
      <c r="D5356" s="3">
        <v>0</v>
      </c>
      <c r="E5356" s="3">
        <v>0</v>
      </c>
      <c r="F5356" s="3">
        <v>0</v>
      </c>
      <c r="G5356" s="3">
        <v>-211.45676076999999</v>
      </c>
      <c r="H5356" s="3">
        <v>30140.74384850002</v>
      </c>
      <c r="I5356" s="3">
        <v>0</v>
      </c>
      <c r="J5356" s="3">
        <v>0</v>
      </c>
      <c r="K5356" s="3">
        <v>-182.79577995</v>
      </c>
      <c r="L5356" s="3">
        <v>0</v>
      </c>
      <c r="M5356" s="3">
        <v>0</v>
      </c>
      <c r="N5356" s="3">
        <v>146479.01990695001</v>
      </c>
      <c r="O5356">
        <v>8399.4587852699915</v>
      </c>
      <c r="P5356">
        <v>22914174</v>
      </c>
    </row>
    <row r="5357" spans="1:16" x14ac:dyDescent="0.25">
      <c r="A5357" s="10">
        <v>45588</v>
      </c>
      <c r="B5357" s="3">
        <v>-139143</v>
      </c>
      <c r="C5357" s="3">
        <v>170810.75</v>
      </c>
      <c r="D5357" s="3">
        <v>0</v>
      </c>
      <c r="E5357" s="3">
        <v>0</v>
      </c>
      <c r="F5357" s="3">
        <v>0</v>
      </c>
      <c r="G5357" s="3">
        <v>157.33801886000001</v>
      </c>
      <c r="H5357" s="3">
        <v>99959.779499999975</v>
      </c>
      <c r="I5357" s="3">
        <v>0</v>
      </c>
      <c r="J5357" s="3">
        <v>0</v>
      </c>
      <c r="K5357" s="3">
        <v>-223.99424633000001</v>
      </c>
      <c r="L5357" s="3">
        <v>0</v>
      </c>
      <c r="M5357" s="3">
        <v>0</v>
      </c>
      <c r="N5357" s="3">
        <v>-414287.53086375998</v>
      </c>
      <c r="O5357">
        <v>4440.6575912300032</v>
      </c>
      <c r="P5357">
        <v>22775031</v>
      </c>
    </row>
    <row r="5358" spans="1:16" x14ac:dyDescent="0.25">
      <c r="A5358" s="10">
        <v>45589</v>
      </c>
      <c r="B5358" s="3">
        <v>-267340</v>
      </c>
      <c r="C5358" s="3">
        <v>39420</v>
      </c>
      <c r="D5358" s="3">
        <v>0</v>
      </c>
      <c r="E5358" s="3">
        <v>0</v>
      </c>
      <c r="F5358" s="3">
        <v>0</v>
      </c>
      <c r="G5358" s="3">
        <v>-512.14552530999993</v>
      </c>
      <c r="H5358" s="3">
        <v>-96460.259099999996</v>
      </c>
      <c r="I5358" s="3">
        <v>0</v>
      </c>
      <c r="J5358" s="3">
        <v>0</v>
      </c>
      <c r="K5358" s="3">
        <v>-347.10462618000003</v>
      </c>
      <c r="L5358" s="3">
        <v>0</v>
      </c>
      <c r="M5358" s="3">
        <v>0</v>
      </c>
      <c r="N5358" s="3">
        <v>-192149.48327279001</v>
      </c>
      <c r="O5358">
        <v>-17291.007475719991</v>
      </c>
      <c r="P5358">
        <v>22507691</v>
      </c>
    </row>
    <row r="5359" spans="1:16" x14ac:dyDescent="0.25">
      <c r="A5359" s="10">
        <v>45590</v>
      </c>
      <c r="B5359" s="3">
        <v>178199</v>
      </c>
      <c r="C5359" s="3">
        <v>54525.8</v>
      </c>
      <c r="D5359" s="3">
        <v>0</v>
      </c>
      <c r="E5359" s="3">
        <v>0</v>
      </c>
      <c r="F5359" s="3">
        <v>0</v>
      </c>
      <c r="G5359" s="3">
        <v>112.80071479</v>
      </c>
      <c r="H5359" s="3">
        <v>-138861.77815</v>
      </c>
      <c r="I5359" s="3">
        <v>0</v>
      </c>
      <c r="J5359" s="3">
        <v>0</v>
      </c>
      <c r="K5359" s="3">
        <v>-208.53842381000001</v>
      </c>
      <c r="L5359" s="3">
        <v>0</v>
      </c>
      <c r="M5359" s="3">
        <v>0</v>
      </c>
      <c r="N5359" s="3">
        <v>256216.1945519</v>
      </c>
      <c r="O5359">
        <v>6414.5213071199541</v>
      </c>
      <c r="P5359">
        <v>22685890</v>
      </c>
    </row>
    <row r="5360" spans="1:16" x14ac:dyDescent="0.25">
      <c r="A5360" s="10">
        <v>45593</v>
      </c>
      <c r="B5360" s="3">
        <v>-483545</v>
      </c>
      <c r="C5360" s="3">
        <v>36358.400000000001</v>
      </c>
      <c r="D5360" s="3">
        <v>0</v>
      </c>
      <c r="E5360" s="3">
        <v>0</v>
      </c>
      <c r="F5360" s="3">
        <v>0</v>
      </c>
      <c r="G5360" s="3">
        <v>30225.082606690001</v>
      </c>
      <c r="H5360" s="3">
        <v>-54754.511000000013</v>
      </c>
      <c r="I5360" s="3">
        <v>0</v>
      </c>
      <c r="J5360" s="3">
        <v>0</v>
      </c>
      <c r="K5360" s="3">
        <v>-353.14665980000001</v>
      </c>
      <c r="L5360" s="3">
        <v>0</v>
      </c>
      <c r="M5360" s="3">
        <v>0</v>
      </c>
      <c r="N5360" s="3">
        <v>-512282.47787419998</v>
      </c>
      <c r="O5360">
        <v>17261.652927310031</v>
      </c>
      <c r="P5360">
        <v>22202345</v>
      </c>
    </row>
    <row r="5361" spans="1:16" x14ac:dyDescent="0.25">
      <c r="A5361" s="10">
        <v>45594</v>
      </c>
      <c r="B5361" s="3">
        <v>-51409</v>
      </c>
      <c r="C5361" s="3">
        <v>69537.100000000006</v>
      </c>
      <c r="D5361" s="3">
        <v>0</v>
      </c>
      <c r="E5361" s="3">
        <v>0</v>
      </c>
      <c r="F5361" s="3">
        <v>0</v>
      </c>
      <c r="G5361" s="3">
        <v>-266.64912649965208</v>
      </c>
      <c r="H5361" s="3">
        <v>90635.47</v>
      </c>
      <c r="I5361" s="3">
        <v>0</v>
      </c>
      <c r="J5361" s="3">
        <v>0</v>
      </c>
      <c r="K5361" s="3">
        <v>-16.810132200000002</v>
      </c>
      <c r="L5361" s="3">
        <v>0</v>
      </c>
      <c r="M5361" s="3">
        <v>0</v>
      </c>
      <c r="N5361" s="3">
        <v>-260006.76905743001</v>
      </c>
      <c r="O5361">
        <v>48708.658316129637</v>
      </c>
      <c r="P5361">
        <v>22150936</v>
      </c>
    </row>
    <row r="5362" spans="1:16" x14ac:dyDescent="0.25">
      <c r="A5362" s="10">
        <v>45595</v>
      </c>
      <c r="B5362" s="3">
        <v>350071</v>
      </c>
      <c r="C5362" s="3">
        <v>190382.5</v>
      </c>
      <c r="D5362" s="3">
        <v>0</v>
      </c>
      <c r="E5362" s="3">
        <v>0</v>
      </c>
      <c r="F5362" s="3">
        <v>0</v>
      </c>
      <c r="G5362" s="3">
        <v>-306.69435117952531</v>
      </c>
      <c r="H5362" s="3">
        <v>-21129.920000000009</v>
      </c>
      <c r="I5362" s="3">
        <v>0</v>
      </c>
      <c r="J5362" s="3">
        <v>0</v>
      </c>
      <c r="K5362" s="3">
        <v>-132.37851266999999</v>
      </c>
      <c r="L5362" s="3">
        <v>0</v>
      </c>
      <c r="M5362" s="3">
        <v>0</v>
      </c>
      <c r="N5362" s="3">
        <v>153011.66521946</v>
      </c>
      <c r="O5362">
        <v>28245.82764438953</v>
      </c>
      <c r="P5362">
        <v>22501007</v>
      </c>
    </row>
    <row r="5363" spans="1:16" x14ac:dyDescent="0.25">
      <c r="A5363" s="10">
        <v>45596</v>
      </c>
      <c r="B5363" s="3">
        <v>214293</v>
      </c>
      <c r="C5363" s="3">
        <v>156222</v>
      </c>
      <c r="D5363" s="3">
        <v>-560000</v>
      </c>
      <c r="E5363" s="3">
        <v>0</v>
      </c>
      <c r="F5363" s="3">
        <v>0</v>
      </c>
      <c r="G5363" s="3">
        <v>1223825.763270041</v>
      </c>
      <c r="H5363" s="3">
        <v>-28903.742999999991</v>
      </c>
      <c r="I5363" s="3">
        <v>0</v>
      </c>
      <c r="J5363" s="3">
        <v>0</v>
      </c>
      <c r="K5363" s="3">
        <v>-106.50074487000001</v>
      </c>
      <c r="L5363" s="3">
        <v>0</v>
      </c>
      <c r="M5363" s="3">
        <v>0</v>
      </c>
      <c r="N5363" s="3">
        <v>-593053.42118342</v>
      </c>
      <c r="O5363">
        <v>16308.901658249089</v>
      </c>
      <c r="P5363">
        <v>22715300</v>
      </c>
    </row>
    <row r="5364" spans="1:16" x14ac:dyDescent="0.25">
      <c r="A5364" s="10">
        <v>45597</v>
      </c>
      <c r="B5364" s="3">
        <v>2631833</v>
      </c>
      <c r="C5364" s="3">
        <v>18321.25</v>
      </c>
      <c r="D5364" s="3">
        <v>0</v>
      </c>
      <c r="E5364" s="3">
        <v>0</v>
      </c>
      <c r="F5364" s="3">
        <v>0</v>
      </c>
      <c r="G5364" s="3">
        <v>46.027336169999977</v>
      </c>
      <c r="H5364" s="3">
        <v>-10449.508</v>
      </c>
      <c r="I5364" s="3">
        <v>0</v>
      </c>
      <c r="J5364" s="3">
        <v>0</v>
      </c>
      <c r="K5364" s="3">
        <v>-50.91565069</v>
      </c>
      <c r="L5364" s="3">
        <v>0</v>
      </c>
      <c r="M5364" s="3">
        <v>0</v>
      </c>
      <c r="N5364" s="3">
        <v>2543457.7819759198</v>
      </c>
      <c r="O5364">
        <v>80508.364338600077</v>
      </c>
      <c r="P5364">
        <v>25347133</v>
      </c>
    </row>
    <row r="5365" spans="1:16" x14ac:dyDescent="0.25">
      <c r="A5365" s="10">
        <v>45600</v>
      </c>
      <c r="B5365" s="3">
        <v>712993</v>
      </c>
      <c r="C5365" s="3">
        <v>51513.925000000003</v>
      </c>
      <c r="D5365" s="3">
        <v>0</v>
      </c>
      <c r="E5365" s="3">
        <v>0</v>
      </c>
      <c r="F5365" s="3">
        <v>0</v>
      </c>
      <c r="G5365" s="3">
        <v>-121.89224918000041</v>
      </c>
      <c r="H5365" s="3">
        <v>-27205.8272</v>
      </c>
      <c r="I5365" s="3">
        <v>0</v>
      </c>
      <c r="J5365" s="3">
        <v>0</v>
      </c>
      <c r="K5365" s="3">
        <v>-118.84909019</v>
      </c>
      <c r="L5365" s="3">
        <v>0</v>
      </c>
      <c r="M5365" s="3">
        <v>0</v>
      </c>
      <c r="N5365" s="3">
        <v>689372.71345760999</v>
      </c>
      <c r="O5365">
        <v>-447.06991823995492</v>
      </c>
      <c r="P5365">
        <v>26060126</v>
      </c>
    </row>
    <row r="5366" spans="1:16" x14ac:dyDescent="0.25">
      <c r="A5366" s="10">
        <v>45601</v>
      </c>
      <c r="B5366" s="3">
        <v>100768</v>
      </c>
      <c r="C5366" s="3">
        <v>29561.61</v>
      </c>
      <c r="D5366" s="3">
        <v>0</v>
      </c>
      <c r="E5366" s="3">
        <v>0</v>
      </c>
      <c r="F5366" s="3">
        <v>0</v>
      </c>
      <c r="G5366" s="3">
        <v>-214.72118261</v>
      </c>
      <c r="H5366" s="3">
        <v>90.299999999999272</v>
      </c>
      <c r="I5366" s="3">
        <v>0</v>
      </c>
      <c r="J5366" s="3">
        <v>0</v>
      </c>
      <c r="K5366" s="3">
        <v>-16.084417810000001</v>
      </c>
      <c r="L5366" s="3">
        <v>0</v>
      </c>
      <c r="M5366" s="3">
        <v>0</v>
      </c>
      <c r="N5366" s="3">
        <v>59719.764025620003</v>
      </c>
      <c r="O5366">
        <v>11627.131574800011</v>
      </c>
      <c r="P5366">
        <v>26160894</v>
      </c>
    </row>
    <row r="5367" spans="1:16" x14ac:dyDescent="0.25">
      <c r="A5367" s="10">
        <v>45603</v>
      </c>
      <c r="B5367" s="3">
        <v>-57693</v>
      </c>
      <c r="C5367" s="3">
        <v>70609.5</v>
      </c>
      <c r="D5367" s="3">
        <v>0</v>
      </c>
      <c r="E5367" s="3">
        <v>0</v>
      </c>
      <c r="F5367" s="3">
        <v>0</v>
      </c>
      <c r="G5367" s="3">
        <v>-168.6367447394878</v>
      </c>
      <c r="H5367" s="3">
        <v>102184.3383</v>
      </c>
      <c r="I5367" s="3">
        <v>0</v>
      </c>
      <c r="J5367" s="3">
        <v>0</v>
      </c>
      <c r="K5367" s="3">
        <v>-44.281832680000001</v>
      </c>
      <c r="L5367" s="3">
        <v>0</v>
      </c>
      <c r="M5367" s="3">
        <v>0</v>
      </c>
      <c r="N5367" s="3">
        <v>-292738.06978833</v>
      </c>
      <c r="O5367">
        <v>62464.150065749483</v>
      </c>
      <c r="P5367">
        <v>26103201</v>
      </c>
    </row>
    <row r="5368" spans="1:16" x14ac:dyDescent="0.25">
      <c r="A5368" s="10">
        <v>45604</v>
      </c>
      <c r="B5368" s="3">
        <v>-326496</v>
      </c>
      <c r="C5368" s="3">
        <v>192850.9</v>
      </c>
      <c r="D5368" s="3">
        <v>0</v>
      </c>
      <c r="E5368" s="3">
        <v>0</v>
      </c>
      <c r="F5368" s="3">
        <v>0</v>
      </c>
      <c r="G5368" s="3">
        <v>-338.95584752000002</v>
      </c>
      <c r="H5368" s="3">
        <v>42947.515220000023</v>
      </c>
      <c r="I5368" s="3">
        <v>0</v>
      </c>
      <c r="J5368" s="3">
        <v>0</v>
      </c>
      <c r="K5368" s="3">
        <v>-122.79112987000001</v>
      </c>
      <c r="L5368" s="3">
        <v>0</v>
      </c>
      <c r="M5368" s="3">
        <v>0</v>
      </c>
      <c r="N5368" s="3">
        <v>-559867.06492816005</v>
      </c>
      <c r="O5368">
        <v>-1965.603314449952</v>
      </c>
      <c r="P5368">
        <v>25776705</v>
      </c>
    </row>
    <row r="5369" spans="1:16" x14ac:dyDescent="0.25">
      <c r="A5369" s="10">
        <v>45607</v>
      </c>
      <c r="B5369" s="3">
        <v>73002</v>
      </c>
      <c r="C5369" s="3">
        <v>128812.4</v>
      </c>
      <c r="D5369" s="3">
        <v>0</v>
      </c>
      <c r="E5369" s="3">
        <v>0</v>
      </c>
      <c r="F5369" s="3">
        <v>0</v>
      </c>
      <c r="G5369" s="3">
        <v>1378480.3516602479</v>
      </c>
      <c r="H5369" s="3">
        <v>-94740.588800000012</v>
      </c>
      <c r="I5369" s="3">
        <v>0</v>
      </c>
      <c r="J5369" s="3">
        <v>0</v>
      </c>
      <c r="K5369" s="3">
        <v>-514.31665446</v>
      </c>
      <c r="L5369" s="3">
        <v>0</v>
      </c>
      <c r="M5369" s="3">
        <v>0</v>
      </c>
      <c r="N5369" s="3">
        <v>-1284211.2970698399</v>
      </c>
      <c r="O5369">
        <v>-54824.5491359476</v>
      </c>
      <c r="P5369">
        <v>25849707</v>
      </c>
    </row>
    <row r="5370" spans="1:16" x14ac:dyDescent="0.25">
      <c r="A5370" s="10">
        <v>45608</v>
      </c>
      <c r="B5370" s="3">
        <v>-671286</v>
      </c>
      <c r="C5370" s="3">
        <v>-484.57499999999999</v>
      </c>
      <c r="D5370" s="3">
        <v>0</v>
      </c>
      <c r="E5370" s="3">
        <v>0</v>
      </c>
      <c r="F5370" s="3">
        <v>0</v>
      </c>
      <c r="G5370" s="3">
        <v>-1.4041857499996691</v>
      </c>
      <c r="H5370" s="3">
        <v>-43906.5625</v>
      </c>
      <c r="I5370" s="3">
        <v>0</v>
      </c>
      <c r="J5370" s="3">
        <v>0</v>
      </c>
      <c r="K5370" s="3">
        <v>-72.408931499999994</v>
      </c>
      <c r="L5370" s="3">
        <v>0</v>
      </c>
      <c r="M5370" s="3">
        <v>0</v>
      </c>
      <c r="N5370" s="3">
        <v>-630352.26238606998</v>
      </c>
      <c r="O5370">
        <v>3531.213003319921</v>
      </c>
      <c r="P5370">
        <v>25178421</v>
      </c>
    </row>
    <row r="5371" spans="1:16" x14ac:dyDescent="0.25">
      <c r="A5371" s="10">
        <v>45609</v>
      </c>
      <c r="B5371" s="3">
        <v>-13894</v>
      </c>
      <c r="C5371" s="3">
        <v>82376.25</v>
      </c>
      <c r="D5371" s="3">
        <v>0</v>
      </c>
      <c r="E5371" s="3">
        <v>0</v>
      </c>
      <c r="F5371" s="3">
        <v>0</v>
      </c>
      <c r="G5371" s="3">
        <v>-468.05605880000002</v>
      </c>
      <c r="H5371" s="3">
        <v>42586.3056</v>
      </c>
      <c r="I5371" s="3">
        <v>0</v>
      </c>
      <c r="J5371" s="3">
        <v>0</v>
      </c>
      <c r="K5371" s="3">
        <v>-2.2093150700000002</v>
      </c>
      <c r="L5371" s="3">
        <v>0</v>
      </c>
      <c r="M5371" s="3">
        <v>0</v>
      </c>
      <c r="N5371" s="3">
        <v>-197980.08283272001</v>
      </c>
      <c r="O5371">
        <v>59593.79260659001</v>
      </c>
      <c r="P5371">
        <v>25164527</v>
      </c>
    </row>
    <row r="5372" spans="1:16" x14ac:dyDescent="0.25">
      <c r="A5372" s="10">
        <v>45610</v>
      </c>
      <c r="B5372" s="3">
        <v>-111477</v>
      </c>
      <c r="C5372" s="3">
        <v>244705.05</v>
      </c>
      <c r="D5372" s="3">
        <v>0</v>
      </c>
      <c r="E5372" s="3">
        <v>0</v>
      </c>
      <c r="F5372" s="3">
        <v>0</v>
      </c>
      <c r="G5372" s="3">
        <v>-7546.5275735400019</v>
      </c>
      <c r="H5372" s="3">
        <v>-42288.04105</v>
      </c>
      <c r="I5372" s="3">
        <v>0</v>
      </c>
      <c r="J5372" s="3">
        <v>0</v>
      </c>
      <c r="K5372" s="3">
        <v>-66.513932170000004</v>
      </c>
      <c r="L5372" s="3">
        <v>0</v>
      </c>
      <c r="M5372" s="3">
        <v>0</v>
      </c>
      <c r="N5372" s="3">
        <v>-325273.51929935999</v>
      </c>
      <c r="O5372">
        <v>18992.551855069989</v>
      </c>
      <c r="P5372">
        <v>25053050</v>
      </c>
    </row>
    <row r="5373" spans="1:16" x14ac:dyDescent="0.25">
      <c r="A5373" s="10">
        <v>45611</v>
      </c>
      <c r="B5373" s="3">
        <v>-157578</v>
      </c>
      <c r="C5373" s="3">
        <v>133153.39000000001</v>
      </c>
      <c r="D5373" s="3">
        <v>0</v>
      </c>
      <c r="E5373" s="3">
        <v>0</v>
      </c>
      <c r="F5373" s="3">
        <v>0</v>
      </c>
      <c r="G5373" s="3">
        <v>7157.9465826500091</v>
      </c>
      <c r="H5373" s="3">
        <v>53385.311029999997</v>
      </c>
      <c r="I5373" s="3">
        <v>0</v>
      </c>
      <c r="J5373" s="3">
        <v>0</v>
      </c>
      <c r="K5373" s="3">
        <v>-28.01391155</v>
      </c>
      <c r="L5373" s="3">
        <v>0</v>
      </c>
      <c r="M5373" s="3">
        <v>0</v>
      </c>
      <c r="N5373" s="3">
        <v>-409305.76294301997</v>
      </c>
      <c r="O5373">
        <v>58059.129241920018</v>
      </c>
      <c r="P5373">
        <v>24895472</v>
      </c>
    </row>
    <row r="5374" spans="1:16" x14ac:dyDescent="0.25">
      <c r="A5374" s="10">
        <v>45615</v>
      </c>
      <c r="B5374" s="3">
        <v>-951593</v>
      </c>
      <c r="C5374" s="3">
        <v>149332.4</v>
      </c>
      <c r="D5374" s="3">
        <v>0</v>
      </c>
      <c r="E5374" s="3">
        <v>0</v>
      </c>
      <c r="F5374" s="3">
        <v>0</v>
      </c>
      <c r="G5374" s="3">
        <v>814871.83895774989</v>
      </c>
      <c r="H5374" s="3">
        <v>-12438.41579999</v>
      </c>
      <c r="I5374" s="3">
        <v>0</v>
      </c>
      <c r="J5374" s="3">
        <v>0</v>
      </c>
      <c r="K5374" s="3">
        <v>-327.38193853000001</v>
      </c>
      <c r="L5374" s="3">
        <v>0</v>
      </c>
      <c r="M5374" s="3">
        <v>0</v>
      </c>
      <c r="N5374" s="3">
        <v>-1982908.5387732901</v>
      </c>
      <c r="O5374">
        <v>79877.097554060165</v>
      </c>
      <c r="P5374">
        <v>23943879</v>
      </c>
    </row>
    <row r="5375" spans="1:16" x14ac:dyDescent="0.25">
      <c r="A5375" s="10">
        <v>45616</v>
      </c>
      <c r="B5375" s="3">
        <v>39253</v>
      </c>
      <c r="C5375" s="3">
        <v>134416.70000000001</v>
      </c>
      <c r="D5375" s="3">
        <v>0</v>
      </c>
      <c r="E5375" s="3">
        <v>0</v>
      </c>
      <c r="F5375" s="3">
        <v>0</v>
      </c>
      <c r="G5375" s="3">
        <v>6150.0556006400002</v>
      </c>
      <c r="H5375" s="3">
        <v>-48697.513959999997</v>
      </c>
      <c r="I5375" s="3">
        <v>0</v>
      </c>
      <c r="J5375" s="3">
        <v>0</v>
      </c>
      <c r="K5375" s="3">
        <v>-71.079311450000006</v>
      </c>
      <c r="L5375" s="3">
        <v>0</v>
      </c>
      <c r="M5375" s="3">
        <v>0</v>
      </c>
      <c r="N5375" s="3">
        <v>-62745.545813089993</v>
      </c>
      <c r="O5375">
        <v>10200.383483899979</v>
      </c>
      <c r="P5375">
        <v>23983132</v>
      </c>
    </row>
    <row r="5376" spans="1:16" x14ac:dyDescent="0.25">
      <c r="A5376" s="10">
        <v>45617</v>
      </c>
      <c r="B5376" s="3">
        <v>-158926</v>
      </c>
      <c r="C5376" s="3">
        <v>51007.49</v>
      </c>
      <c r="D5376" s="3">
        <v>0</v>
      </c>
      <c r="E5376" s="3">
        <v>0</v>
      </c>
      <c r="F5376" s="3">
        <v>0</v>
      </c>
      <c r="G5376" s="3">
        <v>-887.76321522000001</v>
      </c>
      <c r="H5376" s="3">
        <v>51423.821500000013</v>
      </c>
      <c r="I5376" s="3">
        <v>0</v>
      </c>
      <c r="J5376" s="3">
        <v>0</v>
      </c>
      <c r="K5376" s="3">
        <v>-19.9859589</v>
      </c>
      <c r="L5376" s="3">
        <v>0</v>
      </c>
      <c r="M5376" s="3">
        <v>0</v>
      </c>
      <c r="N5376" s="3">
        <v>-266953.13698302</v>
      </c>
      <c r="O5376">
        <v>6503.5746571400086</v>
      </c>
      <c r="P5376">
        <v>23824206</v>
      </c>
    </row>
    <row r="5377" spans="1:16" x14ac:dyDescent="0.25">
      <c r="A5377" s="10">
        <v>45618</v>
      </c>
      <c r="B5377" s="3">
        <v>222251</v>
      </c>
      <c r="C5377" s="3">
        <v>15067.5</v>
      </c>
      <c r="D5377" s="3">
        <v>0</v>
      </c>
      <c r="E5377" s="3">
        <v>0</v>
      </c>
      <c r="F5377" s="3">
        <v>0</v>
      </c>
      <c r="G5377" s="3">
        <v>509.77037542000011</v>
      </c>
      <c r="H5377" s="3">
        <v>55834.836000000003</v>
      </c>
      <c r="I5377" s="3">
        <v>0</v>
      </c>
      <c r="J5377" s="3">
        <v>0</v>
      </c>
      <c r="K5377" s="3">
        <v>-74.044679450000004</v>
      </c>
      <c r="L5377" s="3">
        <v>0</v>
      </c>
      <c r="M5377" s="3">
        <v>0</v>
      </c>
      <c r="N5377" s="3">
        <v>158508.43324024999</v>
      </c>
      <c r="O5377">
        <v>-7595.4949362199986</v>
      </c>
      <c r="P5377">
        <v>24046457</v>
      </c>
    </row>
    <row r="5378" spans="1:16" x14ac:dyDescent="0.25">
      <c r="A5378" s="10">
        <v>45621</v>
      </c>
      <c r="B5378" s="3">
        <v>-715570</v>
      </c>
      <c r="C5378" s="3">
        <v>6642.9</v>
      </c>
      <c r="D5378" s="3">
        <v>-2832931</v>
      </c>
      <c r="E5378" s="3">
        <v>0</v>
      </c>
      <c r="F5378" s="3">
        <v>0</v>
      </c>
      <c r="G5378" s="3">
        <v>2995728.9662755099</v>
      </c>
      <c r="H5378" s="3">
        <v>81802.934999999998</v>
      </c>
      <c r="I5378" s="3">
        <v>0</v>
      </c>
      <c r="J5378" s="3">
        <v>0</v>
      </c>
      <c r="K5378" s="3">
        <v>-345.38541370000002</v>
      </c>
      <c r="L5378" s="3">
        <v>0</v>
      </c>
      <c r="M5378" s="3">
        <v>0</v>
      </c>
      <c r="N5378" s="3">
        <v>-972776.11133224994</v>
      </c>
      <c r="O5378">
        <v>6307.695470440085</v>
      </c>
      <c r="P5378">
        <v>23330887</v>
      </c>
    </row>
    <row r="5379" spans="1:16" x14ac:dyDescent="0.25">
      <c r="A5379" s="10">
        <v>45622</v>
      </c>
      <c r="B5379" s="3">
        <v>-12893</v>
      </c>
      <c r="C5379" s="3">
        <v>57918.275000000001</v>
      </c>
      <c r="D5379" s="3">
        <v>0</v>
      </c>
      <c r="E5379" s="3">
        <v>0</v>
      </c>
      <c r="F5379" s="3">
        <v>0</v>
      </c>
      <c r="G5379" s="3">
        <v>-245.1400405499999</v>
      </c>
      <c r="H5379" s="3">
        <v>-57270.5337</v>
      </c>
      <c r="I5379" s="3">
        <v>0</v>
      </c>
      <c r="J5379" s="3">
        <v>0</v>
      </c>
      <c r="K5379" s="3">
        <v>-226.46976986000001</v>
      </c>
      <c r="L5379" s="3">
        <v>0</v>
      </c>
      <c r="M5379" s="3">
        <v>0</v>
      </c>
      <c r="N5379" s="3">
        <v>-23016.19521193</v>
      </c>
      <c r="O5379">
        <v>9947.0637223400008</v>
      </c>
      <c r="P5379">
        <v>23317994</v>
      </c>
    </row>
    <row r="5380" spans="1:16" x14ac:dyDescent="0.25">
      <c r="A5380" s="10">
        <v>45623</v>
      </c>
      <c r="B5380" s="3">
        <v>51580</v>
      </c>
      <c r="C5380" s="3">
        <v>22165</v>
      </c>
      <c r="D5380" s="3">
        <v>0</v>
      </c>
      <c r="E5380" s="3">
        <v>0</v>
      </c>
      <c r="F5380" s="3">
        <v>0</v>
      </c>
      <c r="G5380" s="3">
        <v>-371.38229307997972</v>
      </c>
      <c r="H5380" s="3">
        <v>-10074.57820799</v>
      </c>
      <c r="I5380" s="3">
        <v>0</v>
      </c>
      <c r="J5380" s="3">
        <v>0</v>
      </c>
      <c r="K5380" s="3">
        <v>-73.336153730000007</v>
      </c>
      <c r="L5380" s="3">
        <v>0</v>
      </c>
      <c r="M5380" s="3">
        <v>0</v>
      </c>
      <c r="N5380" s="3">
        <v>-21151.627753289999</v>
      </c>
      <c r="O5380">
        <v>61085.924408089981</v>
      </c>
      <c r="P5380">
        <v>23369574</v>
      </c>
    </row>
    <row r="5381" spans="1:16" x14ac:dyDescent="0.25">
      <c r="A5381" s="10">
        <v>45624</v>
      </c>
      <c r="B5381" s="3">
        <v>626362</v>
      </c>
      <c r="C5381" s="3">
        <v>228929.5</v>
      </c>
      <c r="D5381" s="3">
        <v>0</v>
      </c>
      <c r="E5381" s="3">
        <v>0</v>
      </c>
      <c r="F5381" s="3">
        <v>0</v>
      </c>
      <c r="G5381" s="3">
        <v>17.569534630000131</v>
      </c>
      <c r="H5381" s="3">
        <v>377462.04164800001</v>
      </c>
      <c r="I5381" s="3">
        <v>0</v>
      </c>
      <c r="J5381" s="3">
        <v>0</v>
      </c>
      <c r="K5381" s="3">
        <v>-69.957925319999987</v>
      </c>
      <c r="L5381" s="3">
        <v>0</v>
      </c>
      <c r="M5381" s="3">
        <v>0</v>
      </c>
      <c r="N5381" s="3">
        <v>9745.5713561399989</v>
      </c>
      <c r="O5381">
        <v>10277.27538655</v>
      </c>
      <c r="P5381">
        <v>23995936</v>
      </c>
    </row>
    <row r="5382" spans="1:16" x14ac:dyDescent="0.25">
      <c r="A5382" s="10">
        <v>45625</v>
      </c>
      <c r="B5382" s="3">
        <v>-172024</v>
      </c>
      <c r="C5382" s="3">
        <v>11099</v>
      </c>
      <c r="D5382" s="3">
        <v>0</v>
      </c>
      <c r="E5382" s="3">
        <v>0</v>
      </c>
      <c r="F5382" s="3">
        <v>0</v>
      </c>
      <c r="G5382" s="3">
        <v>-1621598.5912583901</v>
      </c>
      <c r="H5382" s="3">
        <v>-247900.99979999999</v>
      </c>
      <c r="I5382" s="3">
        <v>0</v>
      </c>
      <c r="J5382" s="3">
        <v>0</v>
      </c>
      <c r="K5382" s="3">
        <v>-469.29190356999999</v>
      </c>
      <c r="L5382" s="3">
        <v>0</v>
      </c>
      <c r="M5382" s="3">
        <v>0</v>
      </c>
      <c r="N5382" s="3">
        <v>1691008.1765729</v>
      </c>
      <c r="O5382">
        <v>-4162.2936109395232</v>
      </c>
      <c r="P5382">
        <v>23823912</v>
      </c>
    </row>
    <row r="5383" spans="1:16" x14ac:dyDescent="0.25">
      <c r="A5383" s="10">
        <v>45628</v>
      </c>
      <c r="B5383" s="3">
        <v>1190838</v>
      </c>
      <c r="C5383" s="3">
        <v>-173054.5</v>
      </c>
      <c r="D5383" s="3">
        <v>0</v>
      </c>
      <c r="E5383" s="3">
        <v>0</v>
      </c>
      <c r="F5383" s="3">
        <v>0</v>
      </c>
      <c r="G5383" s="3">
        <v>14710.605937270449</v>
      </c>
      <c r="H5383" s="3">
        <v>-135986.1666</v>
      </c>
      <c r="I5383" s="3">
        <v>0</v>
      </c>
      <c r="J5383" s="3">
        <v>0</v>
      </c>
      <c r="K5383" s="3">
        <v>-532.36694367000007</v>
      </c>
      <c r="L5383" s="3">
        <v>0</v>
      </c>
      <c r="M5383" s="3">
        <v>0</v>
      </c>
      <c r="N5383" s="3">
        <v>1485077.62999373</v>
      </c>
      <c r="O5383">
        <v>622.79761266941205</v>
      </c>
      <c r="P5383">
        <v>25014750</v>
      </c>
    </row>
    <row r="5384" spans="1:16" x14ac:dyDescent="0.25">
      <c r="A5384" s="10">
        <v>45629</v>
      </c>
      <c r="B5384" s="3">
        <v>1432842</v>
      </c>
      <c r="C5384" s="3">
        <v>-52143.75</v>
      </c>
      <c r="D5384" s="3">
        <v>0</v>
      </c>
      <c r="E5384" s="3">
        <v>0</v>
      </c>
      <c r="F5384" s="3">
        <v>0</v>
      </c>
      <c r="G5384" s="3">
        <v>-330.37064636999997</v>
      </c>
      <c r="H5384" s="3">
        <v>-62192.109600000003</v>
      </c>
      <c r="I5384" s="3">
        <v>0</v>
      </c>
      <c r="J5384" s="3">
        <v>0</v>
      </c>
      <c r="K5384" s="3">
        <v>-731.03905753999993</v>
      </c>
      <c r="L5384" s="3">
        <v>0</v>
      </c>
      <c r="M5384" s="3">
        <v>0</v>
      </c>
      <c r="N5384" s="3">
        <v>1551408.9232597901</v>
      </c>
      <c r="O5384">
        <v>-3169.6539558800869</v>
      </c>
      <c r="P5384">
        <v>26447592</v>
      </c>
    </row>
    <row r="5385" spans="1:16" x14ac:dyDescent="0.25">
      <c r="A5385" s="10">
        <v>45630</v>
      </c>
      <c r="B5385" s="3">
        <v>-66816</v>
      </c>
      <c r="C5385" s="3">
        <v>13668.75</v>
      </c>
      <c r="D5385" s="3">
        <v>0</v>
      </c>
      <c r="E5385" s="3">
        <v>0</v>
      </c>
      <c r="F5385" s="3">
        <v>0</v>
      </c>
      <c r="G5385" s="3">
        <v>-383.97003187000001</v>
      </c>
      <c r="H5385" s="3">
        <v>-9852.9585000000006</v>
      </c>
      <c r="I5385" s="3">
        <v>0</v>
      </c>
      <c r="J5385" s="3">
        <v>0</v>
      </c>
      <c r="K5385" s="3">
        <v>-83.213609489999996</v>
      </c>
      <c r="L5385" s="3">
        <v>0</v>
      </c>
      <c r="M5385" s="3">
        <v>0</v>
      </c>
      <c r="N5385" s="3">
        <v>-69417.561651109994</v>
      </c>
      <c r="O5385">
        <v>-747.04620753000199</v>
      </c>
      <c r="P5385">
        <v>26380776</v>
      </c>
    </row>
    <row r="5386" spans="1:16" x14ac:dyDescent="0.25">
      <c r="A5386" s="10">
        <v>45631</v>
      </c>
      <c r="B5386" s="3">
        <v>69139</v>
      </c>
      <c r="C5386" s="3">
        <v>173324.3</v>
      </c>
      <c r="D5386" s="3">
        <v>0</v>
      </c>
      <c r="E5386" s="3">
        <v>0</v>
      </c>
      <c r="F5386" s="3">
        <v>0</v>
      </c>
      <c r="G5386" s="3">
        <v>-183.6999665900002</v>
      </c>
      <c r="H5386" s="3">
        <v>-37017.812999999987</v>
      </c>
      <c r="I5386" s="3">
        <v>0</v>
      </c>
      <c r="J5386" s="3">
        <v>0</v>
      </c>
      <c r="K5386" s="3">
        <v>-60.903716709999998</v>
      </c>
      <c r="L5386" s="3">
        <v>0</v>
      </c>
      <c r="M5386" s="3">
        <v>0</v>
      </c>
      <c r="N5386" s="3">
        <v>-70533.541139539986</v>
      </c>
      <c r="O5386">
        <v>3610.657822839989</v>
      </c>
      <c r="P5386">
        <v>26449915</v>
      </c>
    </row>
    <row r="5387" spans="1:16" x14ac:dyDescent="0.25">
      <c r="A5387" s="10">
        <v>45632</v>
      </c>
      <c r="B5387" s="3">
        <v>489979</v>
      </c>
      <c r="C5387" s="3">
        <v>73985.5</v>
      </c>
      <c r="D5387" s="3">
        <v>0</v>
      </c>
      <c r="E5387" s="3">
        <v>0</v>
      </c>
      <c r="F5387" s="3">
        <v>0</v>
      </c>
      <c r="G5387" s="3">
        <v>30.934568790000409</v>
      </c>
      <c r="H5387" s="3">
        <v>-19.1205</v>
      </c>
      <c r="I5387" s="3">
        <v>0</v>
      </c>
      <c r="J5387" s="3">
        <v>0</v>
      </c>
      <c r="K5387" s="3">
        <v>-20.216210960000002</v>
      </c>
      <c r="L5387" s="3">
        <v>0</v>
      </c>
      <c r="M5387" s="3">
        <v>0</v>
      </c>
      <c r="N5387" s="3">
        <v>433864.40882031998</v>
      </c>
      <c r="O5387">
        <v>-17862.506678149981</v>
      </c>
      <c r="P5387">
        <v>26939894</v>
      </c>
    </row>
    <row r="5388" spans="1:16" x14ac:dyDescent="0.25">
      <c r="A5388" s="10">
        <v>45635</v>
      </c>
      <c r="B5388" s="3">
        <v>276959</v>
      </c>
      <c r="C5388" s="3">
        <v>243039.61499999999</v>
      </c>
      <c r="D5388" s="3">
        <v>0</v>
      </c>
      <c r="E5388" s="3">
        <v>0</v>
      </c>
      <c r="F5388" s="3">
        <v>0</v>
      </c>
      <c r="G5388" s="3">
        <v>-231.05900672999999</v>
      </c>
      <c r="H5388" s="3">
        <v>193794.1079</v>
      </c>
      <c r="I5388" s="3">
        <v>0</v>
      </c>
      <c r="J5388" s="3">
        <v>0</v>
      </c>
      <c r="K5388" s="3">
        <v>-28.527566799999999</v>
      </c>
      <c r="L5388" s="3">
        <v>0</v>
      </c>
      <c r="M5388" s="3">
        <v>0</v>
      </c>
      <c r="N5388" s="3">
        <v>-158167.61281615999</v>
      </c>
      <c r="O5388">
        <v>-1447.523510309984</v>
      </c>
      <c r="P5388">
        <v>27216853</v>
      </c>
    </row>
    <row r="5389" spans="1:16" x14ac:dyDescent="0.25">
      <c r="A5389" s="10">
        <v>45636</v>
      </c>
      <c r="B5389" s="3">
        <v>-348991</v>
      </c>
      <c r="C5389" s="3">
        <v>165537.02499999999</v>
      </c>
      <c r="D5389" s="3">
        <v>0</v>
      </c>
      <c r="E5389" s="3">
        <v>0</v>
      </c>
      <c r="F5389" s="3">
        <v>0</v>
      </c>
      <c r="G5389" s="3">
        <v>-316.78727624000021</v>
      </c>
      <c r="H5389" s="3">
        <v>-27274.97</v>
      </c>
      <c r="I5389" s="3">
        <v>0</v>
      </c>
      <c r="J5389" s="3">
        <v>0</v>
      </c>
      <c r="K5389" s="3">
        <v>-117.98894115</v>
      </c>
      <c r="L5389" s="3">
        <v>0</v>
      </c>
      <c r="M5389" s="3">
        <v>0</v>
      </c>
      <c r="N5389" s="3">
        <v>-500821.21112097002</v>
      </c>
      <c r="O5389">
        <v>14002.93233836</v>
      </c>
      <c r="P5389">
        <v>26867862</v>
      </c>
    </row>
    <row r="5390" spans="1:16" x14ac:dyDescent="0.25">
      <c r="A5390" s="10">
        <v>45637</v>
      </c>
      <c r="B5390" s="3">
        <v>293879</v>
      </c>
      <c r="C5390" s="3">
        <v>167601.60000000001</v>
      </c>
      <c r="D5390" s="3">
        <v>0</v>
      </c>
      <c r="E5390" s="3">
        <v>0</v>
      </c>
      <c r="F5390" s="3">
        <v>0</v>
      </c>
      <c r="G5390" s="3">
        <v>-273.00091615999997</v>
      </c>
      <c r="H5390" s="3">
        <v>41737.385719999991</v>
      </c>
      <c r="I5390" s="3">
        <v>0</v>
      </c>
      <c r="J5390" s="3">
        <v>0</v>
      </c>
      <c r="K5390" s="3">
        <v>-115.95182047</v>
      </c>
      <c r="L5390" s="3">
        <v>0</v>
      </c>
      <c r="M5390" s="3">
        <v>0</v>
      </c>
      <c r="N5390" s="3">
        <v>88884.499790720001</v>
      </c>
      <c r="O5390">
        <v>-3955.532774089952</v>
      </c>
      <c r="P5390">
        <v>27161741</v>
      </c>
    </row>
    <row r="5391" spans="1:16" x14ac:dyDescent="0.25">
      <c r="A5391" s="10">
        <v>45638</v>
      </c>
      <c r="B5391" s="3">
        <v>64911</v>
      </c>
      <c r="C5391" s="3">
        <v>169413.75</v>
      </c>
      <c r="D5391" s="3">
        <v>0</v>
      </c>
      <c r="E5391" s="3">
        <v>0</v>
      </c>
      <c r="F5391" s="3">
        <v>0</v>
      </c>
      <c r="G5391" s="3">
        <v>-929.83128487999784</v>
      </c>
      <c r="H5391" s="3">
        <v>218528.27050000001</v>
      </c>
      <c r="I5391" s="3">
        <v>0</v>
      </c>
      <c r="J5391" s="3">
        <v>0</v>
      </c>
      <c r="K5391" s="3">
        <v>-103.16443891</v>
      </c>
      <c r="L5391" s="3">
        <v>0</v>
      </c>
      <c r="M5391" s="3">
        <v>0</v>
      </c>
      <c r="N5391" s="3">
        <v>-325250.93779065</v>
      </c>
      <c r="O5391">
        <v>3252.913014440041</v>
      </c>
      <c r="P5391">
        <v>27226652</v>
      </c>
    </row>
    <row r="5392" spans="1:16" x14ac:dyDescent="0.25">
      <c r="A5392" s="10">
        <v>45639</v>
      </c>
      <c r="B5392" s="3">
        <v>813407</v>
      </c>
      <c r="C5392" s="3">
        <v>170721.8</v>
      </c>
      <c r="D5392" s="3">
        <v>0</v>
      </c>
      <c r="E5392" s="3">
        <v>0</v>
      </c>
      <c r="F5392" s="3">
        <v>0</v>
      </c>
      <c r="G5392" s="3">
        <v>786445.89466234995</v>
      </c>
      <c r="H5392" s="3">
        <v>-258292.33199999999</v>
      </c>
      <c r="I5392" s="3">
        <v>0</v>
      </c>
      <c r="J5392" s="3">
        <v>0</v>
      </c>
      <c r="K5392" s="3">
        <v>-316.48951134999999</v>
      </c>
      <c r="L5392" s="3">
        <v>0</v>
      </c>
      <c r="M5392" s="3">
        <v>0</v>
      </c>
      <c r="N5392" s="3">
        <v>117633.83459090001</v>
      </c>
      <c r="O5392">
        <v>-2785.7077418997651</v>
      </c>
      <c r="P5392">
        <v>28040059</v>
      </c>
    </row>
    <row r="5393" spans="1:16" x14ac:dyDescent="0.25">
      <c r="A5393" s="10">
        <v>45642</v>
      </c>
      <c r="B5393" s="3">
        <v>-39807</v>
      </c>
      <c r="C5393" s="3">
        <v>34697</v>
      </c>
      <c r="D5393" s="3">
        <v>0</v>
      </c>
      <c r="E5393" s="3">
        <v>0</v>
      </c>
      <c r="F5393" s="3">
        <v>0</v>
      </c>
      <c r="G5393" s="3">
        <v>-798.39358348000678</v>
      </c>
      <c r="H5393" s="3">
        <v>-142130.14000000001</v>
      </c>
      <c r="I5393" s="3">
        <v>0</v>
      </c>
      <c r="J5393" s="3">
        <v>0</v>
      </c>
      <c r="K5393" s="3">
        <v>-819.33443508000005</v>
      </c>
      <c r="L5393" s="3">
        <v>0</v>
      </c>
      <c r="M5393" s="3">
        <v>0</v>
      </c>
      <c r="N5393" s="3">
        <v>76114.56209236999</v>
      </c>
      <c r="O5393">
        <v>-6870.6940738099947</v>
      </c>
      <c r="P5393">
        <v>28000252</v>
      </c>
    </row>
    <row r="5394" spans="1:16" x14ac:dyDescent="0.25">
      <c r="A5394" s="10">
        <v>45643</v>
      </c>
      <c r="B5394" s="3">
        <v>-280970</v>
      </c>
      <c r="C5394" s="3">
        <v>7725.97</v>
      </c>
      <c r="D5394" s="3">
        <v>0</v>
      </c>
      <c r="E5394" s="3">
        <v>0</v>
      </c>
      <c r="F5394" s="3">
        <v>0</v>
      </c>
      <c r="G5394" s="3">
        <v>1245.62027719</v>
      </c>
      <c r="H5394" s="3">
        <v>48440.369600000013</v>
      </c>
      <c r="I5394" s="3">
        <v>0</v>
      </c>
      <c r="J5394" s="3">
        <v>0</v>
      </c>
      <c r="K5394" s="3">
        <v>-32.139116180000002</v>
      </c>
      <c r="L5394" s="3">
        <v>0</v>
      </c>
      <c r="M5394" s="3">
        <v>0</v>
      </c>
      <c r="N5394" s="3">
        <v>-312993.37320431002</v>
      </c>
      <c r="O5394">
        <v>-25356.447556699979</v>
      </c>
      <c r="P5394">
        <v>27719282</v>
      </c>
    </row>
    <row r="5395" spans="1:16" x14ac:dyDescent="0.25">
      <c r="A5395" s="10">
        <v>45644</v>
      </c>
      <c r="B5395" s="3">
        <v>-7551</v>
      </c>
      <c r="C5395" s="3">
        <v>154655.1</v>
      </c>
      <c r="D5395" s="3">
        <v>-1532749</v>
      </c>
      <c r="E5395" s="3">
        <v>0</v>
      </c>
      <c r="F5395" s="3">
        <v>0</v>
      </c>
      <c r="G5395" s="3">
        <v>1532454.8903206701</v>
      </c>
      <c r="H5395" s="3">
        <v>-80955.385599999994</v>
      </c>
      <c r="I5395" s="3">
        <v>0</v>
      </c>
      <c r="J5395" s="3">
        <v>0</v>
      </c>
      <c r="K5395" s="3">
        <v>-275.44296250000002</v>
      </c>
      <c r="L5395" s="3">
        <v>0</v>
      </c>
      <c r="M5395" s="3">
        <v>0</v>
      </c>
      <c r="N5395" s="3">
        <v>-91581.530179840003</v>
      </c>
      <c r="O5395">
        <v>10900.36842166974</v>
      </c>
      <c r="P5395">
        <v>27711731</v>
      </c>
    </row>
    <row r="5396" spans="1:16" x14ac:dyDescent="0.25">
      <c r="A5396" s="10">
        <v>45645</v>
      </c>
      <c r="B5396" s="3">
        <v>32095</v>
      </c>
      <c r="C5396" s="3">
        <v>32720</v>
      </c>
      <c r="D5396" s="3">
        <v>0</v>
      </c>
      <c r="E5396" s="3">
        <v>0</v>
      </c>
      <c r="F5396" s="3">
        <v>0</v>
      </c>
      <c r="G5396" s="3">
        <v>5291.5742887699998</v>
      </c>
      <c r="H5396" s="3">
        <v>20475.4215</v>
      </c>
      <c r="I5396" s="3">
        <v>0</v>
      </c>
      <c r="J5396" s="3">
        <v>0</v>
      </c>
      <c r="K5396" s="3">
        <v>-20.107818739999999</v>
      </c>
      <c r="L5396" s="3">
        <v>0</v>
      </c>
      <c r="M5396" s="3">
        <v>0</v>
      </c>
      <c r="N5396" s="3">
        <v>62989.193411150001</v>
      </c>
      <c r="O5396">
        <v>-89361.081381180004</v>
      </c>
      <c r="P5396">
        <v>27743826</v>
      </c>
    </row>
    <row r="5397" spans="1:16" x14ac:dyDescent="0.25">
      <c r="A5397" s="10">
        <v>45646</v>
      </c>
      <c r="B5397" s="3">
        <v>651938</v>
      </c>
      <c r="C5397" s="3">
        <v>222144.45</v>
      </c>
      <c r="D5397" s="3">
        <v>0</v>
      </c>
      <c r="E5397" s="3">
        <v>0</v>
      </c>
      <c r="F5397" s="3">
        <v>0</v>
      </c>
      <c r="G5397" s="3">
        <v>-688.05726239000796</v>
      </c>
      <c r="H5397" s="3">
        <v>-8828.8905000000013</v>
      </c>
      <c r="I5397" s="3">
        <v>0</v>
      </c>
      <c r="J5397" s="3">
        <v>0</v>
      </c>
      <c r="K5397" s="3">
        <v>-40.069529759999988</v>
      </c>
      <c r="L5397" s="3">
        <v>0</v>
      </c>
      <c r="M5397" s="3">
        <v>0</v>
      </c>
      <c r="N5397" s="3">
        <v>518148.64353353</v>
      </c>
      <c r="O5397">
        <v>-78798.076241380069</v>
      </c>
      <c r="P5397">
        <v>28395764</v>
      </c>
    </row>
    <row r="5398" spans="1:16" x14ac:dyDescent="0.25">
      <c r="A5398" s="10">
        <v>45649</v>
      </c>
      <c r="B5398" s="3">
        <v>-23798</v>
      </c>
      <c r="C5398" s="3">
        <v>127817.5</v>
      </c>
      <c r="D5398" s="3">
        <v>0</v>
      </c>
      <c r="E5398" s="3">
        <v>0</v>
      </c>
      <c r="F5398" s="3">
        <v>0</v>
      </c>
      <c r="G5398" s="3">
        <v>763.39941836016078</v>
      </c>
      <c r="H5398" s="3">
        <v>38046.076999999997</v>
      </c>
      <c r="I5398" s="3">
        <v>0</v>
      </c>
      <c r="J5398" s="3">
        <v>0</v>
      </c>
      <c r="K5398" s="3">
        <v>-53.19058587</v>
      </c>
      <c r="L5398" s="3">
        <v>0</v>
      </c>
      <c r="M5398" s="3">
        <v>0</v>
      </c>
      <c r="N5398" s="3">
        <v>-142593.01068079</v>
      </c>
      <c r="O5398">
        <v>-47778.77515170016</v>
      </c>
      <c r="P5398">
        <v>28371966</v>
      </c>
    </row>
    <row r="5399" spans="1:16" x14ac:dyDescent="0.25">
      <c r="A5399" s="10">
        <v>45652</v>
      </c>
      <c r="B5399" s="3">
        <v>-469737</v>
      </c>
      <c r="C5399" s="3">
        <v>-184463</v>
      </c>
      <c r="D5399" s="3">
        <v>0</v>
      </c>
      <c r="E5399" s="3">
        <v>0</v>
      </c>
      <c r="F5399" s="3">
        <v>0</v>
      </c>
      <c r="G5399" s="3">
        <v>-3930.9808753600018</v>
      </c>
      <c r="H5399" s="3">
        <v>87438.969031500019</v>
      </c>
      <c r="I5399" s="3">
        <v>0</v>
      </c>
      <c r="J5399" s="3">
        <v>0</v>
      </c>
      <c r="K5399" s="3">
        <v>-192.42918492999999</v>
      </c>
      <c r="L5399" s="3">
        <v>0</v>
      </c>
      <c r="M5399" s="3">
        <v>0</v>
      </c>
      <c r="N5399" s="3">
        <v>-354085.79983603011</v>
      </c>
      <c r="O5399">
        <v>-14503.75913517992</v>
      </c>
      <c r="P5399">
        <v>27902229</v>
      </c>
    </row>
    <row r="5400" spans="1:16" x14ac:dyDescent="0.25">
      <c r="A5400" s="10">
        <v>45653</v>
      </c>
      <c r="B5400" s="3">
        <v>246018</v>
      </c>
      <c r="C5400" s="3">
        <v>-616154.75</v>
      </c>
      <c r="D5400" s="3">
        <v>0</v>
      </c>
      <c r="E5400" s="3">
        <v>0</v>
      </c>
      <c r="F5400" s="3">
        <v>0</v>
      </c>
      <c r="G5400" s="3">
        <v>3563.7114376798272</v>
      </c>
      <c r="H5400" s="3">
        <v>20718.926381000001</v>
      </c>
      <c r="I5400" s="3">
        <v>0</v>
      </c>
      <c r="J5400" s="3">
        <v>0</v>
      </c>
      <c r="K5400" s="3">
        <v>-154.63727696999999</v>
      </c>
      <c r="L5400" s="3">
        <v>0</v>
      </c>
      <c r="M5400" s="3">
        <v>0</v>
      </c>
      <c r="N5400" s="3">
        <v>873634.23650731007</v>
      </c>
      <c r="O5400">
        <v>-35589.487049019903</v>
      </c>
      <c r="P5400">
        <v>28148247</v>
      </c>
    </row>
    <row r="5401" spans="1:16" x14ac:dyDescent="0.25">
      <c r="A5401" s="10">
        <v>45656</v>
      </c>
      <c r="B5401" s="3">
        <v>1580328</v>
      </c>
      <c r="C5401" s="3">
        <v>-26209.85</v>
      </c>
      <c r="D5401" s="3">
        <v>0</v>
      </c>
      <c r="E5401" s="3">
        <v>0</v>
      </c>
      <c r="F5401" s="3">
        <v>0</v>
      </c>
      <c r="G5401" s="3">
        <v>104.5141361200203</v>
      </c>
      <c r="H5401" s="3">
        <v>337092.92988151999</v>
      </c>
      <c r="I5401" s="3">
        <v>0</v>
      </c>
      <c r="J5401" s="3">
        <v>0</v>
      </c>
      <c r="K5401" s="3">
        <v>-469.48932988000001</v>
      </c>
      <c r="L5401" s="3">
        <v>0</v>
      </c>
      <c r="M5401" s="3">
        <v>0</v>
      </c>
      <c r="N5401" s="3">
        <v>1341294.06306989</v>
      </c>
      <c r="O5401">
        <v>-71484.167757649906</v>
      </c>
      <c r="P5401">
        <v>29728575</v>
      </c>
    </row>
    <row r="5402" spans="1:16" x14ac:dyDescent="0.25">
      <c r="A5402" s="10">
        <v>45659</v>
      </c>
      <c r="B5402" s="3">
        <v>1249414</v>
      </c>
      <c r="C5402" s="3">
        <v>32508</v>
      </c>
      <c r="D5402" s="3">
        <v>0</v>
      </c>
      <c r="E5402" s="3">
        <v>0</v>
      </c>
      <c r="F5402" s="3">
        <v>0</v>
      </c>
      <c r="G5402" s="3">
        <v>337414.5894167698</v>
      </c>
      <c r="H5402" s="3">
        <v>-408245.63148749003</v>
      </c>
      <c r="I5402" s="3">
        <v>0</v>
      </c>
      <c r="J5402" s="3">
        <v>0</v>
      </c>
      <c r="K5402" s="3">
        <v>-1452.5469891400001</v>
      </c>
      <c r="L5402" s="3">
        <v>0</v>
      </c>
      <c r="M5402" s="3">
        <v>0</v>
      </c>
      <c r="N5402" s="3">
        <v>1332974.2416588899</v>
      </c>
      <c r="O5402">
        <v>-43784.652599029709</v>
      </c>
      <c r="P5402">
        <v>30977989</v>
      </c>
    </row>
    <row r="5403" spans="1:16" x14ac:dyDescent="0.25">
      <c r="A5403" s="10">
        <v>45660</v>
      </c>
      <c r="B5403" s="3">
        <v>682491</v>
      </c>
      <c r="C5403" s="3">
        <v>177455.9</v>
      </c>
      <c r="D5403" s="3">
        <v>0</v>
      </c>
      <c r="E5403" s="3">
        <v>0</v>
      </c>
      <c r="F5403" s="3">
        <v>0</v>
      </c>
      <c r="G5403" s="3">
        <v>-156.40009436000039</v>
      </c>
      <c r="H5403" s="3">
        <v>36078.782587499998</v>
      </c>
      <c r="I5403" s="3">
        <v>0</v>
      </c>
      <c r="J5403" s="3">
        <v>0</v>
      </c>
      <c r="K5403" s="3">
        <v>-137.70221247000001</v>
      </c>
      <c r="L5403" s="3">
        <v>0</v>
      </c>
      <c r="M5403" s="3">
        <v>0</v>
      </c>
      <c r="N5403" s="3">
        <v>454493.30467585003</v>
      </c>
      <c r="O5403">
        <v>14757.115043480069</v>
      </c>
      <c r="P5403">
        <v>31660480</v>
      </c>
    </row>
    <row r="5404" spans="1:16" x14ac:dyDescent="0.25">
      <c r="A5404" s="10">
        <v>45663</v>
      </c>
      <c r="B5404" s="3">
        <v>-391063</v>
      </c>
      <c r="C5404" s="3">
        <v>27362.525000000001</v>
      </c>
      <c r="D5404" s="3">
        <v>0</v>
      </c>
      <c r="E5404" s="3">
        <v>0</v>
      </c>
      <c r="F5404" s="3">
        <v>0</v>
      </c>
      <c r="G5404" s="3">
        <v>5301.6933606504317</v>
      </c>
      <c r="H5404" s="3">
        <v>-12382.136793989999</v>
      </c>
      <c r="I5404" s="3">
        <v>0</v>
      </c>
      <c r="J5404" s="3">
        <v>0</v>
      </c>
      <c r="K5404" s="3">
        <v>-238.03771805</v>
      </c>
      <c r="L5404" s="3">
        <v>0</v>
      </c>
      <c r="M5404" s="3">
        <v>0</v>
      </c>
      <c r="N5404" s="3">
        <v>-402631.30472732999</v>
      </c>
      <c r="O5404">
        <v>-8475.7391212804359</v>
      </c>
      <c r="P5404">
        <v>31269417</v>
      </c>
    </row>
    <row r="5405" spans="1:16" x14ac:dyDescent="0.25">
      <c r="A5405" s="10">
        <v>45664</v>
      </c>
      <c r="B5405" s="3">
        <v>-244057</v>
      </c>
      <c r="C5405" s="3">
        <v>110798.5</v>
      </c>
      <c r="D5405" s="3">
        <v>0</v>
      </c>
      <c r="E5405" s="3">
        <v>0</v>
      </c>
      <c r="F5405" s="3">
        <v>0</v>
      </c>
      <c r="G5405" s="3">
        <v>-543.80125164985657</v>
      </c>
      <c r="H5405" s="3">
        <v>3966.7750000000092</v>
      </c>
      <c r="I5405" s="3">
        <v>0</v>
      </c>
      <c r="J5405" s="3">
        <v>0</v>
      </c>
      <c r="K5405" s="3">
        <v>-17.595345210000001</v>
      </c>
      <c r="L5405" s="3">
        <v>0</v>
      </c>
      <c r="M5405" s="3">
        <v>0</v>
      </c>
      <c r="N5405" s="3">
        <v>-356223.64061111002</v>
      </c>
      <c r="O5405">
        <v>-2037.2377920302099</v>
      </c>
      <c r="P5405">
        <v>31025360</v>
      </c>
    </row>
    <row r="5406" spans="1:16" x14ac:dyDescent="0.25">
      <c r="A5406" s="10">
        <v>45665</v>
      </c>
      <c r="B5406" s="3">
        <v>113516</v>
      </c>
      <c r="C5406" s="3">
        <v>34188</v>
      </c>
      <c r="D5406" s="3">
        <v>0</v>
      </c>
      <c r="E5406" s="3">
        <v>0</v>
      </c>
      <c r="F5406" s="3">
        <v>0</v>
      </c>
      <c r="G5406" s="3">
        <v>-283.80398851004429</v>
      </c>
      <c r="H5406" s="3">
        <v>-6396.17</v>
      </c>
      <c r="I5406" s="3">
        <v>0</v>
      </c>
      <c r="J5406" s="3">
        <v>0</v>
      </c>
      <c r="K5406" s="3">
        <v>-19.59041096</v>
      </c>
      <c r="L5406" s="3">
        <v>0</v>
      </c>
      <c r="M5406" s="3">
        <v>0</v>
      </c>
      <c r="N5406" s="3">
        <v>108412.57230263</v>
      </c>
      <c r="O5406">
        <v>-22385.007903159971</v>
      </c>
      <c r="P5406">
        <v>31138876</v>
      </c>
    </row>
    <row r="5407" spans="1:16" x14ac:dyDescent="0.25">
      <c r="A5407" s="10">
        <v>45666</v>
      </c>
      <c r="B5407" s="3">
        <v>-451551</v>
      </c>
      <c r="C5407" s="3">
        <v>142000.5</v>
      </c>
      <c r="D5407" s="3">
        <v>0</v>
      </c>
      <c r="E5407" s="3">
        <v>0</v>
      </c>
      <c r="F5407" s="3">
        <v>0</v>
      </c>
      <c r="G5407" s="3">
        <v>-271.43520192010328</v>
      </c>
      <c r="H5407" s="3">
        <v>-7218.9530000000004</v>
      </c>
      <c r="I5407" s="3">
        <v>0</v>
      </c>
      <c r="J5407" s="3">
        <v>0</v>
      </c>
      <c r="K5407" s="3">
        <v>-45.750876170000012</v>
      </c>
      <c r="L5407" s="3">
        <v>0</v>
      </c>
      <c r="M5407" s="3">
        <v>0</v>
      </c>
      <c r="N5407" s="3">
        <v>-582436.20618631004</v>
      </c>
      <c r="O5407">
        <v>-3579.1547355998769</v>
      </c>
      <c r="P5407">
        <v>30687325</v>
      </c>
    </row>
    <row r="5408" spans="1:16" x14ac:dyDescent="0.25">
      <c r="A5408" s="10">
        <v>45667</v>
      </c>
      <c r="B5408" s="3">
        <v>-272573</v>
      </c>
      <c r="C5408" s="3">
        <v>242878.75</v>
      </c>
      <c r="D5408" s="3">
        <v>0</v>
      </c>
      <c r="E5408" s="3">
        <v>0</v>
      </c>
      <c r="F5408" s="3">
        <v>0</v>
      </c>
      <c r="G5408" s="3">
        <v>-428.84140141999961</v>
      </c>
      <c r="H5408" s="3">
        <v>179272.89710001001</v>
      </c>
      <c r="I5408" s="3">
        <v>0</v>
      </c>
      <c r="J5408" s="3">
        <v>0</v>
      </c>
      <c r="K5408" s="3">
        <v>-462.74594331999998</v>
      </c>
      <c r="L5408" s="3">
        <v>0</v>
      </c>
      <c r="M5408" s="3">
        <v>0</v>
      </c>
      <c r="N5408" s="3">
        <v>-684675.57386273996</v>
      </c>
      <c r="O5408">
        <v>-9157.485892530065</v>
      </c>
      <c r="P5408">
        <v>30414752</v>
      </c>
    </row>
    <row r="5409" spans="1:16" x14ac:dyDescent="0.25">
      <c r="A5409" s="10">
        <v>45670</v>
      </c>
      <c r="B5409" s="3">
        <v>-426079</v>
      </c>
      <c r="C5409" s="3">
        <v>173596.5</v>
      </c>
      <c r="D5409" s="3">
        <v>0</v>
      </c>
      <c r="E5409" s="3">
        <v>0</v>
      </c>
      <c r="F5409" s="3">
        <v>0</v>
      </c>
      <c r="G5409" s="3">
        <v>-202.7509386199998</v>
      </c>
      <c r="H5409" s="3">
        <v>160388.63509500001</v>
      </c>
      <c r="I5409" s="3">
        <v>0</v>
      </c>
      <c r="J5409" s="3">
        <v>0</v>
      </c>
      <c r="K5409" s="3">
        <v>-944.44540560999997</v>
      </c>
      <c r="L5409" s="3">
        <v>0</v>
      </c>
      <c r="M5409" s="3">
        <v>0</v>
      </c>
      <c r="N5409" s="3">
        <v>-683353.67065232992</v>
      </c>
      <c r="O5409">
        <v>-75563.268098440021</v>
      </c>
      <c r="P5409">
        <v>29988673</v>
      </c>
    </row>
    <row r="5410" spans="1:16" x14ac:dyDescent="0.25">
      <c r="A5410" s="10">
        <v>45671</v>
      </c>
      <c r="B5410" s="3">
        <v>-744310</v>
      </c>
      <c r="C5410" s="3">
        <v>180960</v>
      </c>
      <c r="D5410" s="3">
        <v>0</v>
      </c>
      <c r="E5410" s="3">
        <v>0</v>
      </c>
      <c r="F5410" s="3">
        <v>0</v>
      </c>
      <c r="G5410" s="3">
        <v>-854.6337252200002</v>
      </c>
      <c r="H5410" s="3">
        <v>-97826.473450000005</v>
      </c>
      <c r="I5410" s="3">
        <v>0</v>
      </c>
      <c r="J5410" s="3">
        <v>0</v>
      </c>
      <c r="K5410" s="3">
        <v>-357.83736134999998</v>
      </c>
      <c r="L5410" s="3">
        <v>0</v>
      </c>
      <c r="M5410" s="3">
        <v>0</v>
      </c>
      <c r="N5410" s="3">
        <v>-782632.72815146996</v>
      </c>
      <c r="O5410">
        <v>-43598.327311960049</v>
      </c>
      <c r="P5410">
        <v>29244363</v>
      </c>
    </row>
    <row r="5411" spans="1:16" x14ac:dyDescent="0.25">
      <c r="A5411" s="10">
        <v>45672</v>
      </c>
      <c r="B5411" s="3">
        <v>878281</v>
      </c>
      <c r="C5411" s="3">
        <v>174367.5</v>
      </c>
      <c r="D5411" s="3">
        <v>-1041250</v>
      </c>
      <c r="E5411" s="3">
        <v>0</v>
      </c>
      <c r="F5411" s="3">
        <v>0</v>
      </c>
      <c r="G5411" s="3">
        <v>1040487.19460901</v>
      </c>
      <c r="H5411" s="3">
        <v>-129696.20125</v>
      </c>
      <c r="I5411" s="3">
        <v>0</v>
      </c>
      <c r="J5411" s="3">
        <v>0</v>
      </c>
      <c r="K5411" s="3">
        <v>-274.47785877000001</v>
      </c>
      <c r="L5411" s="3">
        <v>0</v>
      </c>
      <c r="M5411" s="3">
        <v>0</v>
      </c>
      <c r="N5411" s="3">
        <v>934571.14226992009</v>
      </c>
      <c r="O5411">
        <v>-99924.15777016012</v>
      </c>
      <c r="P5411">
        <v>30122644</v>
      </c>
    </row>
    <row r="5412" spans="1:16" x14ac:dyDescent="0.25">
      <c r="A5412" s="10">
        <v>45673</v>
      </c>
      <c r="B5412" s="3">
        <v>66062</v>
      </c>
      <c r="C5412" s="3">
        <v>82486.8</v>
      </c>
      <c r="D5412" s="3">
        <v>0</v>
      </c>
      <c r="E5412" s="3">
        <v>0</v>
      </c>
      <c r="F5412" s="3">
        <v>0</v>
      </c>
      <c r="G5412" s="3">
        <v>-499.05075848999701</v>
      </c>
      <c r="H5412" s="3">
        <v>18025.038799999998</v>
      </c>
      <c r="I5412" s="3">
        <v>0</v>
      </c>
      <c r="J5412" s="3">
        <v>0</v>
      </c>
      <c r="K5412" s="3">
        <v>-134.20717694999999</v>
      </c>
      <c r="L5412" s="3">
        <v>0</v>
      </c>
      <c r="M5412" s="3">
        <v>0</v>
      </c>
      <c r="N5412" s="3">
        <v>16945.39782989</v>
      </c>
      <c r="O5412">
        <v>-50761.978694450008</v>
      </c>
      <c r="P5412">
        <v>30188706</v>
      </c>
    </row>
    <row r="5413" spans="1:16" x14ac:dyDescent="0.25">
      <c r="A5413" s="10">
        <v>45674</v>
      </c>
      <c r="B5413" s="3">
        <v>-42262</v>
      </c>
      <c r="C5413" s="3">
        <v>137544</v>
      </c>
      <c r="D5413" s="3">
        <v>0</v>
      </c>
      <c r="E5413" s="3">
        <v>0</v>
      </c>
      <c r="F5413" s="3">
        <v>0</v>
      </c>
      <c r="G5413" s="3">
        <v>-1795637.81976705</v>
      </c>
      <c r="H5413" s="3">
        <v>984697.65566801</v>
      </c>
      <c r="I5413" s="3">
        <v>0</v>
      </c>
      <c r="J5413" s="3">
        <v>0</v>
      </c>
      <c r="K5413" s="3">
        <v>-189.16969148999999</v>
      </c>
      <c r="L5413" s="3">
        <v>0</v>
      </c>
      <c r="M5413" s="3">
        <v>0</v>
      </c>
      <c r="N5413" s="3">
        <v>681430.68246008991</v>
      </c>
      <c r="O5413">
        <v>-50107.348669559462</v>
      </c>
      <c r="P5413">
        <v>30146444</v>
      </c>
    </row>
    <row r="5414" spans="1:16" x14ac:dyDescent="0.25">
      <c r="A5414" s="10">
        <v>45677</v>
      </c>
      <c r="B5414" s="3">
        <v>-162761</v>
      </c>
      <c r="C5414" s="3">
        <v>91872</v>
      </c>
      <c r="D5414" s="3">
        <v>0</v>
      </c>
      <c r="E5414" s="3">
        <v>0</v>
      </c>
      <c r="F5414" s="3">
        <v>0</v>
      </c>
      <c r="G5414" s="3">
        <v>3854.1129612700001</v>
      </c>
      <c r="H5414" s="3">
        <v>-387507.49752698001</v>
      </c>
      <c r="I5414" s="3">
        <v>0</v>
      </c>
      <c r="J5414" s="3">
        <v>0</v>
      </c>
      <c r="K5414" s="3">
        <v>-3018.3846230099998</v>
      </c>
      <c r="L5414" s="3">
        <v>0</v>
      </c>
      <c r="M5414" s="3">
        <v>0</v>
      </c>
      <c r="N5414" s="3">
        <v>185253.14242513999</v>
      </c>
      <c r="O5414">
        <v>-53214.373236419982</v>
      </c>
      <c r="P5414">
        <v>29983683</v>
      </c>
    </row>
    <row r="5415" spans="1:16" x14ac:dyDescent="0.25">
      <c r="A5415" s="10">
        <v>45678</v>
      </c>
      <c r="B5415" s="3">
        <v>-88867</v>
      </c>
      <c r="C5415" s="3">
        <v>-58</v>
      </c>
      <c r="D5415" s="3">
        <v>0</v>
      </c>
      <c r="E5415" s="3">
        <v>0</v>
      </c>
      <c r="F5415" s="3">
        <v>0</v>
      </c>
      <c r="G5415" s="3">
        <v>-820.75515408999991</v>
      </c>
      <c r="H5415" s="3">
        <v>-8486.1347999999998</v>
      </c>
      <c r="I5415" s="3">
        <v>0</v>
      </c>
      <c r="J5415" s="3">
        <v>0</v>
      </c>
      <c r="K5415" s="3">
        <v>-503.21549469000001</v>
      </c>
      <c r="L5415" s="3">
        <v>0</v>
      </c>
      <c r="M5415" s="3">
        <v>0</v>
      </c>
      <c r="N5415" s="3">
        <v>-3740.5390351800002</v>
      </c>
      <c r="O5415">
        <v>-75258.355516039999</v>
      </c>
      <c r="P5415">
        <v>29894816</v>
      </c>
    </row>
    <row r="5416" spans="1:16" x14ac:dyDescent="0.25">
      <c r="A5416" s="10">
        <v>45679</v>
      </c>
      <c r="B5416" s="3">
        <v>195705</v>
      </c>
      <c r="C5416" s="3">
        <v>-36645</v>
      </c>
      <c r="D5416" s="3">
        <v>0</v>
      </c>
      <c r="E5416" s="3">
        <v>0</v>
      </c>
      <c r="F5416" s="3">
        <v>0</v>
      </c>
      <c r="G5416" s="3">
        <v>2013.8450049400001</v>
      </c>
      <c r="H5416" s="3">
        <v>212983.47950001</v>
      </c>
      <c r="I5416" s="3">
        <v>0</v>
      </c>
      <c r="J5416" s="3">
        <v>0</v>
      </c>
      <c r="K5416" s="3">
        <v>-484.70143411999999</v>
      </c>
      <c r="L5416" s="3">
        <v>0</v>
      </c>
      <c r="M5416" s="3">
        <v>0</v>
      </c>
      <c r="N5416" s="3">
        <v>17610.266184619999</v>
      </c>
      <c r="O5416">
        <v>227.11074454998021</v>
      </c>
      <c r="P5416">
        <v>30090521</v>
      </c>
    </row>
    <row r="5417" spans="1:16" x14ac:dyDescent="0.25">
      <c r="A5417" s="10">
        <v>45680</v>
      </c>
      <c r="B5417" s="3">
        <v>-31656</v>
      </c>
      <c r="C5417" s="3">
        <v>-85913</v>
      </c>
      <c r="D5417" s="3">
        <v>0</v>
      </c>
      <c r="E5417" s="3">
        <v>0</v>
      </c>
      <c r="F5417" s="3">
        <v>0</v>
      </c>
      <c r="G5417" s="3">
        <v>-58.315547950000003</v>
      </c>
      <c r="H5417" s="3">
        <v>154987.3120500001</v>
      </c>
      <c r="I5417" s="3">
        <v>0</v>
      </c>
      <c r="J5417" s="3">
        <v>0</v>
      </c>
      <c r="K5417" s="3">
        <v>-453.13269733999999</v>
      </c>
      <c r="L5417" s="3">
        <v>0</v>
      </c>
      <c r="M5417" s="3">
        <v>0</v>
      </c>
      <c r="N5417" s="3">
        <v>-141857.24363342999</v>
      </c>
      <c r="O5417">
        <v>41638.379828719932</v>
      </c>
      <c r="P5417">
        <v>30058865</v>
      </c>
    </row>
    <row r="5418" spans="1:16" x14ac:dyDescent="0.25">
      <c r="A5418" s="10">
        <v>45681</v>
      </c>
      <c r="B5418" s="3">
        <v>-50027</v>
      </c>
      <c r="C5418" s="3">
        <v>0</v>
      </c>
      <c r="D5418" s="3">
        <v>0</v>
      </c>
      <c r="E5418" s="3">
        <v>0</v>
      </c>
      <c r="F5418" s="3">
        <v>0</v>
      </c>
      <c r="G5418" s="3">
        <v>-543.40322181999989</v>
      </c>
      <c r="H5418" s="3">
        <v>-139336.69196798</v>
      </c>
      <c r="I5418" s="3">
        <v>0</v>
      </c>
      <c r="J5418" s="3">
        <v>0</v>
      </c>
      <c r="K5418" s="3">
        <v>-2669.8526233500002</v>
      </c>
      <c r="L5418" s="3">
        <v>0</v>
      </c>
      <c r="M5418" s="3">
        <v>0</v>
      </c>
      <c r="N5418" s="3">
        <v>98171.806738759988</v>
      </c>
      <c r="O5418">
        <v>-5648.8589256100086</v>
      </c>
      <c r="P5418">
        <v>30008838</v>
      </c>
    </row>
    <row r="5419" spans="1:16" x14ac:dyDescent="0.25">
      <c r="A5419" s="10">
        <v>45684</v>
      </c>
      <c r="B5419" s="3">
        <v>442842</v>
      </c>
      <c r="C5419" s="3">
        <v>-3677.5</v>
      </c>
      <c r="D5419" s="3">
        <v>0</v>
      </c>
      <c r="E5419" s="3">
        <v>0</v>
      </c>
      <c r="F5419" s="3">
        <v>0</v>
      </c>
      <c r="G5419" s="3">
        <v>-238.4816922</v>
      </c>
      <c r="H5419" s="3">
        <v>378097.74873199989</v>
      </c>
      <c r="I5419" s="3">
        <v>0</v>
      </c>
      <c r="J5419" s="3">
        <v>0</v>
      </c>
      <c r="K5419" s="3">
        <v>-1710.5924011300001</v>
      </c>
      <c r="L5419" s="3">
        <v>0</v>
      </c>
      <c r="M5419" s="3">
        <v>0</v>
      </c>
      <c r="N5419" s="3">
        <v>86086.655570899995</v>
      </c>
      <c r="O5419">
        <v>-15715.830209569889</v>
      </c>
      <c r="P5419">
        <v>30451680</v>
      </c>
    </row>
    <row r="5420" spans="1:16" x14ac:dyDescent="0.25">
      <c r="A5420" s="10">
        <v>45685</v>
      </c>
      <c r="B5420" s="3">
        <v>-835075</v>
      </c>
      <c r="C5420" s="3">
        <v>37800</v>
      </c>
      <c r="D5420" s="3">
        <v>0</v>
      </c>
      <c r="E5420" s="3">
        <v>0</v>
      </c>
      <c r="F5420" s="3">
        <v>0</v>
      </c>
      <c r="G5420" s="3">
        <v>-190.4573738500001</v>
      </c>
      <c r="H5420" s="3">
        <v>-636350.4874999898</v>
      </c>
      <c r="I5420" s="3">
        <v>0</v>
      </c>
      <c r="J5420" s="3">
        <v>0</v>
      </c>
      <c r="K5420" s="3">
        <v>-1043.68611945</v>
      </c>
      <c r="L5420" s="3">
        <v>0</v>
      </c>
      <c r="M5420" s="3">
        <v>0</v>
      </c>
      <c r="N5420" s="3">
        <v>-243877.9880407</v>
      </c>
      <c r="O5420">
        <v>8587.6190339898458</v>
      </c>
      <c r="P5420">
        <v>29616605</v>
      </c>
    </row>
    <row r="5421" spans="1:16" x14ac:dyDescent="0.25">
      <c r="A5421" s="10">
        <v>45686</v>
      </c>
      <c r="B5421" s="3">
        <v>-419758</v>
      </c>
      <c r="C5421" s="3">
        <v>108201.5</v>
      </c>
      <c r="D5421" s="3">
        <v>0</v>
      </c>
      <c r="E5421" s="3">
        <v>0</v>
      </c>
      <c r="F5421" s="3">
        <v>0</v>
      </c>
      <c r="G5421" s="3">
        <v>-311.438341349746</v>
      </c>
      <c r="H5421" s="3">
        <v>-238882.6825</v>
      </c>
      <c r="I5421" s="3">
        <v>0</v>
      </c>
      <c r="J5421" s="3">
        <v>0</v>
      </c>
      <c r="K5421" s="3">
        <v>-1442.80994549</v>
      </c>
      <c r="L5421" s="3">
        <v>0</v>
      </c>
      <c r="M5421" s="3">
        <v>0</v>
      </c>
      <c r="N5421" s="3">
        <v>-281343.01087514003</v>
      </c>
      <c r="O5421">
        <v>-5979.5583380202297</v>
      </c>
      <c r="P5421">
        <v>29196847</v>
      </c>
    </row>
    <row r="5422" spans="1:16" x14ac:dyDescent="0.25">
      <c r="A5422" s="10">
        <v>45687</v>
      </c>
      <c r="B5422" s="3">
        <v>-197649</v>
      </c>
      <c r="C5422" s="3">
        <v>-18936</v>
      </c>
      <c r="D5422" s="3">
        <v>0</v>
      </c>
      <c r="E5422" s="3">
        <v>0</v>
      </c>
      <c r="F5422" s="3">
        <v>0</v>
      </c>
      <c r="G5422" s="3">
        <v>-315.500177529746</v>
      </c>
      <c r="H5422" s="3">
        <v>-66056.657049990012</v>
      </c>
      <c r="I5422" s="3">
        <v>0</v>
      </c>
      <c r="J5422" s="3">
        <v>0</v>
      </c>
      <c r="K5422" s="3">
        <v>-497.76082852000002</v>
      </c>
      <c r="L5422" s="3">
        <v>0</v>
      </c>
      <c r="M5422" s="3">
        <v>0</v>
      </c>
      <c r="N5422" s="3">
        <v>-101874.81191903001</v>
      </c>
      <c r="O5422">
        <v>-9968.2700249302434</v>
      </c>
      <c r="P5422">
        <v>28999198</v>
      </c>
    </row>
    <row r="5423" spans="1:16" x14ac:dyDescent="0.25">
      <c r="A5423" s="10">
        <v>45688</v>
      </c>
      <c r="B5423" s="3">
        <v>1247399</v>
      </c>
      <c r="C5423" s="3">
        <v>71010</v>
      </c>
      <c r="D5423" s="3">
        <v>0</v>
      </c>
      <c r="E5423" s="3">
        <v>0</v>
      </c>
      <c r="F5423" s="3">
        <v>0</v>
      </c>
      <c r="G5423" s="3">
        <v>2208383.8132635201</v>
      </c>
      <c r="H5423" s="3">
        <v>-186433.49471699001</v>
      </c>
      <c r="I5423" s="3">
        <v>0</v>
      </c>
      <c r="J5423" s="3">
        <v>0</v>
      </c>
      <c r="K5423" s="3">
        <v>-1230.86686734</v>
      </c>
      <c r="L5423" s="3">
        <v>0</v>
      </c>
      <c r="M5423" s="3">
        <v>0</v>
      </c>
      <c r="N5423" s="3">
        <v>-831477.34246558999</v>
      </c>
      <c r="O5423">
        <v>-12853.10921360017</v>
      </c>
      <c r="P5423">
        <v>30246597</v>
      </c>
    </row>
    <row r="5424" spans="1:16" x14ac:dyDescent="0.25">
      <c r="A5424" s="10">
        <v>45691</v>
      </c>
      <c r="B5424" s="3">
        <v>948292</v>
      </c>
      <c r="C5424" s="3">
        <v>171112.5</v>
      </c>
      <c r="D5424" s="3">
        <v>0</v>
      </c>
      <c r="E5424" s="3">
        <v>0</v>
      </c>
      <c r="F5424" s="3">
        <v>0</v>
      </c>
      <c r="G5424" s="3">
        <v>-224.20819624000001</v>
      </c>
      <c r="H5424" s="3">
        <v>-284735.28393049998</v>
      </c>
      <c r="I5424" s="3">
        <v>0</v>
      </c>
      <c r="J5424" s="3">
        <v>0</v>
      </c>
      <c r="K5424" s="3">
        <v>-2085.1218824399998</v>
      </c>
      <c r="L5424" s="3">
        <v>0</v>
      </c>
      <c r="M5424" s="3">
        <v>0</v>
      </c>
      <c r="N5424" s="3">
        <v>1074656.9603327101</v>
      </c>
      <c r="O5424">
        <v>-10432.84632353007</v>
      </c>
      <c r="P5424">
        <v>31194889</v>
      </c>
    </row>
    <row r="5425" spans="1:16" x14ac:dyDescent="0.25">
      <c r="A5425" s="10">
        <v>45692</v>
      </c>
      <c r="B5425" s="3">
        <v>598608</v>
      </c>
      <c r="C5425" s="3">
        <v>17913.75</v>
      </c>
      <c r="D5425" s="3">
        <v>0</v>
      </c>
      <c r="E5425" s="3">
        <v>0</v>
      </c>
      <c r="F5425" s="3">
        <v>0</v>
      </c>
      <c r="G5425" s="3">
        <v>-255.08266298000041</v>
      </c>
      <c r="H5425" s="3">
        <v>11894.83043</v>
      </c>
      <c r="I5425" s="3">
        <v>0</v>
      </c>
      <c r="J5425" s="3">
        <v>0</v>
      </c>
      <c r="K5425" s="3">
        <v>-7.2491154800000004</v>
      </c>
      <c r="L5425" s="3">
        <v>0</v>
      </c>
      <c r="M5425" s="3">
        <v>0</v>
      </c>
      <c r="N5425" s="3">
        <v>612277.15275339002</v>
      </c>
      <c r="O5425">
        <v>-43215.401404930053</v>
      </c>
      <c r="P5425">
        <v>31793497</v>
      </c>
    </row>
    <row r="5426" spans="1:16" x14ac:dyDescent="0.25">
      <c r="A5426" s="10">
        <v>45693</v>
      </c>
      <c r="B5426" s="3">
        <v>-891752</v>
      </c>
      <c r="C5426" s="3">
        <v>9486</v>
      </c>
      <c r="D5426" s="3">
        <v>0</v>
      </c>
      <c r="E5426" s="3">
        <v>0</v>
      </c>
      <c r="F5426" s="3">
        <v>0</v>
      </c>
      <c r="G5426" s="3">
        <v>6.3585528799999338</v>
      </c>
      <c r="H5426" s="3">
        <v>17763.098699999999</v>
      </c>
      <c r="I5426" s="3">
        <v>0</v>
      </c>
      <c r="J5426" s="3">
        <v>0</v>
      </c>
      <c r="K5426" s="3">
        <v>-13.73227397</v>
      </c>
      <c r="L5426" s="3">
        <v>0</v>
      </c>
      <c r="M5426" s="3">
        <v>0</v>
      </c>
      <c r="N5426" s="3">
        <v>-918658.66538870998</v>
      </c>
      <c r="O5426">
        <v>-335.05959019996232</v>
      </c>
      <c r="P5426">
        <v>30901745</v>
      </c>
    </row>
    <row r="5427" spans="1:16" x14ac:dyDescent="0.25">
      <c r="A5427" s="10">
        <v>45694</v>
      </c>
      <c r="B5427" s="3">
        <v>132946</v>
      </c>
      <c r="C5427" s="3">
        <v>91214.25</v>
      </c>
      <c r="D5427" s="3">
        <v>0</v>
      </c>
      <c r="E5427" s="3">
        <v>0</v>
      </c>
      <c r="F5427" s="3">
        <v>0</v>
      </c>
      <c r="G5427" s="3">
        <v>-1057.4514691500001</v>
      </c>
      <c r="H5427" s="3">
        <v>7537.0883334999962</v>
      </c>
      <c r="I5427" s="3">
        <v>0</v>
      </c>
      <c r="J5427" s="3">
        <v>0</v>
      </c>
      <c r="K5427" s="3">
        <v>-14.06401644</v>
      </c>
      <c r="L5427" s="3">
        <v>0</v>
      </c>
      <c r="M5427" s="3">
        <v>0</v>
      </c>
      <c r="N5427" s="3">
        <v>65705.037768869995</v>
      </c>
      <c r="O5427">
        <v>-30438.860616779999</v>
      </c>
      <c r="P5427">
        <v>31034691</v>
      </c>
    </row>
    <row r="5428" spans="1:16" x14ac:dyDescent="0.25">
      <c r="A5428" s="10">
        <v>45695</v>
      </c>
      <c r="B5428" s="3">
        <v>275507</v>
      </c>
      <c r="C5428" s="3">
        <v>344164.92499999999</v>
      </c>
      <c r="D5428" s="3">
        <v>0</v>
      </c>
      <c r="E5428" s="3">
        <v>0</v>
      </c>
      <c r="F5428" s="3">
        <v>0</v>
      </c>
      <c r="G5428" s="3">
        <v>774.43221852998249</v>
      </c>
      <c r="H5428" s="3">
        <v>20928.736904000001</v>
      </c>
      <c r="I5428" s="3">
        <v>0</v>
      </c>
      <c r="J5428" s="3">
        <v>0</v>
      </c>
      <c r="K5428" s="3">
        <v>-14.89950054</v>
      </c>
      <c r="L5428" s="3">
        <v>0</v>
      </c>
      <c r="M5428" s="3">
        <v>0</v>
      </c>
      <c r="N5428" s="3">
        <v>-69615.790143850012</v>
      </c>
      <c r="O5428">
        <v>-20730.404478139939</v>
      </c>
      <c r="P5428">
        <v>31310198</v>
      </c>
    </row>
    <row r="5429" spans="1:16" x14ac:dyDescent="0.25">
      <c r="A5429" s="10">
        <v>45698</v>
      </c>
      <c r="B5429" s="3">
        <v>-316777</v>
      </c>
      <c r="C5429" s="3">
        <v>147277.125</v>
      </c>
      <c r="D5429" s="3">
        <v>0</v>
      </c>
      <c r="E5429" s="3">
        <v>0</v>
      </c>
      <c r="F5429" s="3">
        <v>0</v>
      </c>
      <c r="G5429" s="3">
        <v>-289.31985257000002</v>
      </c>
      <c r="H5429" s="3">
        <v>-4826.4869055000017</v>
      </c>
      <c r="I5429" s="3">
        <v>0</v>
      </c>
      <c r="J5429" s="3">
        <v>0</v>
      </c>
      <c r="K5429" s="3">
        <v>-170.18183640999999</v>
      </c>
      <c r="L5429" s="3">
        <v>0</v>
      </c>
      <c r="M5429" s="3">
        <v>0</v>
      </c>
      <c r="N5429" s="3">
        <v>-459237.17081555002</v>
      </c>
      <c r="O5429">
        <v>469.03441002999898</v>
      </c>
      <c r="P5429">
        <v>30993421</v>
      </c>
    </row>
    <row r="5430" spans="1:16" x14ac:dyDescent="0.25">
      <c r="A5430" s="10">
        <v>45699</v>
      </c>
      <c r="B5430" s="3">
        <v>-352495</v>
      </c>
      <c r="C5430" s="3">
        <v>77304.235000000001</v>
      </c>
      <c r="D5430" s="3">
        <v>0</v>
      </c>
      <c r="E5430" s="3">
        <v>0</v>
      </c>
      <c r="F5430" s="3">
        <v>0</v>
      </c>
      <c r="G5430" s="3">
        <v>-4387.5666734899996</v>
      </c>
      <c r="H5430" s="3">
        <v>-2337.4452569999989</v>
      </c>
      <c r="I5430" s="3">
        <v>0</v>
      </c>
      <c r="J5430" s="3">
        <v>0</v>
      </c>
      <c r="K5430" s="3">
        <v>-107.53612068</v>
      </c>
      <c r="L5430" s="3">
        <v>0</v>
      </c>
      <c r="M5430" s="3">
        <v>0</v>
      </c>
      <c r="N5430" s="3">
        <v>-429499.87859416998</v>
      </c>
      <c r="O5430">
        <v>6533.1916453399463</v>
      </c>
      <c r="P5430">
        <v>30640926</v>
      </c>
    </row>
    <row r="5431" spans="1:16" x14ac:dyDescent="0.25">
      <c r="A5431" s="10">
        <v>45700</v>
      </c>
      <c r="B5431" s="3">
        <v>-204061</v>
      </c>
      <c r="C5431" s="3">
        <v>178971.1</v>
      </c>
      <c r="D5431" s="3">
        <v>0</v>
      </c>
      <c r="E5431" s="3">
        <v>0</v>
      </c>
      <c r="F5431" s="3">
        <v>0</v>
      </c>
      <c r="G5431" s="3">
        <v>1144.589320859872</v>
      </c>
      <c r="H5431" s="3">
        <v>135315.76539399999</v>
      </c>
      <c r="I5431" s="3">
        <v>0</v>
      </c>
      <c r="J5431" s="3">
        <v>0</v>
      </c>
      <c r="K5431" s="3">
        <v>-144.00840484</v>
      </c>
      <c r="L5431" s="3">
        <v>0</v>
      </c>
      <c r="M5431" s="3">
        <v>0</v>
      </c>
      <c r="N5431" s="3">
        <v>-518298.34721457999</v>
      </c>
      <c r="O5431">
        <v>-1050.0990954398289</v>
      </c>
      <c r="P5431">
        <v>30436865</v>
      </c>
    </row>
    <row r="5432" spans="1:16" x14ac:dyDescent="0.25">
      <c r="A5432" s="10">
        <v>45701</v>
      </c>
      <c r="B5432" s="3">
        <v>96330</v>
      </c>
      <c r="C5432" s="3">
        <v>-131.81</v>
      </c>
      <c r="D5432" s="3">
        <v>0</v>
      </c>
      <c r="E5432" s="3">
        <v>0</v>
      </c>
      <c r="F5432" s="3">
        <v>0</v>
      </c>
      <c r="G5432" s="3">
        <v>-2201374.1650709598</v>
      </c>
      <c r="H5432" s="3">
        <v>-16134.272737499999</v>
      </c>
      <c r="I5432" s="3">
        <v>0</v>
      </c>
      <c r="J5432" s="3">
        <v>0</v>
      </c>
      <c r="K5432" s="3">
        <v>-212.97117818000001</v>
      </c>
      <c r="L5432" s="3">
        <v>0</v>
      </c>
      <c r="M5432" s="3">
        <v>0</v>
      </c>
      <c r="N5432" s="3">
        <v>2310340.1987850098</v>
      </c>
      <c r="O5432">
        <v>3843.0202016304252</v>
      </c>
      <c r="P5432">
        <v>30533195</v>
      </c>
    </row>
    <row r="5433" spans="1:16" x14ac:dyDescent="0.25">
      <c r="A5433" s="10">
        <v>45702</v>
      </c>
      <c r="B5433" s="3">
        <v>-144476</v>
      </c>
      <c r="C5433" s="3">
        <v>3700.375</v>
      </c>
      <c r="D5433" s="3">
        <v>0</v>
      </c>
      <c r="E5433" s="3">
        <v>0</v>
      </c>
      <c r="F5433" s="3">
        <v>0</v>
      </c>
      <c r="G5433" s="3">
        <v>1430226.2728943899</v>
      </c>
      <c r="H5433" s="3">
        <v>-150628.67374999999</v>
      </c>
      <c r="I5433" s="3">
        <v>0</v>
      </c>
      <c r="J5433" s="3">
        <v>0</v>
      </c>
      <c r="K5433" s="3">
        <v>-150.74418534</v>
      </c>
      <c r="L5433" s="3">
        <v>0</v>
      </c>
      <c r="M5433" s="3">
        <v>0</v>
      </c>
      <c r="N5433" s="3">
        <v>-1422005.2734604899</v>
      </c>
      <c r="O5433">
        <v>-5617.9564985602628</v>
      </c>
      <c r="P5433">
        <v>30388719</v>
      </c>
    </row>
    <row r="5434" spans="1:16" x14ac:dyDescent="0.25">
      <c r="A5434" s="10">
        <v>45705</v>
      </c>
      <c r="B5434" s="3">
        <v>-1110249</v>
      </c>
      <c r="C5434" s="3">
        <v>39155.25</v>
      </c>
      <c r="D5434" s="3">
        <v>0</v>
      </c>
      <c r="E5434" s="3">
        <v>0</v>
      </c>
      <c r="F5434" s="3">
        <v>0</v>
      </c>
      <c r="G5434" s="3">
        <v>-3146.0505669801501</v>
      </c>
      <c r="H5434" s="3">
        <v>6839.1236300000019</v>
      </c>
      <c r="I5434" s="3">
        <v>0</v>
      </c>
      <c r="J5434" s="3">
        <v>0</v>
      </c>
      <c r="K5434" s="3">
        <v>-55.60048802</v>
      </c>
      <c r="L5434" s="3">
        <v>0</v>
      </c>
      <c r="M5434" s="3">
        <v>0</v>
      </c>
      <c r="N5434" s="3">
        <v>-1151968.68617566</v>
      </c>
      <c r="O5434">
        <v>-1073.0363993397909</v>
      </c>
      <c r="P5434">
        <v>29278470</v>
      </c>
    </row>
    <row r="5435" spans="1:16" x14ac:dyDescent="0.25">
      <c r="A5435" s="10">
        <v>45706</v>
      </c>
      <c r="B5435" s="3">
        <v>-14465</v>
      </c>
      <c r="C5435" s="3">
        <v>-15892.5</v>
      </c>
      <c r="D5435" s="3">
        <v>0</v>
      </c>
      <c r="E5435" s="3">
        <v>0</v>
      </c>
      <c r="F5435" s="3">
        <v>0</v>
      </c>
      <c r="G5435" s="3">
        <v>-68.903901819999987</v>
      </c>
      <c r="H5435" s="3">
        <v>6518.4450849999994</v>
      </c>
      <c r="I5435" s="3">
        <v>0</v>
      </c>
      <c r="J5435" s="3">
        <v>0</v>
      </c>
      <c r="K5435" s="3">
        <v>-96.584373560000003</v>
      </c>
      <c r="L5435" s="3">
        <v>0</v>
      </c>
      <c r="M5435" s="3">
        <v>0</v>
      </c>
      <c r="N5435" s="3">
        <v>-4502.3451127300004</v>
      </c>
      <c r="O5435">
        <v>-423.11169689000047</v>
      </c>
      <c r="P5435">
        <v>29264005</v>
      </c>
    </row>
    <row r="5436" spans="1:16" x14ac:dyDescent="0.25">
      <c r="A5436" s="10">
        <v>45707</v>
      </c>
      <c r="B5436" s="3">
        <v>-272340</v>
      </c>
      <c r="C5436" s="3">
        <v>181089</v>
      </c>
      <c r="D5436" s="3">
        <v>0</v>
      </c>
      <c r="E5436" s="3">
        <v>0</v>
      </c>
      <c r="F5436" s="3">
        <v>0</v>
      </c>
      <c r="G5436" s="3">
        <v>6606.042715520598</v>
      </c>
      <c r="H5436" s="3">
        <v>8147.0170200000066</v>
      </c>
      <c r="I5436" s="3">
        <v>0</v>
      </c>
      <c r="J5436" s="3">
        <v>0</v>
      </c>
      <c r="K5436" s="3">
        <v>-55.536569790000001</v>
      </c>
      <c r="L5436" s="3">
        <v>0</v>
      </c>
      <c r="M5436" s="3">
        <v>0</v>
      </c>
      <c r="N5436" s="3">
        <v>-460865.75303679</v>
      </c>
      <c r="O5436">
        <v>-7260.7701289405813</v>
      </c>
      <c r="P5436">
        <v>28991665</v>
      </c>
    </row>
    <row r="5437" spans="1:16" x14ac:dyDescent="0.25">
      <c r="A5437" s="10">
        <v>45708</v>
      </c>
      <c r="B5437" s="3">
        <v>71786</v>
      </c>
      <c r="C5437" s="3">
        <v>155773.30499999999</v>
      </c>
      <c r="D5437" s="3">
        <v>0</v>
      </c>
      <c r="E5437" s="3">
        <v>0</v>
      </c>
      <c r="F5437" s="3">
        <v>0</v>
      </c>
      <c r="G5437" s="3">
        <v>-33.614498049999987</v>
      </c>
      <c r="H5437" s="3">
        <v>7881.7280099999916</v>
      </c>
      <c r="I5437" s="3">
        <v>0</v>
      </c>
      <c r="J5437" s="3">
        <v>0</v>
      </c>
      <c r="K5437" s="3">
        <v>-80.774305680000012</v>
      </c>
      <c r="L5437" s="3">
        <v>0</v>
      </c>
      <c r="M5437" s="3">
        <v>0</v>
      </c>
      <c r="N5437" s="3">
        <v>-4651.9982687499996</v>
      </c>
      <c r="O5437">
        <v>-87102.645937519963</v>
      </c>
      <c r="P5437">
        <v>29063451</v>
      </c>
    </row>
    <row r="5438" spans="1:16" x14ac:dyDescent="0.25">
      <c r="A5438" s="10">
        <v>45709</v>
      </c>
      <c r="B5438" s="3">
        <v>386043</v>
      </c>
      <c r="C5438" s="3">
        <v>87959.25</v>
      </c>
      <c r="D5438" s="3">
        <v>0</v>
      </c>
      <c r="E5438" s="3">
        <v>0</v>
      </c>
      <c r="F5438" s="3">
        <v>0</v>
      </c>
      <c r="G5438" s="3">
        <v>-643.88280530999998</v>
      </c>
      <c r="H5438" s="3">
        <v>-3770.621050000002</v>
      </c>
      <c r="I5438" s="3">
        <v>0</v>
      </c>
      <c r="J5438" s="3">
        <v>0</v>
      </c>
      <c r="K5438" s="3">
        <v>-23.219927200000001</v>
      </c>
      <c r="L5438" s="3">
        <v>0</v>
      </c>
      <c r="M5438" s="3">
        <v>0</v>
      </c>
      <c r="N5438" s="3">
        <v>359215.62022425001</v>
      </c>
      <c r="O5438">
        <v>-56694.146441739977</v>
      </c>
      <c r="P5438">
        <v>29449494</v>
      </c>
    </row>
    <row r="5439" spans="1:16" x14ac:dyDescent="0.25">
      <c r="A5439" s="10">
        <v>45712</v>
      </c>
      <c r="B5439" s="3">
        <v>-167064</v>
      </c>
      <c r="C5439" s="3">
        <v>127290</v>
      </c>
      <c r="D5439" s="3">
        <v>0</v>
      </c>
      <c r="E5439" s="3">
        <v>0</v>
      </c>
      <c r="F5439" s="3">
        <v>0</v>
      </c>
      <c r="G5439" s="3">
        <v>899452.0239757502</v>
      </c>
      <c r="H5439" s="3">
        <v>60055.562344999998</v>
      </c>
      <c r="I5439" s="3">
        <v>0</v>
      </c>
      <c r="J5439" s="3">
        <v>0</v>
      </c>
      <c r="K5439" s="3">
        <v>-101.5448239</v>
      </c>
      <c r="L5439" s="3">
        <v>0</v>
      </c>
      <c r="M5439" s="3">
        <v>0</v>
      </c>
      <c r="N5439" s="3">
        <v>-1187006.2077154</v>
      </c>
      <c r="O5439">
        <v>-66753.833781450288</v>
      </c>
      <c r="P5439">
        <v>29282430</v>
      </c>
    </row>
    <row r="5440" spans="1:16" x14ac:dyDescent="0.25">
      <c r="A5440" s="10">
        <v>45713</v>
      </c>
      <c r="B5440" s="3">
        <v>-52774</v>
      </c>
      <c r="C5440" s="3">
        <v>136869</v>
      </c>
      <c r="D5440" s="3">
        <v>0</v>
      </c>
      <c r="E5440" s="3">
        <v>0</v>
      </c>
      <c r="F5440" s="3">
        <v>0</v>
      </c>
      <c r="G5440" s="3">
        <v>1735.5827604299409</v>
      </c>
      <c r="H5440" s="3">
        <v>-65981.710239999986</v>
      </c>
      <c r="I5440" s="3">
        <v>0</v>
      </c>
      <c r="J5440" s="3">
        <v>0</v>
      </c>
      <c r="K5440" s="3">
        <v>-138.22709644</v>
      </c>
      <c r="L5440" s="3">
        <v>0</v>
      </c>
      <c r="M5440" s="3">
        <v>0</v>
      </c>
      <c r="N5440" s="3">
        <v>-108626.96736005</v>
      </c>
      <c r="O5440">
        <v>-16631.678063939951</v>
      </c>
      <c r="P5440">
        <v>29229656</v>
      </c>
    </row>
    <row r="5441" spans="1:16" x14ac:dyDescent="0.25">
      <c r="A5441" s="10">
        <v>45714</v>
      </c>
      <c r="B5441" s="3">
        <v>-125928</v>
      </c>
      <c r="C5441" s="3">
        <v>165753.22500000001</v>
      </c>
      <c r="D5441" s="3">
        <v>0</v>
      </c>
      <c r="E5441" s="3">
        <v>0</v>
      </c>
      <c r="F5441" s="3">
        <v>0</v>
      </c>
      <c r="G5441" s="3">
        <v>-429.99721722999999</v>
      </c>
      <c r="H5441" s="3">
        <v>26381.508099999999</v>
      </c>
      <c r="I5441" s="3">
        <v>0</v>
      </c>
      <c r="J5441" s="3">
        <v>0</v>
      </c>
      <c r="K5441" s="3">
        <v>-113.69948157</v>
      </c>
      <c r="L5441" s="3">
        <v>0</v>
      </c>
      <c r="M5441" s="3">
        <v>0</v>
      </c>
      <c r="N5441" s="3">
        <v>-255916.94842090001</v>
      </c>
      <c r="O5441">
        <v>-61602.087980300013</v>
      </c>
      <c r="P5441">
        <v>29103728</v>
      </c>
    </row>
    <row r="5442" spans="1:16" x14ac:dyDescent="0.25">
      <c r="A5442" s="10">
        <v>45715</v>
      </c>
      <c r="B5442" s="3">
        <v>1075765</v>
      </c>
      <c r="C5442" s="3">
        <v>117323.375</v>
      </c>
      <c r="D5442" s="3">
        <v>-531000</v>
      </c>
      <c r="E5442" s="3">
        <v>0</v>
      </c>
      <c r="F5442" s="3">
        <v>0</v>
      </c>
      <c r="G5442" s="3">
        <v>530748.27373662998</v>
      </c>
      <c r="H5442" s="3">
        <v>-31529.059000000001</v>
      </c>
      <c r="I5442" s="3">
        <v>0</v>
      </c>
      <c r="J5442" s="3">
        <v>0</v>
      </c>
      <c r="K5442" s="3">
        <v>-112.50619931999999</v>
      </c>
      <c r="L5442" s="3">
        <v>0</v>
      </c>
      <c r="M5442" s="3">
        <v>0</v>
      </c>
      <c r="N5442" s="3">
        <v>994607.28870628006</v>
      </c>
      <c r="O5442">
        <v>-4272.3722435899545</v>
      </c>
      <c r="P5442">
        <v>30179493</v>
      </c>
    </row>
    <row r="5443" spans="1:16" x14ac:dyDescent="0.25">
      <c r="A5443" s="10">
        <v>45716</v>
      </c>
      <c r="B5443" s="3">
        <v>102673</v>
      </c>
      <c r="C5443" s="3">
        <v>24219.3</v>
      </c>
      <c r="D5443" s="3">
        <v>0</v>
      </c>
      <c r="E5443" s="3">
        <v>0</v>
      </c>
      <c r="F5443" s="3">
        <v>0</v>
      </c>
      <c r="G5443" s="3">
        <v>-2686541.1695782002</v>
      </c>
      <c r="H5443" s="3">
        <v>110106.63499999999</v>
      </c>
      <c r="I5443" s="3">
        <v>0</v>
      </c>
      <c r="J5443" s="3">
        <v>0</v>
      </c>
      <c r="K5443" s="3">
        <v>-61.234745750000002</v>
      </c>
      <c r="L5443" s="3">
        <v>0</v>
      </c>
      <c r="M5443" s="3">
        <v>0</v>
      </c>
      <c r="N5443" s="3">
        <v>2656400.1688967398</v>
      </c>
      <c r="O5443">
        <v>-1450.699572789483</v>
      </c>
      <c r="P5443">
        <v>30282166</v>
      </c>
    </row>
    <row r="5444" spans="1:16" x14ac:dyDescent="0.25">
      <c r="A5444" s="10">
        <v>45721</v>
      </c>
      <c r="B5444" s="3">
        <v>477219</v>
      </c>
      <c r="C5444" s="3">
        <v>-372049.25</v>
      </c>
      <c r="D5444" s="3">
        <v>0</v>
      </c>
      <c r="E5444" s="3">
        <v>0</v>
      </c>
      <c r="F5444" s="3">
        <v>0</v>
      </c>
      <c r="G5444" s="3">
        <v>-4151.4128465399999</v>
      </c>
      <c r="H5444" s="3">
        <v>498622.9365985</v>
      </c>
      <c r="I5444" s="3">
        <v>0</v>
      </c>
      <c r="J5444" s="3">
        <v>0</v>
      </c>
      <c r="K5444" s="3">
        <v>-732.90894580999998</v>
      </c>
      <c r="L5444" s="3">
        <v>0</v>
      </c>
      <c r="M5444" s="3">
        <v>0</v>
      </c>
      <c r="N5444" s="3">
        <v>356108.12231741002</v>
      </c>
      <c r="O5444">
        <v>-578.48712355998578</v>
      </c>
      <c r="P5444">
        <v>30759385</v>
      </c>
    </row>
    <row r="5445" spans="1:16" x14ac:dyDescent="0.25">
      <c r="A5445" s="10">
        <v>45722</v>
      </c>
      <c r="B5445" s="3">
        <v>365906</v>
      </c>
      <c r="C5445" s="3">
        <v>260954.1</v>
      </c>
      <c r="D5445" s="3">
        <v>0</v>
      </c>
      <c r="E5445" s="3">
        <v>0</v>
      </c>
      <c r="F5445" s="3">
        <v>0</v>
      </c>
      <c r="G5445" s="3">
        <v>3293.6336385899999</v>
      </c>
      <c r="H5445" s="3">
        <v>-536984.64026249992</v>
      </c>
      <c r="I5445" s="3">
        <v>0</v>
      </c>
      <c r="J5445" s="3">
        <v>0</v>
      </c>
      <c r="K5445" s="3">
        <v>-639.77667623000002</v>
      </c>
      <c r="L5445" s="3">
        <v>0</v>
      </c>
      <c r="M5445" s="3">
        <v>0</v>
      </c>
      <c r="N5445" s="3">
        <v>643924.93674251006</v>
      </c>
      <c r="O5445">
        <v>-4642.2534423700999</v>
      </c>
      <c r="P5445">
        <v>31125291</v>
      </c>
    </row>
    <row r="5446" spans="1:16" x14ac:dyDescent="0.25">
      <c r="A5446" s="10">
        <v>45723</v>
      </c>
      <c r="B5446" s="3">
        <v>-268864</v>
      </c>
      <c r="C5446" s="3">
        <v>179368.25</v>
      </c>
      <c r="D5446" s="3">
        <v>0</v>
      </c>
      <c r="E5446" s="3">
        <v>0</v>
      </c>
      <c r="F5446" s="3">
        <v>0</v>
      </c>
      <c r="G5446" s="3">
        <v>-450.16256352999972</v>
      </c>
      <c r="H5446" s="3">
        <v>-55024.836499999998</v>
      </c>
      <c r="I5446" s="3">
        <v>0</v>
      </c>
      <c r="J5446" s="3">
        <v>0</v>
      </c>
      <c r="K5446" s="3">
        <v>-206.99610017000001</v>
      </c>
      <c r="L5446" s="3">
        <v>0</v>
      </c>
      <c r="M5446" s="3">
        <v>0</v>
      </c>
      <c r="N5446" s="3">
        <v>-273618.92192385998</v>
      </c>
      <c r="O5446">
        <v>-118931.33291244</v>
      </c>
      <c r="P5446">
        <v>30856427</v>
      </c>
    </row>
    <row r="5447" spans="1:16" x14ac:dyDescent="0.25">
      <c r="A5447" s="10">
        <v>45726</v>
      </c>
      <c r="B5447" s="3">
        <v>-710409</v>
      </c>
      <c r="C5447" s="3">
        <v>-238323</v>
      </c>
      <c r="D5447" s="3">
        <v>0</v>
      </c>
      <c r="E5447" s="3">
        <v>0</v>
      </c>
      <c r="F5447" s="3">
        <v>0</v>
      </c>
      <c r="G5447" s="3">
        <v>-334.69828314999899</v>
      </c>
      <c r="H5447" s="3">
        <v>184219.29837</v>
      </c>
      <c r="I5447" s="3">
        <v>0</v>
      </c>
      <c r="J5447" s="3">
        <v>0</v>
      </c>
      <c r="K5447" s="3">
        <v>-126.56444931</v>
      </c>
      <c r="L5447" s="3">
        <v>0</v>
      </c>
      <c r="M5447" s="3">
        <v>0</v>
      </c>
      <c r="N5447" s="3">
        <v>-652601.43645976007</v>
      </c>
      <c r="O5447">
        <v>-3242.5991777799791</v>
      </c>
      <c r="P5447">
        <v>30146018</v>
      </c>
    </row>
    <row r="5448" spans="1:16" x14ac:dyDescent="0.25">
      <c r="A5448" s="10">
        <v>45727</v>
      </c>
      <c r="B5448" s="3">
        <v>329123</v>
      </c>
      <c r="C5448" s="3">
        <v>38376</v>
      </c>
      <c r="D5448" s="3">
        <v>0</v>
      </c>
      <c r="E5448" s="3">
        <v>0</v>
      </c>
      <c r="F5448" s="3">
        <v>0</v>
      </c>
      <c r="G5448" s="3">
        <v>-331.41481972000003</v>
      </c>
      <c r="H5448" s="3">
        <v>20821.926729999999</v>
      </c>
      <c r="I5448" s="3">
        <v>0</v>
      </c>
      <c r="J5448" s="3">
        <v>0</v>
      </c>
      <c r="K5448" s="3">
        <v>-194.39113652</v>
      </c>
      <c r="L5448" s="3">
        <v>0</v>
      </c>
      <c r="M5448" s="3">
        <v>0</v>
      </c>
      <c r="N5448" s="3">
        <v>288466.70446068002</v>
      </c>
      <c r="O5448">
        <v>-18015.825234440039</v>
      </c>
      <c r="P5448">
        <v>30475141</v>
      </c>
    </row>
    <row r="5449" spans="1:16" x14ac:dyDescent="0.25">
      <c r="A5449" s="10">
        <v>45728</v>
      </c>
      <c r="B5449" s="3">
        <v>18181</v>
      </c>
      <c r="C5449" s="3">
        <v>286156.05</v>
      </c>
      <c r="D5449" s="3">
        <v>0</v>
      </c>
      <c r="E5449" s="3">
        <v>0</v>
      </c>
      <c r="F5449" s="3">
        <v>0</v>
      </c>
      <c r="G5449" s="3">
        <v>-384.32698725</v>
      </c>
      <c r="H5449" s="3">
        <v>107539.3118</v>
      </c>
      <c r="I5449" s="3">
        <v>0</v>
      </c>
      <c r="J5449" s="3">
        <v>0</v>
      </c>
      <c r="K5449" s="3">
        <v>-273.91677341000002</v>
      </c>
      <c r="L5449" s="3">
        <v>0</v>
      </c>
      <c r="M5449" s="3">
        <v>0</v>
      </c>
      <c r="N5449" s="3">
        <v>-364465.47377257003</v>
      </c>
      <c r="O5449">
        <v>-10390.64426676999</v>
      </c>
      <c r="P5449">
        <v>30493322</v>
      </c>
    </row>
    <row r="5450" spans="1:16" x14ac:dyDescent="0.25">
      <c r="A5450" s="10">
        <v>45729</v>
      </c>
      <c r="B5450" s="3">
        <v>-441612</v>
      </c>
      <c r="C5450" s="3">
        <v>85073.3125</v>
      </c>
      <c r="D5450" s="3">
        <v>0</v>
      </c>
      <c r="E5450" s="3">
        <v>0</v>
      </c>
      <c r="F5450" s="3">
        <v>0</v>
      </c>
      <c r="G5450" s="3">
        <v>-3444.3445878799998</v>
      </c>
      <c r="H5450" s="3">
        <v>192366.05000001</v>
      </c>
      <c r="I5450" s="3">
        <v>0</v>
      </c>
      <c r="J5450" s="3">
        <v>0</v>
      </c>
      <c r="K5450" s="3">
        <v>-359.21632397000002</v>
      </c>
      <c r="L5450" s="3">
        <v>0</v>
      </c>
      <c r="M5450" s="3">
        <v>0</v>
      </c>
      <c r="N5450" s="3">
        <v>-686859.39216424001</v>
      </c>
      <c r="O5450">
        <v>-28388.40942391998</v>
      </c>
      <c r="P5450">
        <v>30051710</v>
      </c>
    </row>
    <row r="5451" spans="1:16" x14ac:dyDescent="0.25">
      <c r="A5451" s="10">
        <v>45730</v>
      </c>
      <c r="B5451" s="3">
        <v>510554</v>
      </c>
      <c r="C5451" s="3">
        <v>53670.1</v>
      </c>
      <c r="D5451" s="3">
        <v>0</v>
      </c>
      <c r="E5451" s="3">
        <v>0</v>
      </c>
      <c r="F5451" s="3">
        <v>0</v>
      </c>
      <c r="G5451" s="3">
        <v>146413.81846131029</v>
      </c>
      <c r="H5451" s="3">
        <v>-213306.93149995999</v>
      </c>
      <c r="I5451" s="3">
        <v>0</v>
      </c>
      <c r="J5451" s="3">
        <v>0</v>
      </c>
      <c r="K5451" s="3">
        <v>-533.07619110999997</v>
      </c>
      <c r="L5451" s="3">
        <v>0</v>
      </c>
      <c r="M5451" s="3">
        <v>0</v>
      </c>
      <c r="N5451" s="3">
        <v>532051.92669631005</v>
      </c>
      <c r="O5451">
        <v>-7741.8374665503507</v>
      </c>
      <c r="P5451">
        <v>30562264</v>
      </c>
    </row>
    <row r="5452" spans="1:16" x14ac:dyDescent="0.25">
      <c r="A5452" s="10">
        <v>45733</v>
      </c>
      <c r="B5452" s="3">
        <v>-346597</v>
      </c>
      <c r="C5452" s="3">
        <v>-506211.0625</v>
      </c>
      <c r="D5452" s="3">
        <v>0</v>
      </c>
      <c r="E5452" s="3">
        <v>0</v>
      </c>
      <c r="F5452" s="3">
        <v>0</v>
      </c>
      <c r="G5452" s="3">
        <v>-760.04820547002601</v>
      </c>
      <c r="H5452" s="3">
        <v>-259551.5618</v>
      </c>
      <c r="I5452" s="3">
        <v>0</v>
      </c>
      <c r="J5452" s="3">
        <v>0</v>
      </c>
      <c r="K5452" s="3">
        <v>-941.97334214</v>
      </c>
      <c r="L5452" s="3">
        <v>0</v>
      </c>
      <c r="M5452" s="3">
        <v>0</v>
      </c>
      <c r="N5452" s="3">
        <v>442704.81424064998</v>
      </c>
      <c r="O5452">
        <v>-21837.16839304008</v>
      </c>
      <c r="P5452">
        <v>30215667</v>
      </c>
    </row>
    <row r="5453" spans="1:16" x14ac:dyDescent="0.25">
      <c r="A5453" s="10">
        <v>45734</v>
      </c>
      <c r="B5453" s="3">
        <v>-330611</v>
      </c>
      <c r="C5453" s="3">
        <v>-59901</v>
      </c>
      <c r="D5453" s="3">
        <v>0</v>
      </c>
      <c r="E5453" s="3">
        <v>0</v>
      </c>
      <c r="F5453" s="3">
        <v>0</v>
      </c>
      <c r="G5453" s="3">
        <v>-331.19715052999891</v>
      </c>
      <c r="H5453" s="3">
        <v>-51853.9283</v>
      </c>
      <c r="I5453" s="3">
        <v>0</v>
      </c>
      <c r="J5453" s="3">
        <v>0</v>
      </c>
      <c r="K5453" s="3">
        <v>-98.935972319999991</v>
      </c>
      <c r="L5453" s="3">
        <v>0</v>
      </c>
      <c r="M5453" s="3">
        <v>0</v>
      </c>
      <c r="N5453" s="3">
        <v>-138488.16530187</v>
      </c>
      <c r="O5453">
        <v>-79937.773275279993</v>
      </c>
      <c r="P5453">
        <v>29885056</v>
      </c>
    </row>
    <row r="5454" spans="1:16" x14ac:dyDescent="0.25">
      <c r="A5454" s="10">
        <v>45735</v>
      </c>
      <c r="B5454" s="3">
        <v>107547</v>
      </c>
      <c r="C5454" s="3">
        <v>-229446.875</v>
      </c>
      <c r="D5454" s="3">
        <v>0</v>
      </c>
      <c r="E5454" s="3">
        <v>0</v>
      </c>
      <c r="F5454" s="3">
        <v>0</v>
      </c>
      <c r="G5454" s="3">
        <v>3841.95643952</v>
      </c>
      <c r="H5454" s="3">
        <v>48857.211399999993</v>
      </c>
      <c r="I5454" s="3">
        <v>0</v>
      </c>
      <c r="J5454" s="3">
        <v>0</v>
      </c>
      <c r="K5454" s="3">
        <v>-113.70950426</v>
      </c>
      <c r="L5454" s="3">
        <v>0</v>
      </c>
      <c r="M5454" s="3">
        <v>0</v>
      </c>
      <c r="N5454" s="3">
        <v>334438.81529200001</v>
      </c>
      <c r="O5454">
        <v>-50030.398627260001</v>
      </c>
      <c r="P5454">
        <v>29992603</v>
      </c>
    </row>
    <row r="5455" spans="1:16" x14ac:dyDescent="0.25">
      <c r="A5455" s="10">
        <v>45736</v>
      </c>
      <c r="B5455" s="3">
        <v>-277598</v>
      </c>
      <c r="C5455" s="3">
        <v>-199294.42499999999</v>
      </c>
      <c r="D5455" s="3">
        <v>0</v>
      </c>
      <c r="E5455" s="3">
        <v>0</v>
      </c>
      <c r="F5455" s="3">
        <v>0</v>
      </c>
      <c r="G5455" s="3">
        <v>-611.61839318999955</v>
      </c>
      <c r="H5455" s="3">
        <v>100434.93750001</v>
      </c>
      <c r="I5455" s="3">
        <v>0</v>
      </c>
      <c r="J5455" s="3">
        <v>0</v>
      </c>
      <c r="K5455" s="3">
        <v>-106.91521274999999</v>
      </c>
      <c r="L5455" s="3">
        <v>0</v>
      </c>
      <c r="M5455" s="3">
        <v>0</v>
      </c>
      <c r="N5455" s="3">
        <v>-146013.94836439</v>
      </c>
      <c r="O5455">
        <v>-32006.030529680022</v>
      </c>
      <c r="P5455">
        <v>29715005</v>
      </c>
    </row>
    <row r="5456" spans="1:16" x14ac:dyDescent="0.25">
      <c r="A5456" s="10">
        <v>45737</v>
      </c>
      <c r="B5456" s="3">
        <v>442527</v>
      </c>
      <c r="C5456" s="3">
        <v>-82394</v>
      </c>
      <c r="D5456" s="3">
        <v>0</v>
      </c>
      <c r="E5456" s="3">
        <v>0</v>
      </c>
      <c r="F5456" s="3">
        <v>0</v>
      </c>
      <c r="G5456" s="3">
        <v>-63.242506959999453</v>
      </c>
      <c r="H5456" s="3">
        <v>-27006.213175000001</v>
      </c>
      <c r="I5456" s="3">
        <v>0</v>
      </c>
      <c r="J5456" s="3">
        <v>0</v>
      </c>
      <c r="K5456" s="3">
        <v>-192.22314069999999</v>
      </c>
      <c r="L5456" s="3">
        <v>0</v>
      </c>
      <c r="M5456" s="3">
        <v>0</v>
      </c>
      <c r="N5456" s="3">
        <v>559683.06516895001</v>
      </c>
      <c r="O5456">
        <v>-7500.3863462900044</v>
      </c>
      <c r="P5456">
        <v>30157532</v>
      </c>
    </row>
    <row r="5457" spans="1:16" x14ac:dyDescent="0.25">
      <c r="A5457" s="10">
        <v>45741</v>
      </c>
      <c r="B5457" s="3">
        <v>-8754</v>
      </c>
      <c r="C5457" s="3">
        <v>-209479.625</v>
      </c>
      <c r="D5457" s="3">
        <v>0</v>
      </c>
      <c r="E5457" s="3">
        <v>0</v>
      </c>
      <c r="F5457" s="3">
        <v>0</v>
      </c>
      <c r="G5457" s="3">
        <v>-169.4546282499999</v>
      </c>
      <c r="H5457" s="3">
        <v>226264.61807500999</v>
      </c>
      <c r="I5457" s="3">
        <v>0</v>
      </c>
      <c r="J5457" s="3">
        <v>0</v>
      </c>
      <c r="K5457" s="3">
        <v>-551.55377685999997</v>
      </c>
      <c r="L5457" s="3">
        <v>0</v>
      </c>
      <c r="M5457" s="3">
        <v>0</v>
      </c>
      <c r="N5457" s="3">
        <v>-4663.50383289</v>
      </c>
      <c r="O5457">
        <v>-20154.480837009982</v>
      </c>
      <c r="P5457">
        <v>30148778</v>
      </c>
    </row>
    <row r="5458" spans="1:16" x14ac:dyDescent="0.25">
      <c r="A5458" s="10">
        <v>45742</v>
      </c>
      <c r="B5458" s="3">
        <v>-297411</v>
      </c>
      <c r="C5458" s="3">
        <v>-116695.625</v>
      </c>
      <c r="D5458" s="3">
        <v>0</v>
      </c>
      <c r="E5458" s="3">
        <v>0</v>
      </c>
      <c r="F5458" s="3">
        <v>0</v>
      </c>
      <c r="G5458" s="3">
        <v>-391.01373959000188</v>
      </c>
      <c r="H5458" s="3">
        <v>-18500.289099990001</v>
      </c>
      <c r="I5458" s="3">
        <v>0</v>
      </c>
      <c r="J5458" s="3">
        <v>0</v>
      </c>
      <c r="K5458" s="3">
        <v>-468.30241794</v>
      </c>
      <c r="L5458" s="3">
        <v>0</v>
      </c>
      <c r="M5458" s="3">
        <v>0</v>
      </c>
      <c r="N5458" s="3">
        <v>-159937.07444605001</v>
      </c>
      <c r="O5458">
        <v>-1418.695296430029</v>
      </c>
      <c r="P5458">
        <v>29851367</v>
      </c>
    </row>
    <row r="5459" spans="1:16" x14ac:dyDescent="0.25">
      <c r="A5459" s="10">
        <v>45743</v>
      </c>
      <c r="B5459" s="3">
        <v>239547</v>
      </c>
      <c r="C5459" s="3">
        <v>-51587.724999999999</v>
      </c>
      <c r="D5459" s="3">
        <v>0</v>
      </c>
      <c r="E5459" s="3">
        <v>0</v>
      </c>
      <c r="F5459" s="3">
        <v>0</v>
      </c>
      <c r="G5459" s="3">
        <v>45.816326899999687</v>
      </c>
      <c r="H5459" s="3">
        <v>-36473.824999999997</v>
      </c>
      <c r="I5459" s="3">
        <v>0</v>
      </c>
      <c r="J5459" s="3">
        <v>0</v>
      </c>
      <c r="K5459" s="3">
        <v>-334.88128315</v>
      </c>
      <c r="L5459" s="3">
        <v>0</v>
      </c>
      <c r="M5459" s="3">
        <v>0</v>
      </c>
      <c r="N5459" s="3">
        <v>457430.60653912002</v>
      </c>
      <c r="O5459">
        <v>-129532.99158287</v>
      </c>
      <c r="P5459">
        <v>30090914</v>
      </c>
    </row>
    <row r="5460" spans="1:16" x14ac:dyDescent="0.25">
      <c r="A5460" s="10">
        <v>45744</v>
      </c>
      <c r="B5460" s="3">
        <v>-198044</v>
      </c>
      <c r="C5460" s="3">
        <v>-89555.25</v>
      </c>
      <c r="D5460" s="3">
        <v>0</v>
      </c>
      <c r="E5460" s="3">
        <v>0</v>
      </c>
      <c r="F5460" s="3">
        <v>0</v>
      </c>
      <c r="G5460" s="3">
        <v>-106.0450825800071</v>
      </c>
      <c r="H5460" s="3">
        <v>10624.176100000001</v>
      </c>
      <c r="I5460" s="3">
        <v>0</v>
      </c>
      <c r="J5460" s="3">
        <v>0</v>
      </c>
      <c r="K5460" s="3">
        <v>-278.89738528999999</v>
      </c>
      <c r="L5460" s="3">
        <v>0</v>
      </c>
      <c r="M5460" s="3">
        <v>0</v>
      </c>
      <c r="N5460" s="3">
        <v>-89722.623756159999</v>
      </c>
      <c r="O5460">
        <v>-29005.35987597</v>
      </c>
      <c r="P5460">
        <v>29892870</v>
      </c>
    </row>
    <row r="5461" spans="1:16" x14ac:dyDescent="0.25">
      <c r="A5461" s="10">
        <v>45747</v>
      </c>
      <c r="B5461" s="3">
        <v>641310</v>
      </c>
      <c r="C5461" s="3">
        <v>-205898.8</v>
      </c>
      <c r="D5461" s="3">
        <v>0</v>
      </c>
      <c r="E5461" s="3">
        <v>0</v>
      </c>
      <c r="F5461" s="3">
        <v>0</v>
      </c>
      <c r="G5461" s="3">
        <v>481253.91669147031</v>
      </c>
      <c r="H5461" s="3">
        <v>72338.670899999968</v>
      </c>
      <c r="I5461" s="3">
        <v>0</v>
      </c>
      <c r="J5461" s="3">
        <v>0</v>
      </c>
      <c r="K5461" s="3">
        <v>-757.13230064000004</v>
      </c>
      <c r="L5461" s="3">
        <v>0</v>
      </c>
      <c r="M5461" s="3">
        <v>0</v>
      </c>
      <c r="N5461" s="3">
        <v>339115.38841566001</v>
      </c>
      <c r="O5461">
        <v>-44742.043706490193</v>
      </c>
      <c r="P5461">
        <v>30534180</v>
      </c>
    </row>
    <row r="5462" spans="1:16" x14ac:dyDescent="0.25">
      <c r="A5462" s="10">
        <v>45748</v>
      </c>
      <c r="B5462" s="3">
        <v>3390718</v>
      </c>
      <c r="C5462" s="3">
        <v>-153367.20000000001</v>
      </c>
      <c r="D5462" s="3">
        <v>0</v>
      </c>
      <c r="E5462" s="3">
        <v>0</v>
      </c>
      <c r="F5462" s="3">
        <v>0</v>
      </c>
      <c r="G5462" s="3">
        <v>-146.94377134000021</v>
      </c>
      <c r="H5462" s="3">
        <v>-144127.2083</v>
      </c>
      <c r="I5462" s="3">
        <v>0</v>
      </c>
      <c r="J5462" s="3">
        <v>0</v>
      </c>
      <c r="K5462" s="3">
        <v>-390.61040961999998</v>
      </c>
      <c r="L5462" s="3">
        <v>0</v>
      </c>
      <c r="M5462" s="3">
        <v>0</v>
      </c>
      <c r="N5462" s="3">
        <v>3718473.5441775001</v>
      </c>
      <c r="O5462">
        <v>-29723.581696540121</v>
      </c>
      <c r="P5462">
        <v>33924898</v>
      </c>
    </row>
    <row r="5463" spans="1:16" x14ac:dyDescent="0.25">
      <c r="A5463" s="10">
        <v>45750</v>
      </c>
      <c r="B5463" s="3">
        <v>543631</v>
      </c>
      <c r="C5463" s="3">
        <v>56827.574999999997</v>
      </c>
      <c r="D5463" s="3">
        <v>0</v>
      </c>
      <c r="E5463" s="3">
        <v>0</v>
      </c>
      <c r="F5463" s="3">
        <v>0</v>
      </c>
      <c r="G5463" s="3">
        <v>-418.18687988000062</v>
      </c>
      <c r="H5463" s="3">
        <v>-69080.464500000002</v>
      </c>
      <c r="I5463" s="3">
        <v>0</v>
      </c>
      <c r="J5463" s="3">
        <v>0</v>
      </c>
      <c r="K5463" s="3">
        <v>-823.63447536000001</v>
      </c>
      <c r="L5463" s="3">
        <v>0</v>
      </c>
      <c r="M5463" s="3">
        <v>0</v>
      </c>
      <c r="N5463" s="3">
        <v>684852.03263279004</v>
      </c>
      <c r="O5463">
        <v>-127726.32177754999</v>
      </c>
      <c r="P5463">
        <v>34468529</v>
      </c>
    </row>
    <row r="5464" spans="1:16" x14ac:dyDescent="0.25">
      <c r="A5464" s="10">
        <v>45751</v>
      </c>
      <c r="B5464" s="3">
        <v>-700560</v>
      </c>
      <c r="C5464" s="3">
        <v>-10752.5</v>
      </c>
      <c r="D5464" s="3">
        <v>0</v>
      </c>
      <c r="E5464" s="3">
        <v>0</v>
      </c>
      <c r="F5464" s="3">
        <v>0</v>
      </c>
      <c r="G5464" s="3">
        <v>1903.0021503600001</v>
      </c>
      <c r="H5464" s="3">
        <v>84548.334499999997</v>
      </c>
      <c r="I5464" s="3">
        <v>0</v>
      </c>
      <c r="J5464" s="3">
        <v>0</v>
      </c>
      <c r="K5464" s="3">
        <v>-186.50858540999999</v>
      </c>
      <c r="L5464" s="3">
        <v>0</v>
      </c>
      <c r="M5464" s="3">
        <v>0</v>
      </c>
      <c r="N5464" s="3">
        <v>-681640.20231985999</v>
      </c>
      <c r="O5464">
        <v>-94432.125745089957</v>
      </c>
      <c r="P5464">
        <v>33767969</v>
      </c>
    </row>
    <row r="5465" spans="1:16" x14ac:dyDescent="0.25">
      <c r="A5465" s="10">
        <v>45754</v>
      </c>
      <c r="B5465" s="3">
        <v>507374</v>
      </c>
      <c r="C5465" s="3">
        <v>-33787.199999999997</v>
      </c>
      <c r="D5465" s="3">
        <v>0</v>
      </c>
      <c r="E5465" s="3">
        <v>0</v>
      </c>
      <c r="F5465" s="3">
        <v>0</v>
      </c>
      <c r="G5465" s="3">
        <v>1519.902469089255</v>
      </c>
      <c r="H5465" s="3">
        <v>6084.1479399999953</v>
      </c>
      <c r="I5465" s="3">
        <v>0</v>
      </c>
      <c r="J5465" s="3">
        <v>0</v>
      </c>
      <c r="K5465" s="3">
        <v>-588.32095178999998</v>
      </c>
      <c r="L5465" s="3">
        <v>0</v>
      </c>
      <c r="M5465" s="3">
        <v>0</v>
      </c>
      <c r="N5465" s="3">
        <v>574312.25954964</v>
      </c>
      <c r="O5465">
        <v>-40166.789006939267</v>
      </c>
      <c r="P5465">
        <v>34275343</v>
      </c>
    </row>
    <row r="5466" spans="1:16" x14ac:dyDescent="0.25">
      <c r="A5466" s="10">
        <v>45755</v>
      </c>
      <c r="B5466" s="3">
        <v>220778</v>
      </c>
      <c r="C5466" s="3">
        <v>-37689.75</v>
      </c>
      <c r="D5466" s="3">
        <v>0</v>
      </c>
      <c r="E5466" s="3">
        <v>0</v>
      </c>
      <c r="F5466" s="3">
        <v>0</v>
      </c>
      <c r="G5466" s="3">
        <v>-198.4360752</v>
      </c>
      <c r="H5466" s="3">
        <v>53831.104434999987</v>
      </c>
      <c r="I5466" s="3">
        <v>0</v>
      </c>
      <c r="J5466" s="3">
        <v>0</v>
      </c>
      <c r="K5466" s="3">
        <v>-233.94198648</v>
      </c>
      <c r="L5466" s="3">
        <v>0</v>
      </c>
      <c r="M5466" s="3">
        <v>0</v>
      </c>
      <c r="N5466" s="3">
        <v>232234.00899939</v>
      </c>
      <c r="O5466">
        <v>-27164.98537270998</v>
      </c>
      <c r="P5466">
        <v>34496121</v>
      </c>
    </row>
    <row r="5467" spans="1:16" x14ac:dyDescent="0.25">
      <c r="A5467" s="10">
        <v>45756</v>
      </c>
      <c r="B5467" s="3">
        <v>-371293</v>
      </c>
      <c r="C5467" s="3">
        <v>-64608.5</v>
      </c>
      <c r="D5467" s="3">
        <v>0</v>
      </c>
      <c r="E5467" s="3">
        <v>0</v>
      </c>
      <c r="F5467" s="3">
        <v>0</v>
      </c>
      <c r="G5467" s="3">
        <v>-316901.48593825003</v>
      </c>
      <c r="H5467" s="3">
        <v>290297.23897499999</v>
      </c>
      <c r="I5467" s="3">
        <v>0</v>
      </c>
      <c r="J5467" s="3">
        <v>0</v>
      </c>
      <c r="K5467" s="3">
        <v>-168.92583981999999</v>
      </c>
      <c r="L5467" s="3">
        <v>0</v>
      </c>
      <c r="M5467" s="3">
        <v>0</v>
      </c>
      <c r="N5467" s="3">
        <v>-261590.31822223001</v>
      </c>
      <c r="O5467">
        <v>-18321.00897469994</v>
      </c>
      <c r="P5467">
        <v>34124828</v>
      </c>
    </row>
    <row r="5468" spans="1:16" x14ac:dyDescent="0.25">
      <c r="A5468" s="10">
        <v>45757</v>
      </c>
      <c r="B5468" s="3">
        <v>288669</v>
      </c>
      <c r="C5468" s="3">
        <v>-177746.25</v>
      </c>
      <c r="D5468" s="3">
        <v>0</v>
      </c>
      <c r="E5468" s="3">
        <v>0</v>
      </c>
      <c r="F5468" s="3">
        <v>0</v>
      </c>
      <c r="G5468" s="3">
        <v>316117.94852547999</v>
      </c>
      <c r="H5468" s="3">
        <v>725374.34406799998</v>
      </c>
      <c r="I5468" s="3">
        <v>0</v>
      </c>
      <c r="J5468" s="3">
        <v>0</v>
      </c>
      <c r="K5468" s="3">
        <v>-581.41587585000002</v>
      </c>
      <c r="L5468" s="3">
        <v>0</v>
      </c>
      <c r="M5468" s="3">
        <v>0</v>
      </c>
      <c r="N5468" s="3">
        <v>-529560.06804338004</v>
      </c>
      <c r="O5468">
        <v>-44935.558674249907</v>
      </c>
      <c r="P5468">
        <v>34413497</v>
      </c>
    </row>
    <row r="5469" spans="1:16" x14ac:dyDescent="0.25">
      <c r="A5469" s="10">
        <v>45758</v>
      </c>
      <c r="B5469" s="3">
        <v>2310330</v>
      </c>
      <c r="C5469" s="3">
        <v>-66993.842499999999</v>
      </c>
      <c r="D5469" s="3">
        <v>0</v>
      </c>
      <c r="E5469" s="3">
        <v>0</v>
      </c>
      <c r="F5469" s="3">
        <v>0</v>
      </c>
      <c r="G5469" s="3">
        <v>-2877.2866065400008</v>
      </c>
      <c r="H5469" s="3">
        <v>-814047.44169998984</v>
      </c>
      <c r="I5469" s="3">
        <v>0</v>
      </c>
      <c r="J5469" s="3">
        <v>0</v>
      </c>
      <c r="K5469" s="3">
        <v>-1000.40143159</v>
      </c>
      <c r="L5469" s="3">
        <v>0</v>
      </c>
      <c r="M5469" s="3">
        <v>0</v>
      </c>
      <c r="N5469" s="3">
        <v>2907679.1184141398</v>
      </c>
      <c r="O5469">
        <v>287569.85382397939</v>
      </c>
      <c r="P5469">
        <v>36723827</v>
      </c>
    </row>
    <row r="5470" spans="1:16" x14ac:dyDescent="0.25">
      <c r="A5470" s="10">
        <v>45761</v>
      </c>
      <c r="B5470" s="3">
        <v>-2708532</v>
      </c>
      <c r="C5470" s="3">
        <v>-429247.5</v>
      </c>
      <c r="D5470" s="3">
        <v>0</v>
      </c>
      <c r="E5470" s="3">
        <v>0</v>
      </c>
      <c r="F5470" s="3">
        <v>0</v>
      </c>
      <c r="G5470" s="3">
        <v>2061.4633435400001</v>
      </c>
      <c r="H5470" s="3">
        <v>-42801.422399999981</v>
      </c>
      <c r="I5470" s="3">
        <v>0</v>
      </c>
      <c r="J5470" s="3">
        <v>0</v>
      </c>
      <c r="K5470" s="3">
        <v>-270.88023491000001</v>
      </c>
      <c r="L5470" s="3">
        <v>0</v>
      </c>
      <c r="M5470" s="3">
        <v>0</v>
      </c>
      <c r="N5470" s="3">
        <v>-2987238.7941298299</v>
      </c>
      <c r="O5470">
        <v>748965.13342119986</v>
      </c>
      <c r="P5470">
        <v>34015295</v>
      </c>
    </row>
    <row r="5471" spans="1:16" x14ac:dyDescent="0.25">
      <c r="A5471" s="10">
        <v>45762</v>
      </c>
      <c r="B5471" s="3">
        <v>-89667</v>
      </c>
      <c r="C5471" s="3">
        <v>0</v>
      </c>
      <c r="D5471" s="3">
        <v>0</v>
      </c>
      <c r="E5471" s="3">
        <v>0</v>
      </c>
      <c r="F5471" s="3">
        <v>0</v>
      </c>
      <c r="G5471" s="3">
        <v>-196.7816310804337</v>
      </c>
      <c r="H5471" s="3">
        <v>-54063.405599999998</v>
      </c>
      <c r="I5471" s="3">
        <v>0</v>
      </c>
      <c r="J5471" s="3">
        <v>0</v>
      </c>
      <c r="K5471" s="3">
        <v>-342.15470393999999</v>
      </c>
      <c r="L5471" s="3">
        <v>0</v>
      </c>
      <c r="M5471" s="3">
        <v>0</v>
      </c>
      <c r="N5471" s="3">
        <v>-138974.15844671999</v>
      </c>
      <c r="O5471">
        <v>103909.50038174049</v>
      </c>
      <c r="P5471">
        <v>33925628</v>
      </c>
    </row>
    <row r="5472" spans="1:16" x14ac:dyDescent="0.25">
      <c r="A5472" s="10">
        <v>45763</v>
      </c>
      <c r="B5472" s="3">
        <v>-494734</v>
      </c>
      <c r="C5472" s="3">
        <v>0</v>
      </c>
      <c r="D5472" s="3">
        <v>0</v>
      </c>
      <c r="E5472" s="3">
        <v>0</v>
      </c>
      <c r="F5472" s="3">
        <v>0</v>
      </c>
      <c r="G5472" s="3">
        <v>1609275.93116223</v>
      </c>
      <c r="H5472" s="3">
        <v>-59141.98575</v>
      </c>
      <c r="I5472" s="3">
        <v>0</v>
      </c>
      <c r="J5472" s="3">
        <v>0</v>
      </c>
      <c r="K5472" s="3">
        <v>-374.29585501999998</v>
      </c>
      <c r="L5472" s="3">
        <v>0</v>
      </c>
      <c r="M5472" s="3">
        <v>0</v>
      </c>
      <c r="N5472" s="3">
        <v>-2074389.39465542</v>
      </c>
      <c r="O5472">
        <v>29895.745098209711</v>
      </c>
      <c r="P5472">
        <v>33430894</v>
      </c>
    </row>
    <row r="5473" spans="1:16" x14ac:dyDescent="0.25">
      <c r="A5473" s="10">
        <v>45768</v>
      </c>
      <c r="B5473" s="3">
        <v>-1890876</v>
      </c>
      <c r="C5473" s="3">
        <v>0</v>
      </c>
      <c r="D5473" s="3">
        <v>0</v>
      </c>
      <c r="E5473" s="3">
        <v>0</v>
      </c>
      <c r="F5473" s="3">
        <v>0</v>
      </c>
      <c r="G5473" s="3">
        <v>11984.45725241983</v>
      </c>
      <c r="H5473" s="3">
        <v>-341559.36011796002</v>
      </c>
      <c r="I5473" s="3">
        <v>0</v>
      </c>
      <c r="J5473" s="3">
        <v>0</v>
      </c>
      <c r="K5473" s="3">
        <v>-4079.7426030199999</v>
      </c>
      <c r="L5473" s="3">
        <v>0</v>
      </c>
      <c r="M5473" s="3">
        <v>0</v>
      </c>
      <c r="N5473" s="3">
        <v>-1502757.46632843</v>
      </c>
      <c r="O5473">
        <v>-54463.888203009963</v>
      </c>
      <c r="P5473">
        <v>31540018</v>
      </c>
    </row>
    <row r="5474" spans="1:16" x14ac:dyDescent="0.25">
      <c r="A5474" s="10">
        <v>45769</v>
      </c>
      <c r="B5474" s="3">
        <v>-1004712</v>
      </c>
      <c r="C5474" s="3">
        <v>0</v>
      </c>
      <c r="D5474" s="3">
        <v>0</v>
      </c>
      <c r="E5474" s="3">
        <v>0</v>
      </c>
      <c r="F5474" s="3">
        <v>0</v>
      </c>
      <c r="G5474" s="3">
        <v>-321.33357011996941</v>
      </c>
      <c r="H5474" s="3">
        <v>-4971.2443940000003</v>
      </c>
      <c r="I5474" s="3">
        <v>0</v>
      </c>
      <c r="J5474" s="3">
        <v>0</v>
      </c>
      <c r="K5474" s="3">
        <v>-62.078598470000003</v>
      </c>
      <c r="L5474" s="3">
        <v>0</v>
      </c>
      <c r="M5474" s="3">
        <v>0</v>
      </c>
      <c r="N5474" s="3">
        <v>-962002.29790093994</v>
      </c>
      <c r="O5474">
        <v>-37355.045536470127</v>
      </c>
      <c r="P5474">
        <v>30535306</v>
      </c>
    </row>
    <row r="5475" spans="1:16" x14ac:dyDescent="0.25">
      <c r="A5475" s="10">
        <v>45770</v>
      </c>
      <c r="B5475" s="3">
        <v>264459</v>
      </c>
      <c r="C5475" s="3">
        <v>0</v>
      </c>
      <c r="D5475" s="3">
        <v>0</v>
      </c>
      <c r="E5475" s="3">
        <v>0</v>
      </c>
      <c r="F5475" s="3">
        <v>0</v>
      </c>
      <c r="G5475" s="3">
        <v>-553.47549112000729</v>
      </c>
      <c r="H5475" s="3">
        <v>-14244.621819</v>
      </c>
      <c r="I5475" s="3">
        <v>0</v>
      </c>
      <c r="J5475" s="3">
        <v>0</v>
      </c>
      <c r="K5475" s="3">
        <v>-57.584048750000001</v>
      </c>
      <c r="L5475" s="3">
        <v>0</v>
      </c>
      <c r="M5475" s="3">
        <v>0</v>
      </c>
      <c r="N5475" s="3">
        <v>260606.80091352001</v>
      </c>
      <c r="O5475">
        <v>18707.88044535002</v>
      </c>
      <c r="P5475">
        <v>30799765</v>
      </c>
    </row>
    <row r="5476" spans="1:16" x14ac:dyDescent="0.25">
      <c r="A5476" s="10">
        <v>45771</v>
      </c>
      <c r="B5476" s="3">
        <v>117430</v>
      </c>
      <c r="C5476" s="3">
        <v>0</v>
      </c>
      <c r="D5476" s="3">
        <v>0</v>
      </c>
      <c r="E5476" s="3">
        <v>0</v>
      </c>
      <c r="F5476" s="3">
        <v>0</v>
      </c>
      <c r="G5476" s="3">
        <v>-760.47953697002959</v>
      </c>
      <c r="H5476" s="3">
        <v>-5470.8976579999999</v>
      </c>
      <c r="I5476" s="3">
        <v>0</v>
      </c>
      <c r="J5476" s="3">
        <v>0</v>
      </c>
      <c r="K5476" s="3">
        <v>-44.705349570000003</v>
      </c>
      <c r="L5476" s="3">
        <v>0</v>
      </c>
      <c r="M5476" s="3">
        <v>0</v>
      </c>
      <c r="N5476" s="3">
        <v>75759.289400609996</v>
      </c>
      <c r="O5476">
        <v>47946.79314393003</v>
      </c>
      <c r="P5476">
        <v>30917195</v>
      </c>
    </row>
    <row r="5477" spans="1:16" x14ac:dyDescent="0.25">
      <c r="A5477" s="10">
        <v>45772</v>
      </c>
      <c r="B5477" s="3">
        <v>577576</v>
      </c>
      <c r="C5477" s="3">
        <v>0</v>
      </c>
      <c r="D5477" s="3">
        <v>0</v>
      </c>
      <c r="E5477" s="3">
        <v>0</v>
      </c>
      <c r="F5477" s="3">
        <v>11976386.676207</v>
      </c>
      <c r="G5477" s="3">
        <v>-11975769.944762779</v>
      </c>
      <c r="H5477" s="3">
        <v>-43975.928378999997</v>
      </c>
      <c r="I5477" s="3">
        <v>0</v>
      </c>
      <c r="J5477" s="3">
        <v>0</v>
      </c>
      <c r="K5477" s="3">
        <v>-39.759058529999997</v>
      </c>
      <c r="L5477" s="3">
        <v>0</v>
      </c>
      <c r="M5477" s="3">
        <v>0</v>
      </c>
      <c r="N5477" s="3">
        <v>606008.66238737002</v>
      </c>
      <c r="O5477">
        <v>14966.293605938199</v>
      </c>
      <c r="P5477">
        <v>31494771</v>
      </c>
    </row>
    <row r="5478" spans="1:16" x14ac:dyDescent="0.25">
      <c r="A5478" s="10">
        <v>45775</v>
      </c>
      <c r="B5478" s="3">
        <v>-371258</v>
      </c>
      <c r="C5478" s="3">
        <v>0</v>
      </c>
      <c r="D5478" s="3">
        <v>0</v>
      </c>
      <c r="E5478" s="3">
        <v>0</v>
      </c>
      <c r="F5478" s="3">
        <v>0</v>
      </c>
      <c r="G5478" s="3">
        <v>2240567.43832995</v>
      </c>
      <c r="H5478" s="3">
        <v>0</v>
      </c>
      <c r="I5478" s="3">
        <v>0</v>
      </c>
      <c r="J5478" s="3">
        <v>0</v>
      </c>
      <c r="K5478" s="3">
        <v>0</v>
      </c>
      <c r="L5478" s="3">
        <v>0</v>
      </c>
      <c r="M5478" s="3">
        <v>0</v>
      </c>
      <c r="N5478" s="3">
        <v>-2601330.0817525</v>
      </c>
      <c r="O5478">
        <v>-10495.35657745041</v>
      </c>
      <c r="P5478">
        <v>31123513</v>
      </c>
    </row>
    <row r="5479" spans="1:16" x14ac:dyDescent="0.25">
      <c r="A5479" s="10">
        <v>45776</v>
      </c>
      <c r="B5479" s="3">
        <v>468142</v>
      </c>
      <c r="C5479" s="3">
        <v>0</v>
      </c>
      <c r="D5479" s="3">
        <v>0</v>
      </c>
      <c r="E5479" s="3">
        <v>0</v>
      </c>
      <c r="F5479" s="3">
        <v>0</v>
      </c>
      <c r="G5479" s="3">
        <v>-177.65790416000749</v>
      </c>
      <c r="H5479" s="3">
        <v>0</v>
      </c>
      <c r="I5479" s="3">
        <v>0</v>
      </c>
      <c r="J5479" s="3">
        <v>0</v>
      </c>
      <c r="K5479" s="3">
        <v>0</v>
      </c>
      <c r="L5479" s="3">
        <v>0</v>
      </c>
      <c r="M5479" s="3">
        <v>0</v>
      </c>
      <c r="N5479" s="3">
        <v>471541.82039206999</v>
      </c>
      <c r="O5479">
        <v>-3222.162487909955</v>
      </c>
      <c r="P5479">
        <v>31591655</v>
      </c>
    </row>
    <row r="5480" spans="1:16" x14ac:dyDescent="0.25">
      <c r="A5480" s="10">
        <v>45777</v>
      </c>
      <c r="B5480" s="3">
        <v>1107327</v>
      </c>
      <c r="C5480" s="3">
        <v>0</v>
      </c>
      <c r="D5480" s="3">
        <v>0</v>
      </c>
      <c r="E5480" s="3">
        <v>0</v>
      </c>
      <c r="F5480" s="3">
        <v>0</v>
      </c>
      <c r="G5480" s="3">
        <v>90.582908490780028</v>
      </c>
      <c r="H5480" s="3">
        <v>0</v>
      </c>
      <c r="I5480" s="3">
        <v>0</v>
      </c>
      <c r="J5480" s="3">
        <v>0</v>
      </c>
      <c r="K5480" s="3">
        <v>0</v>
      </c>
      <c r="L5480" s="3">
        <v>0</v>
      </c>
      <c r="M5480" s="3">
        <v>0</v>
      </c>
      <c r="N5480" s="3">
        <v>1121492.1542237599</v>
      </c>
      <c r="O5480">
        <v>-14255.737132250801</v>
      </c>
      <c r="P5480">
        <v>32698982</v>
      </c>
    </row>
    <row r="5481" spans="1:16" x14ac:dyDescent="0.25">
      <c r="A5481" s="10">
        <v>45782</v>
      </c>
      <c r="B5481" s="3">
        <v>4155752</v>
      </c>
      <c r="C5481" s="3">
        <v>0</v>
      </c>
      <c r="D5481" s="3">
        <v>0</v>
      </c>
      <c r="E5481" s="3">
        <v>0</v>
      </c>
      <c r="F5481" s="3">
        <v>0</v>
      </c>
      <c r="G5481" s="3">
        <v>-236.8111936700079</v>
      </c>
      <c r="H5481" s="3">
        <v>0</v>
      </c>
      <c r="I5481" s="3">
        <v>0</v>
      </c>
      <c r="J5481" s="3">
        <v>0</v>
      </c>
      <c r="K5481" s="3">
        <v>0</v>
      </c>
      <c r="L5481" s="3">
        <v>0</v>
      </c>
      <c r="M5481" s="3">
        <v>0</v>
      </c>
      <c r="N5481" s="3">
        <v>4133352.1272869399</v>
      </c>
      <c r="O5481">
        <v>22636.683906730261</v>
      </c>
      <c r="P5481">
        <v>36854734</v>
      </c>
    </row>
    <row r="5482" spans="1:16" x14ac:dyDescent="0.25">
      <c r="A5482" s="10">
        <v>45783</v>
      </c>
      <c r="B5482" s="3">
        <v>-205283</v>
      </c>
      <c r="C5482" s="3">
        <v>0</v>
      </c>
      <c r="D5482" s="3">
        <v>0</v>
      </c>
      <c r="E5482" s="3">
        <v>0</v>
      </c>
      <c r="F5482" s="3">
        <v>0</v>
      </c>
      <c r="G5482" s="3">
        <v>-511.44434252940118</v>
      </c>
      <c r="H5482" s="3">
        <v>0</v>
      </c>
      <c r="I5482" s="3">
        <v>0</v>
      </c>
      <c r="J5482" s="3">
        <v>0</v>
      </c>
      <c r="K5482" s="3">
        <v>0</v>
      </c>
      <c r="L5482" s="3">
        <v>0</v>
      </c>
      <c r="M5482" s="3">
        <v>0</v>
      </c>
      <c r="N5482" s="3">
        <v>-210552.82834112001</v>
      </c>
      <c r="O5482">
        <v>5781.2726836493821</v>
      </c>
      <c r="P5482">
        <v>36649451</v>
      </c>
    </row>
    <row r="5483" spans="1:16" x14ac:dyDescent="0.25">
      <c r="A5483" s="10">
        <v>45784</v>
      </c>
      <c r="B5483" s="3">
        <v>225403</v>
      </c>
      <c r="C5483" s="3">
        <v>0</v>
      </c>
      <c r="D5483" s="3">
        <v>0</v>
      </c>
      <c r="E5483" s="3">
        <v>0</v>
      </c>
      <c r="F5483" s="3">
        <v>0</v>
      </c>
      <c r="G5483" s="3">
        <v>28.235297399998672</v>
      </c>
      <c r="H5483" s="3">
        <v>0</v>
      </c>
      <c r="I5483" s="3">
        <v>0</v>
      </c>
      <c r="J5483" s="3">
        <v>0</v>
      </c>
      <c r="K5483" s="3">
        <v>0</v>
      </c>
      <c r="L5483" s="3">
        <v>0</v>
      </c>
      <c r="M5483" s="3">
        <v>0</v>
      </c>
      <c r="N5483" s="3">
        <v>144059.13789047999</v>
      </c>
      <c r="O5483">
        <v>81315.626812119968</v>
      </c>
      <c r="P5483">
        <v>36874854</v>
      </c>
    </row>
    <row r="5484" spans="1:16" x14ac:dyDescent="0.25">
      <c r="A5484" s="10">
        <v>45785</v>
      </c>
      <c r="B5484" s="3">
        <v>-323509</v>
      </c>
      <c r="C5484" s="3">
        <v>0</v>
      </c>
      <c r="D5484" s="3">
        <v>0</v>
      </c>
      <c r="E5484" s="3">
        <v>0</v>
      </c>
      <c r="F5484" s="3">
        <v>0</v>
      </c>
      <c r="G5484" s="3">
        <v>-530.98658559999649</v>
      </c>
      <c r="H5484" s="3">
        <v>0</v>
      </c>
      <c r="I5484" s="3">
        <v>0</v>
      </c>
      <c r="J5484" s="3">
        <v>0</v>
      </c>
      <c r="K5484" s="3">
        <v>0</v>
      </c>
      <c r="L5484" s="3">
        <v>0</v>
      </c>
      <c r="M5484" s="3">
        <v>0</v>
      </c>
      <c r="N5484" s="3">
        <v>-308628.86759531999</v>
      </c>
      <c r="O5484">
        <v>-14349.14581908</v>
      </c>
      <c r="P5484">
        <v>36551345</v>
      </c>
    </row>
    <row r="5485" spans="1:16" x14ac:dyDescent="0.25">
      <c r="A5485" s="10">
        <v>45786</v>
      </c>
      <c r="B5485" s="3">
        <v>821580</v>
      </c>
      <c r="C5485" s="3">
        <v>0</v>
      </c>
      <c r="D5485" s="3">
        <v>0</v>
      </c>
      <c r="E5485" s="3">
        <v>0</v>
      </c>
      <c r="F5485" s="3">
        <v>0</v>
      </c>
      <c r="G5485" s="3">
        <v>1378325.1420442199</v>
      </c>
      <c r="H5485" s="3">
        <v>0</v>
      </c>
      <c r="I5485" s="3">
        <v>0</v>
      </c>
      <c r="J5485" s="3">
        <v>0</v>
      </c>
      <c r="K5485" s="3">
        <v>0</v>
      </c>
      <c r="L5485" s="3">
        <v>0</v>
      </c>
      <c r="M5485" s="3">
        <v>0</v>
      </c>
      <c r="N5485" s="3">
        <v>-445261.55538842001</v>
      </c>
      <c r="O5485">
        <v>-111483.5866557999</v>
      </c>
      <c r="P5485">
        <v>37372925</v>
      </c>
    </row>
    <row r="5486" spans="1:16" x14ac:dyDescent="0.25">
      <c r="A5486" s="10">
        <v>45789</v>
      </c>
      <c r="B5486" s="3">
        <v>-2942281</v>
      </c>
      <c r="C5486" s="3">
        <v>0</v>
      </c>
      <c r="D5486" s="3">
        <v>0</v>
      </c>
      <c r="E5486" s="3">
        <v>0</v>
      </c>
      <c r="F5486" s="3">
        <v>0</v>
      </c>
      <c r="G5486" s="3">
        <v>-240.58397874000181</v>
      </c>
      <c r="H5486" s="3">
        <v>0</v>
      </c>
      <c r="I5486" s="3">
        <v>0</v>
      </c>
      <c r="J5486" s="3">
        <v>0</v>
      </c>
      <c r="K5486" s="3">
        <v>0</v>
      </c>
      <c r="L5486" s="3">
        <v>0</v>
      </c>
      <c r="M5486" s="3">
        <v>0</v>
      </c>
      <c r="N5486" s="3">
        <v>-2969391.13110764</v>
      </c>
      <c r="O5486">
        <v>27350.71508638002</v>
      </c>
      <c r="P5486">
        <v>34430644</v>
      </c>
    </row>
    <row r="5487" spans="1:16" x14ac:dyDescent="0.25">
      <c r="A5487" s="10">
        <v>45790</v>
      </c>
      <c r="B5487" s="3">
        <v>-148646</v>
      </c>
      <c r="C5487" s="3">
        <v>0</v>
      </c>
      <c r="D5487" s="3">
        <v>0</v>
      </c>
      <c r="E5487" s="3">
        <v>0</v>
      </c>
      <c r="F5487" s="3">
        <v>0</v>
      </c>
      <c r="G5487" s="3">
        <v>-75.534028850030154</v>
      </c>
      <c r="H5487" s="3">
        <v>0</v>
      </c>
      <c r="I5487" s="3">
        <v>0</v>
      </c>
      <c r="J5487" s="3">
        <v>0</v>
      </c>
      <c r="K5487" s="3">
        <v>0</v>
      </c>
      <c r="L5487" s="3">
        <v>0</v>
      </c>
      <c r="M5487" s="3">
        <v>0</v>
      </c>
      <c r="N5487" s="3">
        <v>-155258.17114332999</v>
      </c>
      <c r="O5487">
        <v>6687.7051721800244</v>
      </c>
      <c r="P5487">
        <v>34281998</v>
      </c>
    </row>
    <row r="5488" spans="1:16" x14ac:dyDescent="0.25">
      <c r="A5488" s="10">
        <v>45791</v>
      </c>
      <c r="B5488" s="3">
        <v>-74481</v>
      </c>
      <c r="C5488" s="3">
        <v>0</v>
      </c>
      <c r="D5488" s="3">
        <v>0</v>
      </c>
      <c r="E5488" s="3">
        <v>0</v>
      </c>
      <c r="F5488" s="3">
        <v>0</v>
      </c>
      <c r="G5488" s="3">
        <v>-12866.20155183</v>
      </c>
      <c r="H5488" s="3">
        <v>0</v>
      </c>
      <c r="I5488" s="3">
        <v>0</v>
      </c>
      <c r="J5488" s="3">
        <v>0</v>
      </c>
      <c r="K5488" s="3">
        <v>0</v>
      </c>
      <c r="L5488" s="3">
        <v>0</v>
      </c>
      <c r="M5488" s="3">
        <v>0</v>
      </c>
      <c r="N5488" s="3">
        <v>-61440.243643599999</v>
      </c>
      <c r="O5488">
        <v>-174.55480456999791</v>
      </c>
      <c r="P5488">
        <v>34207517</v>
      </c>
    </row>
    <row r="5489" spans="1:16" x14ac:dyDescent="0.25">
      <c r="A5489" s="10">
        <v>45792</v>
      </c>
      <c r="B5489" s="3">
        <v>-212892</v>
      </c>
      <c r="C5489" s="3">
        <v>0</v>
      </c>
      <c r="D5489" s="3">
        <v>0</v>
      </c>
      <c r="E5489" s="3">
        <v>0</v>
      </c>
      <c r="F5489" s="3">
        <v>0</v>
      </c>
      <c r="G5489" s="3">
        <v>11837.8608047</v>
      </c>
      <c r="H5489" s="3">
        <v>0</v>
      </c>
      <c r="I5489" s="3">
        <v>0</v>
      </c>
      <c r="J5489" s="3">
        <v>0</v>
      </c>
      <c r="K5489" s="3">
        <v>0</v>
      </c>
      <c r="L5489" s="3">
        <v>0</v>
      </c>
      <c r="M5489" s="3">
        <v>0</v>
      </c>
      <c r="N5489" s="3">
        <v>-237428.90495904</v>
      </c>
      <c r="O5489">
        <v>12699.04415433999</v>
      </c>
      <c r="P5489">
        <v>33994625</v>
      </c>
    </row>
    <row r="5490" spans="1:16" x14ac:dyDescent="0.25">
      <c r="A5490" s="10">
        <v>45793</v>
      </c>
      <c r="B5490" s="3">
        <v>-62844</v>
      </c>
      <c r="C5490" s="3">
        <v>0</v>
      </c>
      <c r="D5490" s="3">
        <v>0</v>
      </c>
      <c r="E5490" s="3">
        <v>0</v>
      </c>
      <c r="F5490" s="3">
        <v>0</v>
      </c>
      <c r="G5490" s="3">
        <v>-1379102.63595611</v>
      </c>
      <c r="H5490" s="3">
        <v>0</v>
      </c>
      <c r="I5490" s="3">
        <v>0</v>
      </c>
      <c r="J5490" s="3">
        <v>0</v>
      </c>
      <c r="K5490" s="3">
        <v>0</v>
      </c>
      <c r="L5490" s="3">
        <v>0</v>
      </c>
      <c r="M5490" s="3">
        <v>0</v>
      </c>
      <c r="N5490" s="3">
        <v>1205293.73375921</v>
      </c>
      <c r="O5490">
        <v>110964.9021968998</v>
      </c>
      <c r="P5490">
        <v>33931781</v>
      </c>
    </row>
    <row r="5491" spans="1:16" x14ac:dyDescent="0.25">
      <c r="A5491" s="10">
        <v>45796</v>
      </c>
      <c r="B5491" s="3">
        <v>-654524</v>
      </c>
      <c r="C5491" s="3">
        <v>0</v>
      </c>
      <c r="D5491" s="3">
        <v>0</v>
      </c>
      <c r="E5491" s="3">
        <v>0</v>
      </c>
      <c r="F5491" s="3">
        <v>0</v>
      </c>
      <c r="G5491" s="3">
        <v>-5040.8842557511634</v>
      </c>
      <c r="H5491" s="3">
        <v>0</v>
      </c>
      <c r="I5491" s="3">
        <v>0</v>
      </c>
      <c r="J5491" s="3">
        <v>0</v>
      </c>
      <c r="K5491" s="3">
        <v>0</v>
      </c>
      <c r="L5491" s="3">
        <v>0</v>
      </c>
      <c r="M5491" s="3">
        <v>0</v>
      </c>
      <c r="N5491" s="3">
        <v>-656737.34845666005</v>
      </c>
      <c r="O5491">
        <v>7254.2327124112053</v>
      </c>
      <c r="P5491">
        <v>33277257</v>
      </c>
    </row>
    <row r="5492" spans="1:16" x14ac:dyDescent="0.25">
      <c r="A5492" s="10">
        <v>45797</v>
      </c>
      <c r="B5492" s="3">
        <v>-455242</v>
      </c>
      <c r="C5492" s="3">
        <v>0</v>
      </c>
      <c r="D5492" s="3">
        <v>0</v>
      </c>
      <c r="E5492" s="3">
        <v>0</v>
      </c>
      <c r="F5492" s="3">
        <v>0</v>
      </c>
      <c r="G5492" s="3">
        <v>337059.19452222041</v>
      </c>
      <c r="H5492" s="3">
        <v>0</v>
      </c>
      <c r="I5492" s="3">
        <v>0</v>
      </c>
      <c r="J5492" s="3">
        <v>0</v>
      </c>
      <c r="K5492" s="3">
        <v>0</v>
      </c>
      <c r="L5492" s="3">
        <v>0</v>
      </c>
      <c r="M5492" s="3">
        <v>0</v>
      </c>
      <c r="N5492" s="3">
        <v>-778221.37863487995</v>
      </c>
      <c r="O5492">
        <v>-14079.815887340461</v>
      </c>
      <c r="P5492">
        <v>32822015</v>
      </c>
    </row>
    <row r="5493" spans="1:16" x14ac:dyDescent="0.25">
      <c r="A5493" s="10">
        <v>45798</v>
      </c>
      <c r="B5493" s="3">
        <v>-323263</v>
      </c>
      <c r="C5493" s="3">
        <v>0</v>
      </c>
      <c r="D5493" s="3">
        <v>0</v>
      </c>
      <c r="E5493" s="3">
        <v>0</v>
      </c>
      <c r="F5493" s="3">
        <v>0</v>
      </c>
      <c r="G5493" s="3">
        <v>123.7884256900001</v>
      </c>
      <c r="H5493" s="3">
        <v>0</v>
      </c>
      <c r="I5493" s="3">
        <v>0</v>
      </c>
      <c r="J5493" s="3">
        <v>0</v>
      </c>
      <c r="K5493" s="3">
        <v>0</v>
      </c>
      <c r="L5493" s="3">
        <v>0</v>
      </c>
      <c r="M5493" s="3">
        <v>0</v>
      </c>
      <c r="N5493" s="3">
        <v>-334881.92226249998</v>
      </c>
      <c r="O5493">
        <v>11495.13383680995</v>
      </c>
      <c r="P5493">
        <v>32498752</v>
      </c>
    </row>
    <row r="5494" spans="1:16" x14ac:dyDescent="0.25">
      <c r="A5494" s="10">
        <v>45799</v>
      </c>
      <c r="B5494" s="3">
        <v>387447</v>
      </c>
      <c r="C5494" s="3">
        <v>0</v>
      </c>
      <c r="D5494" s="3">
        <v>0</v>
      </c>
      <c r="E5494" s="3">
        <v>0</v>
      </c>
      <c r="F5494" s="3">
        <v>0</v>
      </c>
      <c r="G5494" s="3">
        <v>-110.2938850299997</v>
      </c>
      <c r="H5494" s="3">
        <v>0</v>
      </c>
      <c r="I5494" s="3">
        <v>0</v>
      </c>
      <c r="J5494" s="3">
        <v>0</v>
      </c>
      <c r="K5494" s="3">
        <v>0</v>
      </c>
      <c r="L5494" s="3">
        <v>0</v>
      </c>
      <c r="M5494" s="3">
        <v>0</v>
      </c>
      <c r="N5494" s="3">
        <v>384386.04176346998</v>
      </c>
      <c r="O5494">
        <v>3171.2521215600432</v>
      </c>
      <c r="P5494">
        <v>32886199</v>
      </c>
    </row>
    <row r="5495" spans="1:16" x14ac:dyDescent="0.25">
      <c r="A5495" s="10">
        <v>45800</v>
      </c>
      <c r="B5495" s="3">
        <v>403790</v>
      </c>
      <c r="C5495" s="3">
        <v>0</v>
      </c>
      <c r="D5495" s="3">
        <v>0</v>
      </c>
      <c r="E5495" s="3">
        <v>0</v>
      </c>
      <c r="F5495" s="3">
        <v>0</v>
      </c>
      <c r="G5495" s="3">
        <v>1854159.5740066001</v>
      </c>
      <c r="H5495" s="3">
        <v>0</v>
      </c>
      <c r="I5495" s="3">
        <v>0</v>
      </c>
      <c r="J5495" s="3">
        <v>0</v>
      </c>
      <c r="K5495" s="3">
        <v>0</v>
      </c>
      <c r="L5495" s="3">
        <v>0</v>
      </c>
      <c r="M5495" s="3">
        <v>0</v>
      </c>
      <c r="N5495" s="3">
        <v>-1428584.0374169899</v>
      </c>
      <c r="O5495">
        <v>-21785.53658961039</v>
      </c>
      <c r="P5495">
        <v>33289989</v>
      </c>
    </row>
    <row r="5496" spans="1:16" x14ac:dyDescent="0.25">
      <c r="A5496" s="10">
        <v>45803</v>
      </c>
      <c r="B5496" s="3">
        <v>-270543</v>
      </c>
      <c r="C5496" s="3">
        <v>0</v>
      </c>
      <c r="D5496" s="3">
        <v>0</v>
      </c>
      <c r="E5496" s="3">
        <v>0</v>
      </c>
      <c r="F5496" s="3">
        <v>0</v>
      </c>
      <c r="G5496" s="3">
        <v>-616.7351213899999</v>
      </c>
      <c r="H5496" s="3">
        <v>0</v>
      </c>
      <c r="I5496" s="3">
        <v>0</v>
      </c>
      <c r="J5496" s="3">
        <v>0</v>
      </c>
      <c r="K5496" s="3">
        <v>0</v>
      </c>
      <c r="L5496" s="3">
        <v>0</v>
      </c>
      <c r="M5496" s="3">
        <v>0</v>
      </c>
      <c r="N5496" s="3">
        <v>-267670.89984306</v>
      </c>
      <c r="O5496">
        <v>-2255.3650355499699</v>
      </c>
      <c r="P5496">
        <v>33019446</v>
      </c>
    </row>
    <row r="5497" spans="1:16" x14ac:dyDescent="0.25">
      <c r="A5497" s="10">
        <v>45804</v>
      </c>
      <c r="B5497" s="3">
        <v>218986</v>
      </c>
      <c r="C5497" s="3">
        <v>0</v>
      </c>
      <c r="D5497" s="3">
        <v>0</v>
      </c>
      <c r="E5497" s="3">
        <v>0</v>
      </c>
      <c r="F5497" s="3">
        <v>0</v>
      </c>
      <c r="G5497" s="3">
        <v>227.6740868199995</v>
      </c>
      <c r="H5497" s="3">
        <v>0</v>
      </c>
      <c r="I5497" s="3">
        <v>0</v>
      </c>
      <c r="J5497" s="3">
        <v>0</v>
      </c>
      <c r="K5497" s="3">
        <v>0</v>
      </c>
      <c r="L5497" s="3">
        <v>0</v>
      </c>
      <c r="M5497" s="3">
        <v>0</v>
      </c>
      <c r="N5497" s="3">
        <v>197236.65226236999</v>
      </c>
      <c r="O5497">
        <v>21521.673650810029</v>
      </c>
      <c r="P5497">
        <v>33238432</v>
      </c>
    </row>
    <row r="5498" spans="1:16" x14ac:dyDescent="0.25">
      <c r="A5498" s="10">
        <v>45805</v>
      </c>
      <c r="B5498" s="3">
        <v>175517</v>
      </c>
      <c r="C5498" s="3">
        <v>0</v>
      </c>
      <c r="D5498" s="3">
        <v>0</v>
      </c>
      <c r="E5498" s="3">
        <v>0</v>
      </c>
      <c r="F5498" s="3">
        <v>0</v>
      </c>
      <c r="G5498" s="3">
        <v>11882.07922659945</v>
      </c>
      <c r="H5498" s="3">
        <v>0</v>
      </c>
      <c r="I5498" s="3">
        <v>0</v>
      </c>
      <c r="J5498" s="3">
        <v>0</v>
      </c>
      <c r="K5498" s="3">
        <v>0</v>
      </c>
      <c r="L5498" s="3">
        <v>0</v>
      </c>
      <c r="M5498" s="3">
        <v>0</v>
      </c>
      <c r="N5498" s="3">
        <v>151485.15455978</v>
      </c>
      <c r="O5498">
        <v>12149.766213620551</v>
      </c>
      <c r="P5498">
        <v>33413949</v>
      </c>
    </row>
    <row r="5499" spans="1:16" x14ac:dyDescent="0.25">
      <c r="A5499" s="10">
        <v>45806</v>
      </c>
      <c r="B5499" s="3">
        <v>-127684</v>
      </c>
      <c r="C5499" s="3">
        <v>0</v>
      </c>
      <c r="D5499" s="3">
        <v>0</v>
      </c>
      <c r="E5499" s="3">
        <v>0</v>
      </c>
      <c r="F5499" s="3">
        <v>0</v>
      </c>
      <c r="G5499" s="3">
        <v>-210.44631056999569</v>
      </c>
      <c r="H5499" s="3">
        <v>0</v>
      </c>
      <c r="I5499" s="3">
        <v>0</v>
      </c>
      <c r="J5499" s="3">
        <v>0</v>
      </c>
      <c r="K5499" s="3">
        <v>0</v>
      </c>
      <c r="L5499" s="3">
        <v>0</v>
      </c>
      <c r="M5499" s="3">
        <v>0</v>
      </c>
      <c r="N5499" s="3">
        <v>-133121.67898599</v>
      </c>
      <c r="O5499">
        <v>5648.1252965599997</v>
      </c>
      <c r="P5499">
        <v>33286265</v>
      </c>
    </row>
    <row r="5500" spans="1:16" x14ac:dyDescent="0.25">
      <c r="A5500" s="10">
        <v>45807</v>
      </c>
      <c r="B5500" s="3">
        <v>1653853</v>
      </c>
      <c r="C5500" s="3">
        <v>0</v>
      </c>
      <c r="D5500" s="3">
        <v>0</v>
      </c>
      <c r="E5500" s="3">
        <v>0</v>
      </c>
      <c r="F5500" s="3">
        <v>0</v>
      </c>
      <c r="G5500" s="3">
        <v>-632996.32247731963</v>
      </c>
      <c r="H5500" s="3">
        <v>0</v>
      </c>
      <c r="I5500" s="3">
        <v>0</v>
      </c>
      <c r="J5500" s="3">
        <v>0</v>
      </c>
      <c r="K5500" s="3">
        <v>0</v>
      </c>
      <c r="L5500" s="3">
        <v>0</v>
      </c>
      <c r="M5500" s="3">
        <v>0</v>
      </c>
      <c r="N5500" s="3">
        <v>2235177.4507223899</v>
      </c>
      <c r="O5500">
        <v>51671.871754929423</v>
      </c>
      <c r="P5500">
        <v>34940118</v>
      </c>
    </row>
    <row r="5501" spans="1:16" x14ac:dyDescent="0.25">
      <c r="A5501" s="10">
        <v>45810</v>
      </c>
      <c r="B5501" s="3">
        <v>1987295</v>
      </c>
      <c r="C5501" s="3">
        <v>0</v>
      </c>
      <c r="D5501" s="3">
        <v>0</v>
      </c>
      <c r="E5501" s="3">
        <v>0</v>
      </c>
      <c r="F5501" s="3">
        <v>0</v>
      </c>
      <c r="G5501" s="3">
        <v>77.271037959530076</v>
      </c>
      <c r="H5501" s="3">
        <v>0</v>
      </c>
      <c r="I5501" s="3">
        <v>0</v>
      </c>
      <c r="J5501" s="3">
        <v>0</v>
      </c>
      <c r="K5501" s="3">
        <v>0</v>
      </c>
      <c r="L5501" s="3">
        <v>0</v>
      </c>
      <c r="M5501" s="3">
        <v>0</v>
      </c>
      <c r="N5501" s="3">
        <v>1977485.0683595301</v>
      </c>
      <c r="O5501">
        <v>9732.6606025104411</v>
      </c>
      <c r="P5501">
        <v>36927413</v>
      </c>
    </row>
    <row r="5502" spans="1:16" x14ac:dyDescent="0.25">
      <c r="A5502" s="10">
        <v>45811</v>
      </c>
      <c r="B5502" s="3">
        <v>-504271</v>
      </c>
      <c r="C5502" s="3">
        <v>0</v>
      </c>
      <c r="D5502" s="3">
        <v>0</v>
      </c>
      <c r="E5502" s="3">
        <v>0</v>
      </c>
      <c r="F5502" s="3">
        <v>0</v>
      </c>
      <c r="G5502" s="3">
        <v>-278.01628215999881</v>
      </c>
      <c r="H5502" s="3">
        <v>0</v>
      </c>
      <c r="I5502" s="3">
        <v>0</v>
      </c>
      <c r="J5502" s="3">
        <v>0</v>
      </c>
      <c r="K5502" s="3">
        <v>0</v>
      </c>
      <c r="L5502" s="3">
        <v>0</v>
      </c>
      <c r="M5502" s="3">
        <v>0</v>
      </c>
      <c r="N5502" s="3">
        <v>-490724.59809987998</v>
      </c>
      <c r="O5502">
        <v>-13268.38561796001</v>
      </c>
      <c r="P5502">
        <v>36423142</v>
      </c>
    </row>
    <row r="5503" spans="1:16" x14ac:dyDescent="0.25">
      <c r="A5503" s="10">
        <v>45812</v>
      </c>
      <c r="B5503" s="3">
        <v>213459</v>
      </c>
      <c r="C5503" s="3">
        <v>0</v>
      </c>
      <c r="D5503" s="3">
        <v>0</v>
      </c>
      <c r="E5503" s="3">
        <v>0</v>
      </c>
      <c r="F5503" s="3">
        <v>0</v>
      </c>
      <c r="G5503" s="3">
        <v>601.37719648005441</v>
      </c>
      <c r="H5503" s="3">
        <v>0</v>
      </c>
      <c r="I5503" s="3">
        <v>0</v>
      </c>
      <c r="J5503" s="3">
        <v>0</v>
      </c>
      <c r="K5503" s="3">
        <v>0</v>
      </c>
      <c r="L5503" s="3">
        <v>0</v>
      </c>
      <c r="M5503" s="3">
        <v>0</v>
      </c>
      <c r="N5503" s="3">
        <v>206381.33019722</v>
      </c>
      <c r="O5503">
        <v>6476.2926062999468</v>
      </c>
      <c r="P5503">
        <v>36636601</v>
      </c>
    </row>
    <row r="5504" spans="1:16" x14ac:dyDescent="0.25">
      <c r="A5504" s="10">
        <v>45813</v>
      </c>
      <c r="B5504" s="3">
        <v>-103487</v>
      </c>
      <c r="C5504" s="3">
        <v>0</v>
      </c>
      <c r="D5504" s="3">
        <v>0</v>
      </c>
      <c r="E5504" s="3">
        <v>0</v>
      </c>
      <c r="F5504" s="3">
        <v>0</v>
      </c>
      <c r="G5504" s="3">
        <v>-206.92982212000061</v>
      </c>
      <c r="H5504" s="3">
        <v>0</v>
      </c>
      <c r="I5504" s="3">
        <v>0</v>
      </c>
      <c r="J5504" s="3">
        <v>0</v>
      </c>
      <c r="K5504" s="3">
        <v>0</v>
      </c>
      <c r="L5504" s="3">
        <v>0</v>
      </c>
      <c r="M5504" s="3">
        <v>0</v>
      </c>
      <c r="N5504" s="3">
        <v>-110001.80250243</v>
      </c>
      <c r="O5504">
        <v>6721.7323245499874</v>
      </c>
      <c r="P5504">
        <v>36533114</v>
      </c>
    </row>
    <row r="5505" spans="1:16" x14ac:dyDescent="0.25">
      <c r="A5505" s="10">
        <v>45814</v>
      </c>
      <c r="B5505" s="3">
        <v>71689</v>
      </c>
      <c r="C5505" s="3">
        <v>0</v>
      </c>
      <c r="D5505" s="3">
        <v>0</v>
      </c>
      <c r="E5505" s="3">
        <v>0</v>
      </c>
      <c r="F5505" s="3">
        <v>0</v>
      </c>
      <c r="G5505" s="3">
        <v>1296.8295869999599</v>
      </c>
      <c r="H5505" s="3">
        <v>0</v>
      </c>
      <c r="I5505" s="3">
        <v>0</v>
      </c>
      <c r="J5505" s="3">
        <v>0</v>
      </c>
      <c r="K5505" s="3">
        <v>0</v>
      </c>
      <c r="L5505" s="3">
        <v>0</v>
      </c>
      <c r="M5505" s="3">
        <v>0</v>
      </c>
      <c r="N5505" s="3">
        <v>76454.103451610004</v>
      </c>
      <c r="O5505">
        <v>-6061.9330386099609</v>
      </c>
      <c r="P5505">
        <v>36604803</v>
      </c>
    </row>
    <row r="5506" spans="1:16" x14ac:dyDescent="0.25">
      <c r="A5506" s="10">
        <v>45817</v>
      </c>
      <c r="B5506" s="3">
        <v>-68639</v>
      </c>
      <c r="C5506" s="3">
        <v>0</v>
      </c>
      <c r="D5506" s="3">
        <v>0</v>
      </c>
      <c r="E5506" s="3">
        <v>0</v>
      </c>
      <c r="F5506" s="3">
        <v>0</v>
      </c>
      <c r="G5506" s="3">
        <v>-254.75575789999681</v>
      </c>
      <c r="H5506" s="3">
        <v>0</v>
      </c>
      <c r="I5506" s="3">
        <v>0</v>
      </c>
      <c r="J5506" s="3">
        <v>0</v>
      </c>
      <c r="K5506" s="3">
        <v>0</v>
      </c>
      <c r="L5506" s="3">
        <v>0</v>
      </c>
      <c r="M5506" s="3">
        <v>0</v>
      </c>
      <c r="N5506" s="3">
        <v>-58829.118636419997</v>
      </c>
      <c r="O5506">
        <v>-9555.1256056800048</v>
      </c>
      <c r="P5506">
        <v>36536164</v>
      </c>
    </row>
    <row r="5507" spans="1:16" x14ac:dyDescent="0.25">
      <c r="A5507" s="10">
        <v>45818</v>
      </c>
      <c r="B5507" s="3">
        <v>-324054</v>
      </c>
      <c r="C5507" s="3">
        <v>0</v>
      </c>
      <c r="D5507" s="3">
        <v>0</v>
      </c>
      <c r="E5507" s="3">
        <v>0</v>
      </c>
      <c r="F5507" s="3">
        <v>0</v>
      </c>
      <c r="G5507" s="3">
        <v>-214.7007489700045</v>
      </c>
      <c r="H5507" s="3">
        <v>0</v>
      </c>
      <c r="I5507" s="3">
        <v>0</v>
      </c>
      <c r="J5507" s="3">
        <v>0</v>
      </c>
      <c r="K5507" s="3">
        <v>0</v>
      </c>
      <c r="L5507" s="3">
        <v>0</v>
      </c>
      <c r="M5507" s="3">
        <v>0</v>
      </c>
      <c r="N5507" s="3">
        <v>-333410.80773105001</v>
      </c>
      <c r="O5507">
        <v>9571.5084800199838</v>
      </c>
      <c r="P5507">
        <v>36212110</v>
      </c>
    </row>
    <row r="5508" spans="1:16" x14ac:dyDescent="0.25">
      <c r="A5508" s="10">
        <v>45819</v>
      </c>
      <c r="B5508" s="3">
        <v>23826</v>
      </c>
      <c r="C5508" s="3">
        <v>0</v>
      </c>
      <c r="D5508" s="3">
        <v>0</v>
      </c>
      <c r="E5508" s="3">
        <v>0</v>
      </c>
      <c r="F5508" s="3">
        <v>0</v>
      </c>
      <c r="G5508" s="3">
        <v>51.247667779999972</v>
      </c>
      <c r="H5508" s="3">
        <v>0</v>
      </c>
      <c r="I5508" s="3">
        <v>0</v>
      </c>
      <c r="J5508" s="3">
        <v>0</v>
      </c>
      <c r="K5508" s="3">
        <v>0</v>
      </c>
      <c r="L5508" s="3">
        <v>0</v>
      </c>
      <c r="M5508" s="3">
        <v>0</v>
      </c>
      <c r="N5508" s="3">
        <v>2082.2567983200001</v>
      </c>
      <c r="O5508">
        <v>21692.495533900001</v>
      </c>
      <c r="P5508">
        <v>36235936</v>
      </c>
    </row>
    <row r="5509" spans="1:16" x14ac:dyDescent="0.25">
      <c r="A5509" s="10">
        <v>45820</v>
      </c>
      <c r="B5509" s="3">
        <v>-850796</v>
      </c>
      <c r="C5509" s="3">
        <v>0</v>
      </c>
      <c r="D5509" s="3">
        <v>0</v>
      </c>
      <c r="E5509" s="3">
        <v>0</v>
      </c>
      <c r="F5509" s="3">
        <v>0</v>
      </c>
      <c r="G5509" s="3">
        <v>-5470.4439018100002</v>
      </c>
      <c r="H5509" s="3">
        <v>0</v>
      </c>
      <c r="I5509" s="3">
        <v>0</v>
      </c>
      <c r="J5509" s="3">
        <v>0</v>
      </c>
      <c r="K5509" s="3">
        <v>0</v>
      </c>
      <c r="L5509" s="3">
        <v>0</v>
      </c>
      <c r="M5509" s="3">
        <v>0</v>
      </c>
      <c r="N5509" s="3">
        <v>-847459.83787380008</v>
      </c>
      <c r="O5509">
        <v>2134.2817756100558</v>
      </c>
      <c r="P5509">
        <v>35385140</v>
      </c>
    </row>
    <row r="5510" spans="1:16" x14ac:dyDescent="0.25">
      <c r="A5510" s="10">
        <v>45821</v>
      </c>
      <c r="B5510" s="3">
        <v>264916</v>
      </c>
      <c r="C5510" s="3">
        <v>0</v>
      </c>
      <c r="D5510" s="3">
        <v>0</v>
      </c>
      <c r="E5510" s="3">
        <v>0</v>
      </c>
      <c r="F5510" s="3">
        <v>0</v>
      </c>
      <c r="G5510" s="3">
        <v>7999.7720785308629</v>
      </c>
      <c r="H5510" s="3">
        <v>0</v>
      </c>
      <c r="I5510" s="3">
        <v>0</v>
      </c>
      <c r="J5510" s="3">
        <v>0</v>
      </c>
      <c r="K5510" s="3">
        <v>0</v>
      </c>
      <c r="L5510" s="3">
        <v>0</v>
      </c>
      <c r="M5510" s="3">
        <v>0</v>
      </c>
      <c r="N5510" s="3">
        <v>264991.92559135001</v>
      </c>
      <c r="O5510">
        <v>-8075.6976698808721</v>
      </c>
      <c r="P5510">
        <v>35650056</v>
      </c>
    </row>
    <row r="5511" spans="1:16" x14ac:dyDescent="0.25">
      <c r="A5511" s="10">
        <v>45825</v>
      </c>
      <c r="B5511" s="3">
        <v>411941</v>
      </c>
      <c r="C5511" s="3">
        <v>0</v>
      </c>
      <c r="D5511" s="3">
        <v>0</v>
      </c>
      <c r="E5511" s="3">
        <v>0</v>
      </c>
      <c r="F5511" s="3">
        <v>0</v>
      </c>
      <c r="G5511" s="3">
        <v>-208.08082282999999</v>
      </c>
      <c r="H5511" s="3">
        <v>0</v>
      </c>
      <c r="I5511" s="3">
        <v>0</v>
      </c>
      <c r="J5511" s="3">
        <v>0</v>
      </c>
      <c r="K5511" s="3">
        <v>0</v>
      </c>
      <c r="L5511" s="3">
        <v>0</v>
      </c>
      <c r="M5511" s="3">
        <v>0</v>
      </c>
      <c r="N5511" s="3">
        <v>409672.30743217003</v>
      </c>
      <c r="O5511">
        <v>2476.7733906600042</v>
      </c>
      <c r="P5511">
        <v>36061997</v>
      </c>
    </row>
    <row r="5512" spans="1:16" x14ac:dyDescent="0.25">
      <c r="A5512" s="10">
        <v>45826</v>
      </c>
      <c r="B5512" s="3">
        <v>-137407</v>
      </c>
      <c r="C5512" s="3">
        <v>0</v>
      </c>
      <c r="D5512" s="3">
        <v>0</v>
      </c>
      <c r="E5512" s="3">
        <v>0</v>
      </c>
      <c r="F5512" s="3">
        <v>0</v>
      </c>
      <c r="G5512" s="3">
        <v>-1975690.0391496499</v>
      </c>
      <c r="H5512" s="3">
        <v>0</v>
      </c>
      <c r="I5512" s="3">
        <v>0</v>
      </c>
      <c r="J5512" s="3">
        <v>0</v>
      </c>
      <c r="K5512" s="3">
        <v>0</v>
      </c>
      <c r="L5512" s="3">
        <v>0</v>
      </c>
      <c r="M5512" s="3">
        <v>0</v>
      </c>
      <c r="N5512" s="3">
        <v>1856870.4723364899</v>
      </c>
      <c r="O5512">
        <v>-18587.4331868398</v>
      </c>
      <c r="P5512">
        <v>35924590</v>
      </c>
    </row>
    <row r="5513" spans="1:16" x14ac:dyDescent="0.25">
      <c r="A5513" s="10">
        <v>45827</v>
      </c>
      <c r="B5513" s="3">
        <v>-531044</v>
      </c>
      <c r="C5513" s="3">
        <v>0</v>
      </c>
      <c r="D5513" s="3">
        <v>0</v>
      </c>
      <c r="E5513" s="3">
        <v>0</v>
      </c>
      <c r="F5513" s="3">
        <v>0</v>
      </c>
      <c r="G5513" s="3">
        <v>16608.261128960308</v>
      </c>
      <c r="H5513" s="3">
        <v>0</v>
      </c>
      <c r="I5513" s="3">
        <v>0</v>
      </c>
      <c r="J5513" s="3">
        <v>0</v>
      </c>
      <c r="K5513" s="3">
        <v>0</v>
      </c>
      <c r="L5513" s="3">
        <v>0</v>
      </c>
      <c r="M5513" s="3">
        <v>0</v>
      </c>
      <c r="N5513" s="3">
        <v>-524394.52585558</v>
      </c>
      <c r="O5513">
        <v>-23257.735273380302</v>
      </c>
      <c r="P5513">
        <v>35393546</v>
      </c>
    </row>
    <row r="5514" spans="1:16" x14ac:dyDescent="0.25">
      <c r="A5514" s="10">
        <v>45831</v>
      </c>
      <c r="B5514" s="3">
        <v>336148</v>
      </c>
      <c r="C5514" s="3">
        <v>0</v>
      </c>
      <c r="D5514" s="3">
        <v>0</v>
      </c>
      <c r="E5514" s="3">
        <v>0</v>
      </c>
      <c r="F5514" s="3">
        <v>0</v>
      </c>
      <c r="G5514" s="3">
        <v>174761.93666943911</v>
      </c>
      <c r="H5514" s="3">
        <v>0</v>
      </c>
      <c r="I5514" s="3">
        <v>0</v>
      </c>
      <c r="J5514" s="3">
        <v>0</v>
      </c>
      <c r="K5514" s="3">
        <v>0</v>
      </c>
      <c r="L5514" s="3">
        <v>0</v>
      </c>
      <c r="M5514" s="3">
        <v>0</v>
      </c>
      <c r="N5514" s="3">
        <v>144381.14329482999</v>
      </c>
      <c r="O5514">
        <v>17004.920035730931</v>
      </c>
      <c r="P5514">
        <v>35729694</v>
      </c>
    </row>
    <row r="5515" spans="1:16" x14ac:dyDescent="0.25">
      <c r="A5515" s="10">
        <v>45832</v>
      </c>
      <c r="B5515" s="3">
        <v>-884951</v>
      </c>
      <c r="C5515" s="3">
        <v>0</v>
      </c>
      <c r="D5515" s="3">
        <v>0</v>
      </c>
      <c r="E5515" s="3">
        <v>0</v>
      </c>
      <c r="F5515" s="3">
        <v>0</v>
      </c>
      <c r="G5515" s="3">
        <v>74.828465260001394</v>
      </c>
      <c r="H5515" s="3">
        <v>0</v>
      </c>
      <c r="I5515" s="3">
        <v>0</v>
      </c>
      <c r="J5515" s="3">
        <v>0</v>
      </c>
      <c r="K5515" s="3">
        <v>0</v>
      </c>
      <c r="L5515" s="3">
        <v>0</v>
      </c>
      <c r="M5515" s="3">
        <v>0</v>
      </c>
      <c r="N5515" s="3">
        <v>60846.332973769997</v>
      </c>
      <c r="O5515">
        <v>-945872.16143902997</v>
      </c>
      <c r="P5515">
        <v>34844743</v>
      </c>
    </row>
    <row r="5516" spans="1:16" x14ac:dyDescent="0.25">
      <c r="A5516" s="10">
        <v>45833</v>
      </c>
      <c r="B5516" s="3">
        <v>-23558</v>
      </c>
      <c r="C5516" s="3">
        <v>0</v>
      </c>
      <c r="D5516" s="3">
        <v>0</v>
      </c>
      <c r="E5516" s="3">
        <v>0</v>
      </c>
      <c r="F5516" s="3">
        <v>0</v>
      </c>
      <c r="G5516" s="3">
        <v>441.02853217000029</v>
      </c>
      <c r="H5516" s="3">
        <v>0</v>
      </c>
      <c r="I5516" s="3">
        <v>0</v>
      </c>
      <c r="J5516" s="3">
        <v>0</v>
      </c>
      <c r="K5516" s="3">
        <v>0</v>
      </c>
      <c r="L5516" s="3">
        <v>0</v>
      </c>
      <c r="M5516" s="3">
        <v>0</v>
      </c>
      <c r="N5516" s="3">
        <v>-47444.223412839987</v>
      </c>
      <c r="O5516">
        <v>23445.194880669991</v>
      </c>
      <c r="P5516">
        <v>34821185</v>
      </c>
    </row>
    <row r="5517" spans="1:16" x14ac:dyDescent="0.25">
      <c r="A5517" s="10">
        <v>45834</v>
      </c>
      <c r="B5517" s="3">
        <v>119343</v>
      </c>
      <c r="C5517" s="3">
        <v>0</v>
      </c>
      <c r="D5517" s="3">
        <v>0</v>
      </c>
      <c r="E5517" s="3">
        <v>0</v>
      </c>
      <c r="F5517" s="3">
        <v>0</v>
      </c>
      <c r="G5517" s="3">
        <v>59723.215867501407</v>
      </c>
      <c r="H5517" s="3">
        <v>0</v>
      </c>
      <c r="I5517" s="3">
        <v>0</v>
      </c>
      <c r="J5517" s="3">
        <v>0</v>
      </c>
      <c r="K5517" s="3">
        <v>0</v>
      </c>
      <c r="L5517" s="3">
        <v>0</v>
      </c>
      <c r="M5517" s="3">
        <v>0</v>
      </c>
      <c r="N5517" s="3">
        <v>40218.616980190003</v>
      </c>
      <c r="O5517">
        <v>19401.167152308601</v>
      </c>
      <c r="P5517">
        <v>34940528</v>
      </c>
    </row>
    <row r="5518" spans="1:16" x14ac:dyDescent="0.25">
      <c r="A5518" s="10">
        <v>45835</v>
      </c>
      <c r="B5518" s="3">
        <v>601836</v>
      </c>
      <c r="C5518" s="3">
        <v>0</v>
      </c>
      <c r="D5518" s="3">
        <v>0</v>
      </c>
      <c r="E5518" s="3">
        <v>0</v>
      </c>
      <c r="F5518" s="3">
        <v>0</v>
      </c>
      <c r="G5518" s="3">
        <v>-214.33546195000241</v>
      </c>
      <c r="H5518" s="3">
        <v>0</v>
      </c>
      <c r="I5518" s="3">
        <v>0</v>
      </c>
      <c r="J5518" s="3">
        <v>0</v>
      </c>
      <c r="K5518" s="3">
        <v>0</v>
      </c>
      <c r="L5518" s="3">
        <v>0</v>
      </c>
      <c r="M5518" s="3">
        <v>0</v>
      </c>
      <c r="N5518" s="3">
        <v>580487.89832191006</v>
      </c>
      <c r="O5518">
        <v>21562.43714003998</v>
      </c>
      <c r="P5518">
        <v>35542364</v>
      </c>
    </row>
    <row r="5519" spans="1:16" x14ac:dyDescent="0.25">
      <c r="A5519" s="10">
        <v>45838</v>
      </c>
      <c r="B5519" s="3">
        <v>1633262</v>
      </c>
      <c r="C5519" s="3">
        <v>0</v>
      </c>
      <c r="D5519" s="3">
        <v>0</v>
      </c>
      <c r="E5519" s="3">
        <v>0</v>
      </c>
      <c r="F5519" s="3">
        <v>0</v>
      </c>
      <c r="G5519" s="3">
        <v>4290420.8857348384</v>
      </c>
      <c r="H5519" s="3">
        <v>0</v>
      </c>
      <c r="I5519" s="3">
        <v>0</v>
      </c>
      <c r="J5519" s="3">
        <v>0</v>
      </c>
      <c r="K5519" s="3">
        <v>0</v>
      </c>
      <c r="L5519" s="3">
        <v>0</v>
      </c>
      <c r="M5519" s="3">
        <v>0</v>
      </c>
      <c r="N5519" s="3">
        <v>-2649109.1912021101</v>
      </c>
      <c r="O5519">
        <v>-8049.694532728754</v>
      </c>
      <c r="P5519">
        <v>37175626</v>
      </c>
    </row>
    <row r="5520" spans="1:16" x14ac:dyDescent="0.25">
      <c r="A5520" s="10">
        <v>45839</v>
      </c>
      <c r="B5520" s="3">
        <v>-1597960</v>
      </c>
      <c r="C5520" s="3">
        <v>0</v>
      </c>
      <c r="D5520" s="3">
        <v>0</v>
      </c>
      <c r="E5520" s="3">
        <v>0</v>
      </c>
      <c r="F5520" s="3">
        <v>0</v>
      </c>
      <c r="G5520" s="3">
        <v>-296.95000000000073</v>
      </c>
      <c r="H5520" s="3">
        <v>0</v>
      </c>
      <c r="I5520" s="3">
        <v>0</v>
      </c>
      <c r="J5520" s="3">
        <v>0</v>
      </c>
      <c r="K5520" s="3">
        <v>0</v>
      </c>
      <c r="L5520" s="3">
        <v>0</v>
      </c>
      <c r="M5520" s="3">
        <v>0</v>
      </c>
      <c r="N5520" s="3">
        <v>-1629940.4798603</v>
      </c>
      <c r="O5520">
        <v>32277.429860299919</v>
      </c>
      <c r="P5520">
        <v>35577666</v>
      </c>
    </row>
    <row r="5521" spans="1:16" x14ac:dyDescent="0.25">
      <c r="A5521" s="10">
        <v>45840</v>
      </c>
      <c r="B5521" s="3">
        <v>-1171526</v>
      </c>
      <c r="C5521" s="3">
        <v>0</v>
      </c>
      <c r="D5521" s="3">
        <v>0</v>
      </c>
      <c r="E5521" s="3">
        <v>0</v>
      </c>
      <c r="F5521" s="3">
        <v>0</v>
      </c>
      <c r="G5521" s="3">
        <v>-241.95028446998171</v>
      </c>
      <c r="H5521" s="3">
        <v>0</v>
      </c>
      <c r="I5521" s="3">
        <v>0</v>
      </c>
      <c r="J5521" s="3">
        <v>0</v>
      </c>
      <c r="K5521" s="3">
        <v>0</v>
      </c>
      <c r="L5521" s="3">
        <v>0</v>
      </c>
      <c r="M5521" s="3">
        <v>0</v>
      </c>
      <c r="N5521" s="3">
        <v>-1181325.61947657</v>
      </c>
      <c r="O5521">
        <v>10041.56976103992</v>
      </c>
      <c r="P5521">
        <v>34406140</v>
      </c>
    </row>
    <row r="5522" spans="1:16" x14ac:dyDescent="0.25">
      <c r="A5522" s="10">
        <v>45841</v>
      </c>
      <c r="B5522" s="3">
        <v>-987753</v>
      </c>
      <c r="C5522" s="3">
        <v>0</v>
      </c>
      <c r="D5522" s="3">
        <v>0</v>
      </c>
      <c r="E5522" s="3">
        <v>0</v>
      </c>
      <c r="F5522" s="3">
        <v>0</v>
      </c>
      <c r="G5522" s="3">
        <v>244709.85904502001</v>
      </c>
      <c r="H5522" s="3">
        <v>0</v>
      </c>
      <c r="I5522" s="3">
        <v>0</v>
      </c>
      <c r="J5522" s="3">
        <v>0</v>
      </c>
      <c r="K5522" s="3">
        <v>0</v>
      </c>
      <c r="L5522" s="3">
        <v>0</v>
      </c>
      <c r="M5522" s="3">
        <v>0</v>
      </c>
      <c r="N5522" s="3">
        <v>-1252080.0849194501</v>
      </c>
      <c r="O5522">
        <v>19617.225874429801</v>
      </c>
      <c r="P5522">
        <v>33418387</v>
      </c>
    </row>
    <row r="5523" spans="1:16" x14ac:dyDescent="0.25">
      <c r="A5523" s="10">
        <v>45842</v>
      </c>
      <c r="B5523" s="3">
        <v>-669578</v>
      </c>
      <c r="C5523" s="3">
        <v>0</v>
      </c>
      <c r="D5523" s="3">
        <v>0</v>
      </c>
      <c r="E5523" s="3">
        <v>0</v>
      </c>
      <c r="F5523" s="3">
        <v>0</v>
      </c>
      <c r="G5523" s="3">
        <v>9561.5177557603965</v>
      </c>
      <c r="H5523" s="3">
        <v>0</v>
      </c>
      <c r="I5523" s="3">
        <v>0</v>
      </c>
      <c r="J5523" s="3">
        <v>0</v>
      </c>
      <c r="K5523" s="3">
        <v>0</v>
      </c>
      <c r="L5523" s="3">
        <v>0</v>
      </c>
      <c r="M5523" s="3">
        <v>0</v>
      </c>
      <c r="N5523" s="3">
        <v>-688932.57289727998</v>
      </c>
      <c r="O5523">
        <v>9793.0551415196387</v>
      </c>
      <c r="P5523">
        <v>32748809</v>
      </c>
    </row>
    <row r="5524" spans="1:16" x14ac:dyDescent="0.25">
      <c r="A5524" s="10">
        <v>45845</v>
      </c>
      <c r="B5524" s="3">
        <v>1623859</v>
      </c>
      <c r="C5524" s="3">
        <v>0</v>
      </c>
      <c r="D5524" s="3">
        <v>0</v>
      </c>
      <c r="E5524" s="3">
        <v>0</v>
      </c>
      <c r="F5524" s="3">
        <v>0</v>
      </c>
      <c r="G5524" s="3">
        <v>4579.0358186497688</v>
      </c>
      <c r="H5524" s="3">
        <v>0</v>
      </c>
      <c r="I5524" s="3">
        <v>0</v>
      </c>
      <c r="J5524" s="3">
        <v>0</v>
      </c>
      <c r="K5524" s="3">
        <v>0</v>
      </c>
      <c r="L5524" s="3">
        <v>0</v>
      </c>
      <c r="M5524" s="3">
        <v>0</v>
      </c>
      <c r="N5524" s="3">
        <v>1663512.1725916299</v>
      </c>
      <c r="O5524">
        <v>-44232.208410279592</v>
      </c>
      <c r="P5524">
        <v>34372668</v>
      </c>
    </row>
    <row r="5525" spans="1:16" x14ac:dyDescent="0.25">
      <c r="A5525" s="10">
        <v>45846</v>
      </c>
      <c r="B5525" s="3">
        <v>-1233092</v>
      </c>
      <c r="C5525" s="3">
        <v>0</v>
      </c>
      <c r="D5525" s="3">
        <v>0</v>
      </c>
      <c r="E5525" s="3">
        <v>0</v>
      </c>
      <c r="F5525" s="3">
        <v>0</v>
      </c>
      <c r="G5525" s="3">
        <v>23511.877950670201</v>
      </c>
      <c r="H5525" s="3">
        <v>0</v>
      </c>
      <c r="I5525" s="3">
        <v>0</v>
      </c>
      <c r="J5525" s="3">
        <v>0</v>
      </c>
      <c r="K5525" s="3">
        <v>0</v>
      </c>
      <c r="L5525" s="3">
        <v>0</v>
      </c>
      <c r="M5525" s="3">
        <v>0</v>
      </c>
      <c r="N5525" s="3">
        <v>-1297880.0579959601</v>
      </c>
      <c r="O5525">
        <v>41276.180045289693</v>
      </c>
      <c r="P5525">
        <v>33139576</v>
      </c>
    </row>
    <row r="5526" spans="1:16" x14ac:dyDescent="0.25">
      <c r="A5526" s="10">
        <v>45848</v>
      </c>
      <c r="B5526" s="3">
        <v>9874682</v>
      </c>
      <c r="C5526" s="3">
        <v>0</v>
      </c>
      <c r="D5526" s="3">
        <v>0</v>
      </c>
      <c r="E5526" s="3">
        <v>0</v>
      </c>
      <c r="F5526" s="3">
        <v>0</v>
      </c>
      <c r="G5526" s="3">
        <v>-5621529.2152433814</v>
      </c>
      <c r="H5526" s="3">
        <v>0</v>
      </c>
      <c r="I5526" s="3">
        <v>0</v>
      </c>
      <c r="J5526" s="3">
        <v>0</v>
      </c>
      <c r="K5526" s="3">
        <v>0</v>
      </c>
      <c r="L5526" s="3">
        <v>0</v>
      </c>
      <c r="M5526" s="3">
        <v>0</v>
      </c>
      <c r="N5526" s="3">
        <v>15519411.614946799</v>
      </c>
      <c r="O5526">
        <v>-23200.399703420699</v>
      </c>
      <c r="P5526">
        <v>43014258</v>
      </c>
    </row>
    <row r="5527" spans="1:16" x14ac:dyDescent="0.25">
      <c r="A5527" s="10">
        <v>45849</v>
      </c>
      <c r="B5527" s="3">
        <v>18217</v>
      </c>
      <c r="C5527" s="3">
        <v>0</v>
      </c>
      <c r="D5527" s="3">
        <v>0</v>
      </c>
      <c r="E5527" s="3">
        <v>0</v>
      </c>
      <c r="F5527" s="3">
        <v>0</v>
      </c>
      <c r="G5527" s="3">
        <v>2005.8707103403131</v>
      </c>
      <c r="H5527" s="3">
        <v>0</v>
      </c>
      <c r="I5527" s="3">
        <v>0</v>
      </c>
      <c r="J5527" s="3">
        <v>0</v>
      </c>
      <c r="K5527" s="3">
        <v>0</v>
      </c>
      <c r="L5527" s="3">
        <v>0</v>
      </c>
      <c r="M5527" s="3">
        <v>0</v>
      </c>
      <c r="N5527" s="3">
        <v>0</v>
      </c>
      <c r="O5527">
        <v>16211.12928965969</v>
      </c>
      <c r="P5527">
        <v>43032475</v>
      </c>
    </row>
    <row r="5528" spans="1:16" x14ac:dyDescent="0.25">
      <c r="A5528" s="10">
        <v>45852</v>
      </c>
      <c r="B5528" s="3">
        <v>-980506</v>
      </c>
      <c r="C5528" s="3">
        <v>0</v>
      </c>
      <c r="D5528" s="3">
        <v>0</v>
      </c>
      <c r="E5528" s="3">
        <v>0</v>
      </c>
      <c r="F5528" s="3">
        <v>0</v>
      </c>
      <c r="G5528" s="3">
        <v>63699.6793655</v>
      </c>
      <c r="H5528" s="3">
        <v>0</v>
      </c>
      <c r="I5528" s="3">
        <v>0</v>
      </c>
      <c r="J5528" s="3">
        <v>0</v>
      </c>
      <c r="K5528" s="3">
        <v>0</v>
      </c>
      <c r="L5528" s="3">
        <v>0</v>
      </c>
      <c r="M5528" s="3">
        <v>0</v>
      </c>
      <c r="N5528" s="3">
        <v>0</v>
      </c>
      <c r="O5528">
        <v>-1044205.6793655</v>
      </c>
      <c r="P5528">
        <v>42051969</v>
      </c>
    </row>
    <row r="5529" spans="1:16" x14ac:dyDescent="0.25">
      <c r="A5529" s="10">
        <v>45853</v>
      </c>
      <c r="B5529" s="3">
        <v>-3832357</v>
      </c>
      <c r="C5529" s="3">
        <v>0</v>
      </c>
      <c r="D5529" s="3">
        <v>0</v>
      </c>
      <c r="E5529" s="3">
        <v>0</v>
      </c>
      <c r="F5529" s="3">
        <v>0</v>
      </c>
      <c r="G5529" s="3">
        <v>342384.76786548999</v>
      </c>
      <c r="H5529" s="3">
        <v>0</v>
      </c>
      <c r="I5529" s="3">
        <v>0</v>
      </c>
      <c r="J5529" s="3">
        <v>0</v>
      </c>
      <c r="K5529" s="3">
        <v>0</v>
      </c>
      <c r="L5529" s="3">
        <v>0</v>
      </c>
      <c r="M5529" s="3">
        <v>0</v>
      </c>
      <c r="N5529" s="3">
        <v>0</v>
      </c>
      <c r="O5529">
        <v>-4174741.7678654902</v>
      </c>
      <c r="P5529">
        <v>38219612</v>
      </c>
    </row>
    <row r="5530" spans="1:16" x14ac:dyDescent="0.25">
      <c r="A5530" s="10">
        <v>45854</v>
      </c>
      <c r="B5530" s="3">
        <v>343556</v>
      </c>
      <c r="C5530" s="3">
        <v>0</v>
      </c>
      <c r="D5530" s="3">
        <v>0</v>
      </c>
      <c r="E5530" s="3">
        <v>0</v>
      </c>
      <c r="F5530" s="3">
        <v>0</v>
      </c>
      <c r="G5530" s="3">
        <v>61496.533262990422</v>
      </c>
      <c r="H5530" s="3">
        <v>0</v>
      </c>
      <c r="I5530" s="3">
        <v>0</v>
      </c>
      <c r="J5530" s="3">
        <v>0</v>
      </c>
      <c r="K5530" s="3">
        <v>0</v>
      </c>
      <c r="L5530" s="3">
        <v>0</v>
      </c>
      <c r="M5530" s="3">
        <v>0</v>
      </c>
      <c r="N5530" s="3">
        <v>0</v>
      </c>
      <c r="O5530">
        <v>282059.46673700958</v>
      </c>
      <c r="P5530">
        <v>38563168</v>
      </c>
    </row>
    <row r="5531" spans="1:16" x14ac:dyDescent="0.25">
      <c r="A5531" s="10">
        <v>45855</v>
      </c>
      <c r="B5531" s="3">
        <v>2896783</v>
      </c>
      <c r="C5531" s="3">
        <v>0</v>
      </c>
      <c r="D5531" s="3">
        <v>0</v>
      </c>
      <c r="E5531" s="3">
        <v>0</v>
      </c>
      <c r="F5531" s="3">
        <v>0</v>
      </c>
      <c r="G5531" s="3">
        <v>49881.495675269507</v>
      </c>
      <c r="H5531" s="3">
        <v>0</v>
      </c>
      <c r="I5531" s="3">
        <v>0</v>
      </c>
      <c r="J5531" s="3">
        <v>0</v>
      </c>
      <c r="K5531" s="3">
        <v>0</v>
      </c>
      <c r="L5531" s="3">
        <v>0</v>
      </c>
      <c r="M5531" s="3">
        <v>0</v>
      </c>
      <c r="N5531" s="3">
        <v>0</v>
      </c>
      <c r="O5531">
        <v>2846901.50432473</v>
      </c>
      <c r="P5531">
        <v>41459951</v>
      </c>
    </row>
    <row r="5532" spans="1:16" x14ac:dyDescent="0.25">
      <c r="A5532" s="10">
        <v>45856</v>
      </c>
      <c r="B5532" s="3">
        <v>-3818234</v>
      </c>
      <c r="C5532" s="3">
        <v>0</v>
      </c>
      <c r="D5532" s="3">
        <v>0</v>
      </c>
      <c r="E5532" s="3">
        <v>0</v>
      </c>
      <c r="F5532" s="3">
        <v>0</v>
      </c>
      <c r="G5532" s="3">
        <v>-4255346.9772168603</v>
      </c>
      <c r="H5532" s="3">
        <v>0</v>
      </c>
      <c r="I5532" s="3">
        <v>0</v>
      </c>
      <c r="J5532" s="3">
        <v>0</v>
      </c>
      <c r="K5532" s="3">
        <v>0</v>
      </c>
      <c r="L5532" s="3">
        <v>0</v>
      </c>
      <c r="M5532" s="3">
        <v>0</v>
      </c>
      <c r="N5532" s="3">
        <v>0</v>
      </c>
      <c r="O5532">
        <v>437112.97721686028</v>
      </c>
      <c r="P5532">
        <v>37641717</v>
      </c>
    </row>
    <row r="5533" spans="1:16" x14ac:dyDescent="0.25">
      <c r="A5533" s="10">
        <v>45859</v>
      </c>
      <c r="B5533" s="3">
        <v>383733</v>
      </c>
      <c r="C5533" s="3">
        <v>0</v>
      </c>
      <c r="D5533" s="3">
        <v>0</v>
      </c>
      <c r="E5533" s="3">
        <v>0</v>
      </c>
      <c r="F5533" s="3">
        <v>0</v>
      </c>
      <c r="G5533" s="3">
        <v>66085.06813082</v>
      </c>
      <c r="H5533" s="3">
        <v>0</v>
      </c>
      <c r="I5533" s="3">
        <v>0</v>
      </c>
      <c r="J5533" s="3">
        <v>0</v>
      </c>
      <c r="K5533" s="3">
        <v>0</v>
      </c>
      <c r="L5533" s="3">
        <v>0</v>
      </c>
      <c r="M5533" s="3">
        <v>0</v>
      </c>
      <c r="N5533" s="3">
        <v>0</v>
      </c>
      <c r="O5533">
        <v>317647.93186918</v>
      </c>
      <c r="P5533">
        <v>38025450</v>
      </c>
    </row>
    <row r="5534" spans="1:16" x14ac:dyDescent="0.25">
      <c r="A5534" s="10">
        <v>45860</v>
      </c>
      <c r="B5534" s="3">
        <v>-20825</v>
      </c>
      <c r="C5534" s="3">
        <v>0</v>
      </c>
      <c r="D5534" s="3">
        <v>0</v>
      </c>
      <c r="E5534" s="3">
        <v>0</v>
      </c>
      <c r="F5534" s="3">
        <v>0</v>
      </c>
      <c r="G5534" s="3">
        <v>9598.996651989999</v>
      </c>
      <c r="H5534" s="3">
        <v>0</v>
      </c>
      <c r="I5534" s="3">
        <v>0</v>
      </c>
      <c r="J5534" s="3">
        <v>0</v>
      </c>
      <c r="K5534" s="3">
        <v>0</v>
      </c>
      <c r="L5534" s="3">
        <v>0</v>
      </c>
      <c r="M5534" s="3">
        <v>0</v>
      </c>
      <c r="N5534" s="3">
        <v>0</v>
      </c>
      <c r="O5534">
        <v>-30423.996651990001</v>
      </c>
      <c r="P5534">
        <v>38004625</v>
      </c>
    </row>
    <row r="5535" spans="1:16" x14ac:dyDescent="0.25">
      <c r="A5535" s="10">
        <v>45861</v>
      </c>
      <c r="B5535" s="3">
        <v>164675</v>
      </c>
      <c r="C5535" s="3">
        <v>0</v>
      </c>
      <c r="D5535" s="3">
        <v>0</v>
      </c>
      <c r="E5535" s="3">
        <v>0</v>
      </c>
      <c r="F5535" s="3">
        <v>0</v>
      </c>
      <c r="G5535" s="3">
        <v>205296.10232295</v>
      </c>
      <c r="H5535" s="3">
        <v>0</v>
      </c>
      <c r="I5535" s="3">
        <v>0</v>
      </c>
      <c r="J5535" s="3">
        <v>0</v>
      </c>
      <c r="K5535" s="3">
        <v>0</v>
      </c>
      <c r="L5535" s="3">
        <v>0</v>
      </c>
      <c r="M5535" s="3">
        <v>0</v>
      </c>
      <c r="N5535" s="3">
        <v>0</v>
      </c>
      <c r="O5535">
        <v>-40621.102322950028</v>
      </c>
      <c r="P5535">
        <v>38169300</v>
      </c>
    </row>
    <row r="5536" spans="1:16" x14ac:dyDescent="0.25">
      <c r="A5536" s="10">
        <v>45862</v>
      </c>
      <c r="B5536" s="3">
        <v>-19409</v>
      </c>
      <c r="C5536" s="3">
        <v>0</v>
      </c>
      <c r="D5536" s="3">
        <v>0</v>
      </c>
      <c r="E5536" s="3">
        <v>0</v>
      </c>
      <c r="F5536" s="3">
        <v>0</v>
      </c>
      <c r="G5536" s="3">
        <v>36991.027987280002</v>
      </c>
      <c r="H5536" s="3">
        <v>0</v>
      </c>
      <c r="I5536" s="3">
        <v>0</v>
      </c>
      <c r="J5536" s="3">
        <v>0</v>
      </c>
      <c r="K5536" s="3">
        <v>0</v>
      </c>
      <c r="L5536" s="3">
        <v>0</v>
      </c>
      <c r="M5536" s="3">
        <v>0</v>
      </c>
      <c r="N5536" s="3">
        <v>0</v>
      </c>
      <c r="O5536">
        <v>-56400.027987280002</v>
      </c>
      <c r="P5536">
        <v>38149891</v>
      </c>
    </row>
    <row r="5537" spans="1:16" x14ac:dyDescent="0.25">
      <c r="A5537" s="10">
        <v>45863</v>
      </c>
      <c r="B5537" s="3">
        <v>-414860</v>
      </c>
      <c r="C5537" s="3">
        <v>0</v>
      </c>
      <c r="D5537" s="3">
        <v>0</v>
      </c>
      <c r="E5537" s="3">
        <v>0</v>
      </c>
      <c r="F5537" s="3">
        <v>0</v>
      </c>
      <c r="G5537" s="3">
        <v>56314.381757909432</v>
      </c>
      <c r="H5537" s="3">
        <v>0</v>
      </c>
      <c r="I5537" s="3">
        <v>0</v>
      </c>
      <c r="J5537" s="3">
        <v>0</v>
      </c>
      <c r="K5537" s="3">
        <v>0</v>
      </c>
      <c r="L5537" s="3">
        <v>0</v>
      </c>
      <c r="M5537" s="3">
        <v>0</v>
      </c>
      <c r="N5537" s="3">
        <v>0</v>
      </c>
      <c r="O5537">
        <v>-471174.38175790937</v>
      </c>
      <c r="P5537">
        <v>37735031</v>
      </c>
    </row>
    <row r="5538" spans="1:16" x14ac:dyDescent="0.25">
      <c r="A5538" s="10">
        <v>45866</v>
      </c>
      <c r="B5538" s="3">
        <v>-914583</v>
      </c>
      <c r="C5538" s="3">
        <v>0</v>
      </c>
      <c r="D5538" s="3">
        <v>0</v>
      </c>
      <c r="E5538" s="3">
        <v>0</v>
      </c>
      <c r="F5538" s="3">
        <v>0</v>
      </c>
      <c r="G5538" s="3">
        <v>38929.546375110753</v>
      </c>
      <c r="H5538" s="3">
        <v>0</v>
      </c>
      <c r="I5538" s="3">
        <v>0</v>
      </c>
      <c r="J5538" s="3">
        <v>0</v>
      </c>
      <c r="K5538" s="3">
        <v>0</v>
      </c>
      <c r="L5538" s="3">
        <v>0</v>
      </c>
      <c r="M5538" s="3">
        <v>0</v>
      </c>
      <c r="N5538" s="3">
        <v>0</v>
      </c>
      <c r="O5538">
        <v>-953512.54637511075</v>
      </c>
      <c r="P5538">
        <v>36820448</v>
      </c>
    </row>
    <row r="5539" spans="1:16" x14ac:dyDescent="0.25">
      <c r="A5539" s="10">
        <v>45867</v>
      </c>
      <c r="B5539" s="3">
        <v>1528532</v>
      </c>
      <c r="C5539" s="3">
        <v>0</v>
      </c>
      <c r="D5539" s="3">
        <v>0</v>
      </c>
      <c r="E5539" s="3">
        <v>0</v>
      </c>
      <c r="F5539" s="3">
        <v>0</v>
      </c>
      <c r="G5539" s="3">
        <v>-399.05606406999999</v>
      </c>
      <c r="H5539" s="3">
        <v>0</v>
      </c>
      <c r="I5539" s="3">
        <v>0</v>
      </c>
      <c r="J5539" s="3">
        <v>0</v>
      </c>
      <c r="K5539" s="3">
        <v>0</v>
      </c>
      <c r="L5539" s="3">
        <v>0</v>
      </c>
      <c r="M5539" s="3">
        <v>0</v>
      </c>
      <c r="N5539" s="3">
        <v>0</v>
      </c>
      <c r="O5539">
        <v>1528931.05606407</v>
      </c>
      <c r="P5539">
        <v>38348980</v>
      </c>
    </row>
    <row r="5540" spans="1:16" x14ac:dyDescent="0.25">
      <c r="A5540" s="10">
        <v>45868</v>
      </c>
      <c r="B5540" s="3">
        <v>-1052830</v>
      </c>
      <c r="C5540" s="3">
        <v>0</v>
      </c>
      <c r="D5540" s="3">
        <v>0</v>
      </c>
      <c r="E5540" s="3">
        <v>0</v>
      </c>
      <c r="F5540" s="3">
        <v>0</v>
      </c>
      <c r="G5540" s="3">
        <v>-410.69537910999998</v>
      </c>
      <c r="H5540" s="3">
        <v>0</v>
      </c>
      <c r="I5540" s="3">
        <v>0</v>
      </c>
      <c r="J5540" s="3">
        <v>0</v>
      </c>
      <c r="K5540" s="3">
        <v>0</v>
      </c>
      <c r="L5540" s="3">
        <v>0</v>
      </c>
      <c r="M5540" s="3">
        <v>0</v>
      </c>
      <c r="N5540" s="3">
        <v>0</v>
      </c>
      <c r="O5540">
        <v>-1052419.3046208899</v>
      </c>
      <c r="P5540">
        <v>37296150</v>
      </c>
    </row>
    <row r="5541" spans="1:16" x14ac:dyDescent="0.25">
      <c r="A5541" s="10">
        <v>45869</v>
      </c>
      <c r="B5541" s="3">
        <v>2817218</v>
      </c>
      <c r="C5541" s="3">
        <v>0</v>
      </c>
      <c r="D5541" s="3">
        <v>0</v>
      </c>
      <c r="E5541" s="3">
        <v>0</v>
      </c>
      <c r="F5541" s="3">
        <v>0</v>
      </c>
      <c r="G5541" s="3">
        <v>2771258.315077832</v>
      </c>
      <c r="H5541" s="3">
        <v>0</v>
      </c>
      <c r="I5541" s="3">
        <v>0</v>
      </c>
      <c r="J5541" s="3">
        <v>0</v>
      </c>
      <c r="K5541" s="3">
        <v>0</v>
      </c>
      <c r="L5541" s="3">
        <v>0</v>
      </c>
      <c r="M5541" s="3">
        <v>0</v>
      </c>
      <c r="N5541" s="3">
        <v>0</v>
      </c>
      <c r="O5541">
        <v>45959.684922168497</v>
      </c>
      <c r="P5541">
        <v>40113368</v>
      </c>
    </row>
    <row r="5542" spans="1:16" x14ac:dyDescent="0.25">
      <c r="A5542" s="10">
        <v>45870</v>
      </c>
      <c r="B5542" s="3">
        <v>1293722</v>
      </c>
      <c r="C5542" s="3">
        <v>0</v>
      </c>
      <c r="D5542" s="3">
        <v>0</v>
      </c>
      <c r="E5542" s="3">
        <v>0</v>
      </c>
      <c r="F5542" s="3">
        <v>0</v>
      </c>
      <c r="G5542" s="3">
        <v>38369.086157597601</v>
      </c>
      <c r="H5542" s="3">
        <v>0</v>
      </c>
      <c r="I5542" s="3">
        <v>0</v>
      </c>
      <c r="J5542" s="3">
        <v>0</v>
      </c>
      <c r="K5542" s="3">
        <v>0</v>
      </c>
      <c r="L5542" s="3">
        <v>0</v>
      </c>
      <c r="M5542" s="3">
        <v>0</v>
      </c>
      <c r="N5542" s="3">
        <v>0</v>
      </c>
      <c r="O5542">
        <v>1255352.9138424019</v>
      </c>
      <c r="P5542">
        <v>41407090</v>
      </c>
    </row>
    <row r="5543" spans="1:16" x14ac:dyDescent="0.25">
      <c r="A5543" s="10">
        <v>45873</v>
      </c>
      <c r="B5543" s="3">
        <v>1393465</v>
      </c>
      <c r="C5543" s="3">
        <v>0</v>
      </c>
      <c r="D5543" s="3">
        <v>0</v>
      </c>
      <c r="E5543" s="3">
        <v>0</v>
      </c>
      <c r="F5543" s="3">
        <v>0</v>
      </c>
      <c r="G5543" s="3">
        <v>-159.13131102919581</v>
      </c>
      <c r="H5543" s="3">
        <v>0</v>
      </c>
      <c r="I5543" s="3">
        <v>0</v>
      </c>
      <c r="J5543" s="3">
        <v>0</v>
      </c>
      <c r="K5543" s="3">
        <v>0</v>
      </c>
      <c r="L5543" s="3">
        <v>0</v>
      </c>
      <c r="M5543" s="3">
        <v>0</v>
      </c>
      <c r="N5543" s="3">
        <v>0</v>
      </c>
      <c r="O5543">
        <v>1393624.131311029</v>
      </c>
      <c r="P5543">
        <v>42800555</v>
      </c>
    </row>
    <row r="5544" spans="1:16" x14ac:dyDescent="0.25">
      <c r="A5544" s="10">
        <v>45874</v>
      </c>
      <c r="B5544" s="3">
        <v>-46045</v>
      </c>
      <c r="C5544" s="3">
        <v>0</v>
      </c>
      <c r="D5544" s="3">
        <v>0</v>
      </c>
      <c r="E5544" s="3">
        <v>0</v>
      </c>
      <c r="F5544" s="3">
        <v>0</v>
      </c>
      <c r="G5544" s="3">
        <v>-177</v>
      </c>
      <c r="H5544" s="3">
        <v>0</v>
      </c>
      <c r="I5544" s="3">
        <v>0</v>
      </c>
      <c r="J5544" s="3">
        <v>0</v>
      </c>
      <c r="K5544" s="3">
        <v>0</v>
      </c>
      <c r="L5544" s="3">
        <v>0</v>
      </c>
      <c r="M5544" s="3">
        <v>0</v>
      </c>
      <c r="N5544" s="3">
        <v>0</v>
      </c>
      <c r="O5544">
        <v>-45868</v>
      </c>
      <c r="P5544">
        <v>42754510</v>
      </c>
    </row>
    <row r="5545" spans="1:16" x14ac:dyDescent="0.25">
      <c r="A5545" s="10">
        <v>45875</v>
      </c>
      <c r="B5545" s="3">
        <v>-56876</v>
      </c>
      <c r="C5545" s="3">
        <v>0</v>
      </c>
      <c r="D5545" s="3">
        <v>0</v>
      </c>
      <c r="E5545" s="3">
        <v>0</v>
      </c>
      <c r="F5545" s="3">
        <v>0</v>
      </c>
      <c r="G5545" s="3">
        <v>-137.52463467999999</v>
      </c>
      <c r="H5545" s="3">
        <v>0</v>
      </c>
      <c r="I5545" s="3">
        <v>0</v>
      </c>
      <c r="J5545" s="3">
        <v>0</v>
      </c>
      <c r="K5545" s="3">
        <v>0</v>
      </c>
      <c r="L5545" s="3">
        <v>0</v>
      </c>
      <c r="M5545" s="3">
        <v>0</v>
      </c>
      <c r="N5545" s="3">
        <v>0</v>
      </c>
      <c r="O5545">
        <v>-56738.475365320002</v>
      </c>
      <c r="P5545">
        <v>42697634</v>
      </c>
    </row>
    <row r="5546" spans="1:16" x14ac:dyDescent="0.25">
      <c r="A5546" s="10">
        <v>45876</v>
      </c>
      <c r="B5546" s="3">
        <v>-22014</v>
      </c>
      <c r="C5546" s="3">
        <v>0</v>
      </c>
      <c r="D5546" s="3">
        <v>0</v>
      </c>
      <c r="E5546" s="3">
        <v>0</v>
      </c>
      <c r="F5546" s="3">
        <v>0</v>
      </c>
      <c r="G5546" s="3">
        <v>-210.79650951999969</v>
      </c>
      <c r="H5546" s="3">
        <v>0</v>
      </c>
      <c r="I5546" s="3">
        <v>0</v>
      </c>
      <c r="J5546" s="3">
        <v>0</v>
      </c>
      <c r="K5546" s="3">
        <v>0</v>
      </c>
      <c r="L5546" s="3">
        <v>0</v>
      </c>
      <c r="M5546" s="3">
        <v>0</v>
      </c>
      <c r="N5546" s="3">
        <v>0</v>
      </c>
      <c r="O5546">
        <v>-21803.203490479998</v>
      </c>
      <c r="P5546">
        <v>42675620</v>
      </c>
    </row>
    <row r="5547" spans="1:16" x14ac:dyDescent="0.25">
      <c r="A5547" s="10">
        <v>45877</v>
      </c>
      <c r="B5547" s="3">
        <v>67575</v>
      </c>
      <c r="C5547" s="3">
        <v>0</v>
      </c>
      <c r="D5547" s="3">
        <v>0</v>
      </c>
      <c r="E5547" s="3">
        <v>0</v>
      </c>
      <c r="F5547" s="3">
        <v>0</v>
      </c>
      <c r="G5547" s="3">
        <v>11774.08307097133</v>
      </c>
      <c r="H5547" s="3">
        <v>0</v>
      </c>
      <c r="I5547" s="3">
        <v>0</v>
      </c>
      <c r="J5547" s="3">
        <v>0</v>
      </c>
      <c r="K5547" s="3">
        <v>0</v>
      </c>
      <c r="L5547" s="3">
        <v>0</v>
      </c>
      <c r="M5547" s="3">
        <v>0</v>
      </c>
      <c r="N5547" s="3">
        <v>0</v>
      </c>
      <c r="O5547">
        <v>55800.916929028674</v>
      </c>
      <c r="P5547">
        <v>42743195</v>
      </c>
    </row>
    <row r="5548" spans="1:16" x14ac:dyDescent="0.25">
      <c r="A5548" s="10">
        <v>45880</v>
      </c>
      <c r="B5548" s="3">
        <v>-40411</v>
      </c>
      <c r="C5548" s="3">
        <v>0</v>
      </c>
      <c r="D5548" s="3">
        <v>0</v>
      </c>
      <c r="E5548" s="3">
        <v>0</v>
      </c>
      <c r="F5548" s="3">
        <v>0</v>
      </c>
      <c r="G5548" s="3">
        <v>-37583.963931339793</v>
      </c>
      <c r="H5548" s="3">
        <v>0</v>
      </c>
      <c r="I5548" s="3">
        <v>0</v>
      </c>
      <c r="J5548" s="3">
        <v>0</v>
      </c>
      <c r="K5548" s="3">
        <v>0</v>
      </c>
      <c r="L5548" s="3">
        <v>0</v>
      </c>
      <c r="M5548" s="3">
        <v>0</v>
      </c>
      <c r="N5548" s="3">
        <v>0</v>
      </c>
      <c r="O5548">
        <v>-2827.0360686602071</v>
      </c>
      <c r="P5548">
        <v>42702784</v>
      </c>
    </row>
    <row r="5549" spans="1:16" x14ac:dyDescent="0.25">
      <c r="A5549" s="10">
        <v>45881</v>
      </c>
      <c r="B5549" s="3">
        <v>-43163</v>
      </c>
      <c r="C5549" s="3">
        <v>0</v>
      </c>
      <c r="D5549" s="3">
        <v>0</v>
      </c>
      <c r="E5549" s="3">
        <v>0</v>
      </c>
      <c r="F5549" s="3">
        <v>0</v>
      </c>
      <c r="G5549" s="3">
        <v>-42100.973189540207</v>
      </c>
      <c r="H5549" s="3">
        <v>0</v>
      </c>
      <c r="I5549" s="3">
        <v>0</v>
      </c>
      <c r="J5549" s="3">
        <v>0</v>
      </c>
      <c r="K5549" s="3">
        <v>0</v>
      </c>
      <c r="L5549" s="3">
        <v>0</v>
      </c>
      <c r="M5549" s="3">
        <v>0</v>
      </c>
      <c r="N5549" s="3">
        <v>0</v>
      </c>
      <c r="O5549">
        <v>-1062.0268104597931</v>
      </c>
      <c r="P5549">
        <v>42659621</v>
      </c>
    </row>
    <row r="5550" spans="1:16" x14ac:dyDescent="0.25">
      <c r="A5550" s="10">
        <v>45882</v>
      </c>
      <c r="B5550" s="3">
        <v>-15648</v>
      </c>
      <c r="C5550" s="3">
        <v>0</v>
      </c>
      <c r="D5550" s="3">
        <v>0</v>
      </c>
      <c r="E5550" s="3">
        <v>0</v>
      </c>
      <c r="F5550" s="3">
        <v>0</v>
      </c>
      <c r="G5550" s="3">
        <v>4796.7389685599992</v>
      </c>
      <c r="H5550" s="3">
        <v>0</v>
      </c>
      <c r="I5550" s="3">
        <v>0</v>
      </c>
      <c r="J5550" s="3">
        <v>0</v>
      </c>
      <c r="K5550" s="3">
        <v>0</v>
      </c>
      <c r="L5550" s="3">
        <v>0</v>
      </c>
      <c r="M5550" s="3">
        <v>0</v>
      </c>
      <c r="N5550" s="3">
        <v>0</v>
      </c>
      <c r="O5550">
        <v>-20444.738968559999</v>
      </c>
      <c r="P5550">
        <v>42643973</v>
      </c>
    </row>
    <row r="5551" spans="1:16" x14ac:dyDescent="0.25">
      <c r="A5551" s="10">
        <v>45883</v>
      </c>
      <c r="B5551" s="3">
        <v>-28401</v>
      </c>
      <c r="C5551" s="3">
        <v>0</v>
      </c>
      <c r="D5551" s="3">
        <v>0</v>
      </c>
      <c r="E5551" s="3">
        <v>0</v>
      </c>
      <c r="F5551" s="3">
        <v>0</v>
      </c>
      <c r="G5551" s="3">
        <v>-420.25735658999469</v>
      </c>
      <c r="H5551" s="3">
        <v>0</v>
      </c>
      <c r="I5551" s="3">
        <v>0</v>
      </c>
      <c r="J5551" s="3">
        <v>0</v>
      </c>
      <c r="K5551" s="3">
        <v>0</v>
      </c>
      <c r="L5551" s="3">
        <v>0</v>
      </c>
      <c r="M5551" s="3">
        <v>0</v>
      </c>
      <c r="N5551" s="3">
        <v>0</v>
      </c>
      <c r="O5551">
        <v>-27980.742643410009</v>
      </c>
      <c r="P5551">
        <v>42615572</v>
      </c>
    </row>
    <row r="5552" spans="1:16" x14ac:dyDescent="0.25">
      <c r="A5552" s="10">
        <v>45887</v>
      </c>
      <c r="B5552" s="3">
        <v>5939513</v>
      </c>
      <c r="C5552" s="3">
        <v>0</v>
      </c>
      <c r="D5552" s="3">
        <v>0</v>
      </c>
      <c r="E5552" s="3">
        <v>0</v>
      </c>
      <c r="F5552" s="3">
        <v>0</v>
      </c>
      <c r="G5552" s="3">
        <v>5796282.20512986</v>
      </c>
      <c r="H5552" s="3">
        <v>0</v>
      </c>
      <c r="I5552" s="3">
        <v>0</v>
      </c>
      <c r="J5552" s="3">
        <v>0</v>
      </c>
      <c r="K5552" s="3">
        <v>0</v>
      </c>
      <c r="L5552" s="3">
        <v>0</v>
      </c>
      <c r="M5552" s="3">
        <v>0</v>
      </c>
      <c r="N5552" s="3">
        <v>0</v>
      </c>
      <c r="O5552">
        <v>143230.79487014</v>
      </c>
      <c r="P5552">
        <v>48555085</v>
      </c>
    </row>
    <row r="5553" spans="1:16" x14ac:dyDescent="0.25">
      <c r="A5553" s="10">
        <v>45888</v>
      </c>
      <c r="B5553" s="3">
        <v>-3923943</v>
      </c>
      <c r="C5553" s="3">
        <v>0</v>
      </c>
      <c r="D5553" s="3">
        <v>0</v>
      </c>
      <c r="E5553" s="3">
        <v>0</v>
      </c>
      <c r="F5553" s="3">
        <v>0</v>
      </c>
      <c r="G5553" s="3">
        <v>-3717871.5928240689</v>
      </c>
      <c r="H5553" s="3">
        <v>0</v>
      </c>
      <c r="I5553" s="3">
        <v>0</v>
      </c>
      <c r="J5553" s="3">
        <v>0</v>
      </c>
      <c r="K5553" s="3">
        <v>0</v>
      </c>
      <c r="L5553" s="3">
        <v>0</v>
      </c>
      <c r="M5553" s="3">
        <v>0</v>
      </c>
      <c r="N5553" s="3">
        <v>0</v>
      </c>
      <c r="O5553">
        <v>-206071.40717593071</v>
      </c>
      <c r="P5553">
        <v>44631142</v>
      </c>
    </row>
    <row r="5554" spans="1:16" x14ac:dyDescent="0.25">
      <c r="A5554" s="10">
        <v>45889</v>
      </c>
      <c r="B5554" s="3">
        <v>-1809796</v>
      </c>
      <c r="C5554" s="3">
        <v>0</v>
      </c>
      <c r="D5554" s="3">
        <v>0</v>
      </c>
      <c r="E5554" s="3">
        <v>0</v>
      </c>
      <c r="F5554" s="3">
        <v>0</v>
      </c>
      <c r="G5554" s="3">
        <v>-31409.212671260349</v>
      </c>
      <c r="H5554" s="3">
        <v>0</v>
      </c>
      <c r="I5554" s="3">
        <v>0</v>
      </c>
      <c r="J5554" s="3">
        <v>0</v>
      </c>
      <c r="K5554" s="3">
        <v>0</v>
      </c>
      <c r="L5554" s="3">
        <v>0</v>
      </c>
      <c r="M5554" s="3">
        <v>0</v>
      </c>
      <c r="N5554" s="3">
        <v>0</v>
      </c>
      <c r="O5554">
        <v>-1778386.7873287401</v>
      </c>
      <c r="P5554">
        <v>42821346</v>
      </c>
    </row>
    <row r="5555" spans="1:16" x14ac:dyDescent="0.25">
      <c r="A5555" s="10">
        <v>45890</v>
      </c>
      <c r="B5555" s="3">
        <v>763236</v>
      </c>
      <c r="C5555" s="3">
        <v>0</v>
      </c>
      <c r="D5555" s="3">
        <v>0</v>
      </c>
      <c r="E5555" s="3">
        <v>0</v>
      </c>
      <c r="F5555" s="3">
        <v>0</v>
      </c>
      <c r="G5555" s="3">
        <v>-69487.094013860449</v>
      </c>
      <c r="H5555" s="3">
        <v>0</v>
      </c>
      <c r="I5555" s="3">
        <v>0</v>
      </c>
      <c r="J5555" s="3">
        <v>0</v>
      </c>
      <c r="K5555" s="3">
        <v>0</v>
      </c>
      <c r="L5555" s="3">
        <v>0</v>
      </c>
      <c r="M5555" s="3">
        <v>0</v>
      </c>
      <c r="N5555" s="3">
        <v>0</v>
      </c>
      <c r="O5555">
        <v>832723.09401386045</v>
      </c>
      <c r="P5555">
        <v>43584582</v>
      </c>
    </row>
    <row r="5556" spans="1:16" x14ac:dyDescent="0.25">
      <c r="A5556" s="10">
        <v>45891</v>
      </c>
      <c r="B5556" s="3">
        <v>543705</v>
      </c>
      <c r="C5556" s="3">
        <v>0</v>
      </c>
      <c r="D5556" s="3">
        <v>0</v>
      </c>
      <c r="E5556" s="3">
        <v>0</v>
      </c>
      <c r="F5556" s="3">
        <v>0</v>
      </c>
      <c r="G5556" s="3">
        <v>41861.850226109847</v>
      </c>
      <c r="H5556" s="3">
        <v>0</v>
      </c>
      <c r="I5556" s="3">
        <v>0</v>
      </c>
      <c r="J5556" s="3">
        <v>0</v>
      </c>
      <c r="K5556" s="3">
        <v>0</v>
      </c>
      <c r="L5556" s="3">
        <v>0</v>
      </c>
      <c r="M5556" s="3">
        <v>0</v>
      </c>
      <c r="N5556" s="3">
        <v>0</v>
      </c>
      <c r="O5556">
        <v>501843.14977389021</v>
      </c>
      <c r="P5556">
        <v>44128287</v>
      </c>
    </row>
    <row r="5557" spans="1:16" x14ac:dyDescent="0.25">
      <c r="A5557" s="10">
        <v>45894</v>
      </c>
      <c r="B5557" s="3">
        <v>791555</v>
      </c>
      <c r="C5557" s="3">
        <v>0</v>
      </c>
      <c r="D5557" s="3">
        <v>0</v>
      </c>
      <c r="E5557" s="3">
        <v>0</v>
      </c>
      <c r="F5557" s="3">
        <v>0</v>
      </c>
      <c r="G5557" s="3">
        <v>1048757.793115489</v>
      </c>
      <c r="H5557" s="3">
        <v>0</v>
      </c>
      <c r="I5557" s="3">
        <v>0</v>
      </c>
      <c r="J5557" s="3">
        <v>0</v>
      </c>
      <c r="K5557" s="3">
        <v>0</v>
      </c>
      <c r="L5557" s="3">
        <v>0</v>
      </c>
      <c r="M5557" s="3">
        <v>0</v>
      </c>
      <c r="N5557" s="3">
        <v>0</v>
      </c>
      <c r="O5557">
        <v>-257202.79311548921</v>
      </c>
      <c r="P5557">
        <v>44919842</v>
      </c>
    </row>
    <row r="5558" spans="1:16" x14ac:dyDescent="0.25">
      <c r="A5558" s="10">
        <v>45895</v>
      </c>
      <c r="B5558" s="3">
        <v>-698065</v>
      </c>
      <c r="C5558" s="3">
        <v>0</v>
      </c>
      <c r="D5558" s="3">
        <v>0</v>
      </c>
      <c r="E5558" s="3">
        <v>0</v>
      </c>
      <c r="F5558" s="3">
        <v>0</v>
      </c>
      <c r="G5558" s="3">
        <v>-67417.297861809842</v>
      </c>
      <c r="H5558" s="3">
        <v>0</v>
      </c>
      <c r="I5558" s="3">
        <v>0</v>
      </c>
      <c r="J5558" s="3">
        <v>0</v>
      </c>
      <c r="K5558" s="3">
        <v>0</v>
      </c>
      <c r="L5558" s="3">
        <v>0</v>
      </c>
      <c r="M5558" s="3">
        <v>0</v>
      </c>
      <c r="N5558" s="3">
        <v>0</v>
      </c>
      <c r="O5558">
        <v>-630647.70213819016</v>
      </c>
      <c r="P5558">
        <v>44221777</v>
      </c>
    </row>
    <row r="5559" spans="1:16" x14ac:dyDescent="0.25">
      <c r="A5559" s="10">
        <v>45896</v>
      </c>
      <c r="B5559" s="3">
        <v>-19758</v>
      </c>
      <c r="C5559" s="3">
        <v>0</v>
      </c>
      <c r="D5559" s="3">
        <v>0</v>
      </c>
      <c r="E5559" s="3">
        <v>0</v>
      </c>
      <c r="F5559" s="3">
        <v>0</v>
      </c>
      <c r="G5559" s="3">
        <v>-36258.938579799607</v>
      </c>
      <c r="H5559" s="3">
        <v>0</v>
      </c>
      <c r="I5559" s="3">
        <v>0</v>
      </c>
      <c r="J5559" s="3">
        <v>0</v>
      </c>
      <c r="K5559" s="3">
        <v>0</v>
      </c>
      <c r="L5559" s="3">
        <v>0</v>
      </c>
      <c r="M5559" s="3">
        <v>0</v>
      </c>
      <c r="N5559" s="3">
        <v>0</v>
      </c>
      <c r="O5559">
        <v>16500.938579799611</v>
      </c>
      <c r="P5559">
        <v>44202019</v>
      </c>
    </row>
    <row r="5560" spans="1:16" x14ac:dyDescent="0.25">
      <c r="A5560" s="10">
        <v>45897</v>
      </c>
      <c r="B5560" s="3">
        <v>570992</v>
      </c>
      <c r="C5560" s="3">
        <v>0</v>
      </c>
      <c r="D5560" s="3">
        <v>0</v>
      </c>
      <c r="E5560" s="3">
        <v>0</v>
      </c>
      <c r="F5560" s="3">
        <v>0</v>
      </c>
      <c r="G5560" s="3">
        <v>52480.429072099738</v>
      </c>
      <c r="H5560" s="3">
        <v>0</v>
      </c>
      <c r="I5560" s="3">
        <v>0</v>
      </c>
      <c r="J5560" s="3">
        <v>0</v>
      </c>
      <c r="K5560" s="3">
        <v>0</v>
      </c>
      <c r="L5560" s="3">
        <v>0</v>
      </c>
      <c r="M5560" s="3">
        <v>0</v>
      </c>
      <c r="N5560" s="3">
        <v>0</v>
      </c>
      <c r="O5560">
        <v>518511.57092790032</v>
      </c>
      <c r="P5560">
        <v>44773011</v>
      </c>
    </row>
    <row r="5561" spans="1:16" x14ac:dyDescent="0.25">
      <c r="A5561" s="10">
        <v>45898</v>
      </c>
      <c r="B5561" s="3">
        <v>-513148</v>
      </c>
      <c r="C5561" s="3">
        <v>0</v>
      </c>
      <c r="D5561" s="3">
        <v>0</v>
      </c>
      <c r="E5561" s="3">
        <v>0</v>
      </c>
      <c r="F5561" s="3">
        <v>0</v>
      </c>
      <c r="G5561" s="3">
        <v>-960725.86395934876</v>
      </c>
      <c r="H5561" s="3">
        <v>0</v>
      </c>
      <c r="I5561" s="3">
        <v>0</v>
      </c>
      <c r="J5561" s="3">
        <v>0</v>
      </c>
      <c r="K5561" s="3">
        <v>0</v>
      </c>
      <c r="L5561" s="3">
        <v>0</v>
      </c>
      <c r="M5561" s="3">
        <v>0</v>
      </c>
      <c r="N5561" s="3">
        <v>0</v>
      </c>
      <c r="O5561">
        <v>447577.86395934882</v>
      </c>
      <c r="P5561">
        <v>44259863</v>
      </c>
    </row>
    <row r="5562" spans="1:16" x14ac:dyDescent="0.25">
      <c r="A5562" s="10">
        <v>45901</v>
      </c>
      <c r="B5562" s="3">
        <v>-1661595</v>
      </c>
      <c r="C5562" s="3">
        <v>0</v>
      </c>
      <c r="D5562" s="3">
        <v>0</v>
      </c>
      <c r="E5562" s="3">
        <v>0</v>
      </c>
      <c r="F5562" s="3">
        <v>0</v>
      </c>
      <c r="G5562" s="3">
        <v>-22627.573204430752</v>
      </c>
      <c r="H5562" s="3">
        <v>0</v>
      </c>
      <c r="I5562" s="3">
        <v>0</v>
      </c>
      <c r="J5562" s="3">
        <v>0</v>
      </c>
      <c r="K5562" s="3">
        <v>0</v>
      </c>
      <c r="L5562" s="3">
        <v>0</v>
      </c>
      <c r="M5562" s="3">
        <v>0</v>
      </c>
      <c r="N5562" s="3">
        <v>0</v>
      </c>
      <c r="O5562">
        <v>-1638967.426795569</v>
      </c>
      <c r="P5562">
        <v>42598268</v>
      </c>
    </row>
    <row r="5563" spans="1:16" x14ac:dyDescent="0.25">
      <c r="A5563" s="10">
        <v>45902</v>
      </c>
      <c r="B5563" s="3">
        <v>-915916</v>
      </c>
      <c r="C5563" s="3">
        <v>0</v>
      </c>
      <c r="D5563" s="3">
        <v>0</v>
      </c>
      <c r="E5563" s="3">
        <v>0</v>
      </c>
      <c r="F5563" s="3">
        <v>0</v>
      </c>
      <c r="G5563" s="3">
        <v>-270996.53213583998</v>
      </c>
      <c r="H5563" s="3">
        <v>0</v>
      </c>
      <c r="I5563" s="3">
        <v>0</v>
      </c>
      <c r="J5563" s="3">
        <v>0</v>
      </c>
      <c r="K5563" s="3">
        <v>0</v>
      </c>
      <c r="L5563" s="3">
        <v>0</v>
      </c>
      <c r="M5563" s="3">
        <v>0</v>
      </c>
      <c r="N5563" s="3">
        <v>0</v>
      </c>
      <c r="O5563">
        <v>-644919.46786415996</v>
      </c>
      <c r="P5563">
        <v>41682352</v>
      </c>
    </row>
    <row r="5564" spans="1:16" x14ac:dyDescent="0.25">
      <c r="A5564" s="10">
        <v>45903</v>
      </c>
      <c r="B5564" s="3">
        <v>183919</v>
      </c>
      <c r="C5564" s="3">
        <v>0</v>
      </c>
      <c r="D5564" s="3">
        <v>0</v>
      </c>
      <c r="E5564" s="3">
        <v>0</v>
      </c>
      <c r="F5564" s="3">
        <v>0</v>
      </c>
      <c r="G5564" s="3">
        <v>46316.78729203</v>
      </c>
      <c r="H5564" s="3">
        <v>0</v>
      </c>
      <c r="I5564" s="3">
        <v>0</v>
      </c>
      <c r="J5564" s="3">
        <v>0</v>
      </c>
      <c r="K5564" s="3">
        <v>0</v>
      </c>
      <c r="L5564" s="3">
        <v>0</v>
      </c>
      <c r="M5564" s="3">
        <v>0</v>
      </c>
      <c r="N5564" s="3">
        <v>0</v>
      </c>
      <c r="O5564">
        <v>137602.21270797</v>
      </c>
      <c r="P5564">
        <v>41866271</v>
      </c>
    </row>
    <row r="5565" spans="1:16" x14ac:dyDescent="0.25">
      <c r="A5565" s="10">
        <v>45904</v>
      </c>
      <c r="B5565" s="3">
        <v>305160</v>
      </c>
      <c r="C5565" s="3">
        <v>0</v>
      </c>
      <c r="D5565" s="3">
        <v>0</v>
      </c>
      <c r="E5565" s="3">
        <v>0</v>
      </c>
      <c r="F5565" s="3">
        <v>0</v>
      </c>
      <c r="G5565" s="3">
        <v>-73475.985086250119</v>
      </c>
      <c r="H5565" s="3">
        <v>0</v>
      </c>
      <c r="I5565" s="3">
        <v>0</v>
      </c>
      <c r="J5565" s="3">
        <v>0</v>
      </c>
      <c r="K5565" s="3">
        <v>0</v>
      </c>
      <c r="L5565" s="3">
        <v>0</v>
      </c>
      <c r="M5565" s="3">
        <v>0</v>
      </c>
      <c r="N5565" s="3">
        <v>0</v>
      </c>
      <c r="O5565">
        <v>378635.98508625012</v>
      </c>
      <c r="P5565">
        <v>42171431</v>
      </c>
    </row>
    <row r="5566" spans="1:16" x14ac:dyDescent="0.25">
      <c r="A5566" s="10">
        <v>45905</v>
      </c>
      <c r="B5566" s="3">
        <v>-633484</v>
      </c>
      <c r="C5566" s="3">
        <v>0</v>
      </c>
      <c r="D5566" s="3">
        <v>0</v>
      </c>
      <c r="E5566" s="3">
        <v>0</v>
      </c>
      <c r="F5566" s="3">
        <v>0</v>
      </c>
      <c r="G5566" s="3">
        <v>-389568.45275987958</v>
      </c>
      <c r="H5566" s="3">
        <v>0</v>
      </c>
      <c r="I5566" s="3">
        <v>0</v>
      </c>
      <c r="J5566" s="3">
        <v>0</v>
      </c>
      <c r="K5566" s="3">
        <v>0</v>
      </c>
      <c r="L5566" s="3">
        <v>0</v>
      </c>
      <c r="M5566" s="3">
        <v>0</v>
      </c>
      <c r="N5566" s="3">
        <v>0</v>
      </c>
      <c r="O5566">
        <v>-243915.54724012039</v>
      </c>
      <c r="P5566">
        <v>41537947</v>
      </c>
    </row>
    <row r="5567" spans="1:16" x14ac:dyDescent="0.25">
      <c r="A5567" s="10">
        <v>45908</v>
      </c>
      <c r="B5567" s="3">
        <v>696425</v>
      </c>
      <c r="C5567" s="3">
        <v>0</v>
      </c>
      <c r="D5567" s="3">
        <v>0</v>
      </c>
      <c r="E5567" s="3">
        <v>0</v>
      </c>
      <c r="F5567" s="3">
        <v>0</v>
      </c>
      <c r="G5567" s="3">
        <v>-48930.776610029861</v>
      </c>
      <c r="H5567" s="3">
        <v>0</v>
      </c>
      <c r="I5567" s="3">
        <v>0</v>
      </c>
      <c r="J5567" s="3">
        <v>0</v>
      </c>
      <c r="K5567" s="3">
        <v>0</v>
      </c>
      <c r="L5567" s="3">
        <v>0</v>
      </c>
      <c r="M5567" s="3">
        <v>0</v>
      </c>
      <c r="N5567" s="3">
        <v>0</v>
      </c>
      <c r="O5567">
        <v>745355.77661002986</v>
      </c>
      <c r="P5567">
        <v>42234372</v>
      </c>
    </row>
    <row r="5568" spans="1:16" x14ac:dyDescent="0.25">
      <c r="A5568" s="10">
        <v>45909</v>
      </c>
      <c r="B5568" s="3">
        <v>-857092</v>
      </c>
      <c r="C5568" s="3">
        <v>0</v>
      </c>
      <c r="D5568" s="3">
        <v>0</v>
      </c>
      <c r="E5568" s="3">
        <v>0</v>
      </c>
      <c r="F5568" s="3">
        <v>0</v>
      </c>
      <c r="G5568" s="3">
        <v>-31421.460265810601</v>
      </c>
      <c r="H5568" s="3">
        <v>0</v>
      </c>
      <c r="I5568" s="3">
        <v>0</v>
      </c>
      <c r="J5568" s="3">
        <v>0</v>
      </c>
      <c r="K5568" s="3">
        <v>0</v>
      </c>
      <c r="L5568" s="3">
        <v>0</v>
      </c>
      <c r="M5568" s="3">
        <v>0</v>
      </c>
      <c r="N5568" s="3">
        <v>0</v>
      </c>
      <c r="O5568">
        <v>-825670.5397341894</v>
      </c>
      <c r="P5568">
        <v>41377280</v>
      </c>
    </row>
    <row r="5569" spans="1:16" x14ac:dyDescent="0.25">
      <c r="A5569" s="10">
        <v>45910</v>
      </c>
      <c r="B5569" s="3">
        <v>96773</v>
      </c>
      <c r="C5569" s="3">
        <v>0</v>
      </c>
      <c r="D5569" s="3">
        <v>0</v>
      </c>
      <c r="E5569" s="3">
        <v>0</v>
      </c>
      <c r="F5569" s="3">
        <v>0</v>
      </c>
      <c r="G5569" s="3">
        <v>5499.3183876599996</v>
      </c>
      <c r="H5569" s="3">
        <v>0</v>
      </c>
      <c r="I5569" s="3">
        <v>0</v>
      </c>
      <c r="J5569" s="3">
        <v>0</v>
      </c>
      <c r="K5569" s="3">
        <v>0</v>
      </c>
      <c r="L5569" s="3">
        <v>0</v>
      </c>
      <c r="M5569" s="3">
        <v>0</v>
      </c>
      <c r="N5569" s="3">
        <v>0</v>
      </c>
      <c r="O5569">
        <v>91273.681612340006</v>
      </c>
      <c r="P5569">
        <v>41474053</v>
      </c>
    </row>
    <row r="5570" spans="1:16" x14ac:dyDescent="0.25">
      <c r="A5570" s="10">
        <v>45911</v>
      </c>
      <c r="B5570" s="3">
        <v>-324664</v>
      </c>
      <c r="C5570" s="3">
        <v>0</v>
      </c>
      <c r="D5570" s="3">
        <v>0</v>
      </c>
      <c r="E5570" s="3">
        <v>0</v>
      </c>
      <c r="F5570" s="3">
        <v>0</v>
      </c>
      <c r="G5570" s="3">
        <v>-35.879870180000012</v>
      </c>
      <c r="H5570" s="3">
        <v>0</v>
      </c>
      <c r="I5570" s="3">
        <v>0</v>
      </c>
      <c r="J5570" s="3">
        <v>0</v>
      </c>
      <c r="K5570" s="3">
        <v>0</v>
      </c>
      <c r="L5570" s="3">
        <v>0</v>
      </c>
      <c r="M5570" s="3">
        <v>0</v>
      </c>
      <c r="N5570" s="3">
        <v>0</v>
      </c>
      <c r="O5570">
        <v>-324628.12012982002</v>
      </c>
      <c r="P5570">
        <v>41149389</v>
      </c>
    </row>
    <row r="5571" spans="1:16" x14ac:dyDescent="0.25">
      <c r="A5571" s="10">
        <v>45912</v>
      </c>
      <c r="B5571" s="3">
        <v>-160191</v>
      </c>
      <c r="C5571" s="3">
        <v>0</v>
      </c>
      <c r="D5571" s="3">
        <v>0</v>
      </c>
      <c r="E5571" s="3">
        <v>0</v>
      </c>
      <c r="F5571" s="3">
        <v>0</v>
      </c>
      <c r="G5571" s="3">
        <v>630687.28163015004</v>
      </c>
      <c r="H5571" s="3">
        <v>0</v>
      </c>
      <c r="I5571" s="3">
        <v>0</v>
      </c>
      <c r="J5571" s="3">
        <v>0</v>
      </c>
      <c r="K5571" s="3">
        <v>0</v>
      </c>
      <c r="L5571" s="3">
        <v>0</v>
      </c>
      <c r="M5571" s="3">
        <v>0</v>
      </c>
      <c r="N5571" s="3">
        <v>0</v>
      </c>
      <c r="O5571">
        <v>-790878.28163015004</v>
      </c>
      <c r="P5571">
        <v>40989198</v>
      </c>
    </row>
    <row r="5572" spans="1:16" x14ac:dyDescent="0.25">
      <c r="A5572" s="10">
        <v>45915</v>
      </c>
      <c r="B5572" s="3">
        <v>1087774</v>
      </c>
      <c r="C5572" s="3">
        <v>0</v>
      </c>
      <c r="D5572" s="3">
        <v>0</v>
      </c>
      <c r="E5572" s="3">
        <v>0</v>
      </c>
      <c r="F5572" s="3">
        <v>0</v>
      </c>
      <c r="G5572" s="3">
        <v>-329.45473212000002</v>
      </c>
      <c r="H5572" s="3">
        <v>0</v>
      </c>
      <c r="I5572" s="3">
        <v>0</v>
      </c>
      <c r="J5572" s="3">
        <v>0</v>
      </c>
      <c r="K5572" s="3">
        <v>0</v>
      </c>
      <c r="L5572" s="3">
        <v>0</v>
      </c>
      <c r="M5572" s="3">
        <v>0</v>
      </c>
      <c r="N5572" s="3">
        <v>0</v>
      </c>
      <c r="O5572">
        <v>1088103.45473212</v>
      </c>
      <c r="P5572">
        <v>42076972</v>
      </c>
    </row>
    <row r="5573" spans="1:16" x14ac:dyDescent="0.25">
      <c r="A5573" s="10">
        <v>45916</v>
      </c>
      <c r="B5573" s="3">
        <v>-729110</v>
      </c>
      <c r="C5573" s="3">
        <v>0</v>
      </c>
      <c r="D5573" s="3">
        <v>0</v>
      </c>
      <c r="E5573" s="3">
        <v>0</v>
      </c>
      <c r="F5573" s="3">
        <v>0</v>
      </c>
      <c r="G5573" s="3">
        <v>-1265.5854196706789</v>
      </c>
      <c r="H5573" s="3">
        <v>0</v>
      </c>
      <c r="I5573" s="3">
        <v>0</v>
      </c>
      <c r="J5573" s="3">
        <v>0</v>
      </c>
      <c r="K5573" s="3">
        <v>0</v>
      </c>
      <c r="L5573" s="3">
        <v>0</v>
      </c>
      <c r="M5573" s="3">
        <v>0</v>
      </c>
      <c r="N5573" s="3">
        <v>0</v>
      </c>
      <c r="O5573">
        <v>-727844.41458032932</v>
      </c>
      <c r="P5573">
        <v>41347862</v>
      </c>
    </row>
    <row r="5574" spans="1:16" x14ac:dyDescent="0.25">
      <c r="A5574" s="10">
        <v>45917</v>
      </c>
      <c r="B5574" s="3">
        <v>-615508</v>
      </c>
      <c r="C5574" s="3">
        <v>-61929</v>
      </c>
      <c r="D5574" s="3">
        <v>0</v>
      </c>
      <c r="E5574" s="3">
        <v>0</v>
      </c>
      <c r="F5574" s="3">
        <v>0</v>
      </c>
      <c r="G5574" s="3">
        <v>745.73847570999999</v>
      </c>
      <c r="H5574" s="3">
        <v>0</v>
      </c>
      <c r="I5574" s="3">
        <v>0</v>
      </c>
      <c r="J5574" s="3">
        <v>0</v>
      </c>
      <c r="K5574" s="3">
        <v>0</v>
      </c>
      <c r="L5574" s="3">
        <v>0</v>
      </c>
      <c r="M5574" s="3">
        <v>0</v>
      </c>
      <c r="N5574" s="3">
        <v>0</v>
      </c>
      <c r="O5574">
        <v>-554324.73847571004</v>
      </c>
      <c r="P5574">
        <v>40732354</v>
      </c>
    </row>
    <row r="5575" spans="1:16" x14ac:dyDescent="0.25">
      <c r="A5575" s="10">
        <v>45918</v>
      </c>
      <c r="B5575" s="3">
        <v>639928</v>
      </c>
      <c r="C5575" s="3">
        <v>-574913.05000000005</v>
      </c>
      <c r="D5575" s="3">
        <v>0</v>
      </c>
      <c r="E5575" s="3">
        <v>0</v>
      </c>
      <c r="F5575" s="3">
        <v>0</v>
      </c>
      <c r="G5575" s="3">
        <v>-1269.45327191</v>
      </c>
      <c r="H5575" s="3">
        <v>0</v>
      </c>
      <c r="I5575" s="3">
        <v>0</v>
      </c>
      <c r="J5575" s="3">
        <v>0</v>
      </c>
      <c r="K5575" s="3">
        <v>0</v>
      </c>
      <c r="L5575" s="3">
        <v>0</v>
      </c>
      <c r="M5575" s="3">
        <v>0</v>
      </c>
      <c r="N5575" s="3">
        <v>0</v>
      </c>
      <c r="O5575">
        <v>1216110.5032719099</v>
      </c>
      <c r="P5575">
        <v>41372282</v>
      </c>
    </row>
    <row r="5576" spans="1:16" x14ac:dyDescent="0.25">
      <c r="A5576" s="10">
        <v>45919</v>
      </c>
      <c r="B5576" s="3">
        <v>-660898</v>
      </c>
      <c r="C5576" s="3">
        <v>-1000418.75</v>
      </c>
      <c r="D5576" s="3">
        <v>0</v>
      </c>
      <c r="E5576" s="3">
        <v>0</v>
      </c>
      <c r="F5576" s="3">
        <v>0</v>
      </c>
      <c r="G5576" s="3">
        <v>4486.4487161999996</v>
      </c>
      <c r="H5576" s="3">
        <v>0</v>
      </c>
      <c r="I5576" s="3">
        <v>0</v>
      </c>
      <c r="J5576" s="3">
        <v>0</v>
      </c>
      <c r="K5576" s="3">
        <v>0</v>
      </c>
      <c r="L5576" s="3">
        <v>0</v>
      </c>
      <c r="M5576" s="3">
        <v>0</v>
      </c>
      <c r="N5576" s="3">
        <v>0</v>
      </c>
      <c r="O5576">
        <v>335034.30128379998</v>
      </c>
      <c r="P5576">
        <v>40711384</v>
      </c>
    </row>
    <row r="5577" spans="1:16" x14ac:dyDescent="0.25">
      <c r="A5577" s="10">
        <v>45922</v>
      </c>
      <c r="B5577" s="3">
        <v>1265247</v>
      </c>
      <c r="C5577" s="3">
        <v>0</v>
      </c>
      <c r="D5577" s="3">
        <v>0</v>
      </c>
      <c r="E5577" s="3">
        <v>0</v>
      </c>
      <c r="F5577" s="3">
        <v>0</v>
      </c>
      <c r="G5577" s="3">
        <v>1527.9407675201071</v>
      </c>
      <c r="H5577" s="3">
        <v>0</v>
      </c>
      <c r="I5577" s="3">
        <v>0</v>
      </c>
      <c r="J5577" s="3">
        <v>0</v>
      </c>
      <c r="K5577" s="3">
        <v>0</v>
      </c>
      <c r="L5577" s="3">
        <v>0</v>
      </c>
      <c r="M5577" s="3">
        <v>0</v>
      </c>
      <c r="N5577" s="3">
        <v>0</v>
      </c>
      <c r="O5577">
        <v>1263719.0592324799</v>
      </c>
      <c r="P5577">
        <v>41976631</v>
      </c>
    </row>
    <row r="5578" spans="1:16" x14ac:dyDescent="0.25">
      <c r="A5578" s="10">
        <v>45923</v>
      </c>
      <c r="B5578" s="3">
        <v>-777350</v>
      </c>
      <c r="C5578" s="3">
        <v>0</v>
      </c>
      <c r="D5578" s="3">
        <v>0</v>
      </c>
      <c r="E5578" s="3">
        <v>0</v>
      </c>
      <c r="F5578" s="3">
        <v>0</v>
      </c>
      <c r="G5578" s="3">
        <v>115258.69247511031</v>
      </c>
      <c r="H5578" s="3">
        <v>0</v>
      </c>
      <c r="I5578" s="3">
        <v>0</v>
      </c>
      <c r="J5578" s="3">
        <v>0</v>
      </c>
      <c r="K5578" s="3">
        <v>0</v>
      </c>
      <c r="L5578" s="3">
        <v>0</v>
      </c>
      <c r="M5578" s="3">
        <v>0</v>
      </c>
      <c r="N5578" s="3">
        <v>0</v>
      </c>
      <c r="O5578">
        <v>-892608.69247511029</v>
      </c>
      <c r="P5578">
        <v>41199281</v>
      </c>
    </row>
    <row r="5579" spans="1:16" x14ac:dyDescent="0.25">
      <c r="A5579" s="10">
        <v>45924</v>
      </c>
      <c r="B5579" s="3">
        <v>47233</v>
      </c>
      <c r="C5579" s="3">
        <v>0</v>
      </c>
      <c r="D5579" s="3">
        <v>0</v>
      </c>
      <c r="E5579" s="3">
        <v>0</v>
      </c>
      <c r="F5579" s="3">
        <v>0</v>
      </c>
      <c r="G5579" s="3">
        <v>-25558.049917919561</v>
      </c>
      <c r="H5579" s="3">
        <v>0</v>
      </c>
      <c r="I5579" s="3">
        <v>0</v>
      </c>
      <c r="J5579" s="3">
        <v>0</v>
      </c>
      <c r="K5579" s="3">
        <v>0</v>
      </c>
      <c r="L5579" s="3">
        <v>0</v>
      </c>
      <c r="M5579" s="3">
        <v>0</v>
      </c>
      <c r="N5579" s="3">
        <v>0</v>
      </c>
      <c r="O5579">
        <v>72791.049917919561</v>
      </c>
      <c r="P5579">
        <v>41246514</v>
      </c>
    </row>
    <row r="5580" spans="1:16" x14ac:dyDescent="0.25">
      <c r="A5580" s="10">
        <v>45925</v>
      </c>
      <c r="B5580" s="3">
        <v>-503939</v>
      </c>
      <c r="C5580" s="3">
        <v>0</v>
      </c>
      <c r="D5580" s="3">
        <v>0</v>
      </c>
      <c r="E5580" s="3">
        <v>0</v>
      </c>
      <c r="F5580" s="3">
        <v>0</v>
      </c>
      <c r="G5580" s="3">
        <v>373187.12937518017</v>
      </c>
      <c r="H5580" s="3">
        <v>0</v>
      </c>
      <c r="I5580" s="3">
        <v>0</v>
      </c>
      <c r="J5580" s="3">
        <v>0</v>
      </c>
      <c r="K5580" s="3">
        <v>0</v>
      </c>
      <c r="L5580" s="3">
        <v>0</v>
      </c>
      <c r="M5580" s="3">
        <v>0</v>
      </c>
      <c r="N5580" s="3">
        <v>0</v>
      </c>
      <c r="O5580">
        <v>-877126.12937518023</v>
      </c>
      <c r="P5580">
        <v>40742575</v>
      </c>
    </row>
    <row r="5581" spans="1:16" x14ac:dyDescent="0.25">
      <c r="A5581" s="10">
        <v>45926</v>
      </c>
      <c r="B5581" s="3">
        <v>462009</v>
      </c>
      <c r="C5581" s="3">
        <v>0</v>
      </c>
      <c r="D5581" s="3">
        <v>0</v>
      </c>
      <c r="E5581" s="3">
        <v>0</v>
      </c>
      <c r="F5581" s="3">
        <v>0</v>
      </c>
      <c r="G5581" s="3">
        <v>1816653.174001771</v>
      </c>
      <c r="H5581" s="3">
        <v>0</v>
      </c>
      <c r="I5581" s="3">
        <v>0</v>
      </c>
      <c r="J5581" s="3">
        <v>0</v>
      </c>
      <c r="K5581" s="3">
        <v>0</v>
      </c>
      <c r="L5581" s="3">
        <v>0</v>
      </c>
      <c r="M5581" s="3">
        <v>0</v>
      </c>
      <c r="N5581" s="3">
        <v>0</v>
      </c>
      <c r="O5581">
        <v>-1354644.174001771</v>
      </c>
      <c r="P5581">
        <v>41204584</v>
      </c>
    </row>
    <row r="5582" spans="1:16" x14ac:dyDescent="0.25">
      <c r="A5582" s="10">
        <v>45929</v>
      </c>
      <c r="B5582" s="3">
        <v>440511</v>
      </c>
      <c r="C5582" s="3">
        <v>0</v>
      </c>
      <c r="D5582" s="3">
        <v>0</v>
      </c>
      <c r="E5582" s="3">
        <v>0</v>
      </c>
      <c r="F5582" s="3">
        <v>0</v>
      </c>
      <c r="G5582" s="3">
        <v>683697.40739141032</v>
      </c>
      <c r="H5582" s="3">
        <v>0</v>
      </c>
      <c r="I5582" s="3">
        <v>0</v>
      </c>
      <c r="J5582" s="3">
        <v>0</v>
      </c>
      <c r="K5582" s="3">
        <v>0</v>
      </c>
      <c r="L5582" s="3">
        <v>0</v>
      </c>
      <c r="M5582" s="3">
        <v>0</v>
      </c>
      <c r="N5582" s="3">
        <v>0</v>
      </c>
      <c r="O5582">
        <v>-243186.40739141029</v>
      </c>
      <c r="P5582">
        <v>41645095</v>
      </c>
    </row>
    <row r="5583" spans="1:16" x14ac:dyDescent="0.25">
      <c r="A5583" s="10">
        <v>45930</v>
      </c>
      <c r="B5583" s="3">
        <v>650517</v>
      </c>
      <c r="C5583" s="3">
        <v>0</v>
      </c>
      <c r="D5583" s="3">
        <v>0</v>
      </c>
      <c r="E5583" s="3">
        <v>0</v>
      </c>
      <c r="F5583" s="3">
        <v>0</v>
      </c>
      <c r="G5583" s="3">
        <v>-1667288.844926541</v>
      </c>
      <c r="H5583" s="3">
        <v>0</v>
      </c>
      <c r="I5583" s="3">
        <v>0</v>
      </c>
      <c r="J5583" s="3">
        <v>0</v>
      </c>
      <c r="K5583" s="3">
        <v>0</v>
      </c>
      <c r="L5583" s="3">
        <v>0</v>
      </c>
      <c r="M5583" s="3">
        <v>0</v>
      </c>
      <c r="N5583" s="3">
        <v>0</v>
      </c>
      <c r="O5583">
        <v>2317805.8449265412</v>
      </c>
      <c r="P5583">
        <v>42295612</v>
      </c>
    </row>
    <row r="5584" spans="1:16" x14ac:dyDescent="0.25">
      <c r="A5584" s="10">
        <v>45931</v>
      </c>
      <c r="B5584" s="3">
        <v>-1283070</v>
      </c>
      <c r="C5584" s="3">
        <v>0</v>
      </c>
      <c r="D5584" s="3">
        <v>0</v>
      </c>
      <c r="E5584" s="3">
        <v>0</v>
      </c>
      <c r="F5584" s="3">
        <v>0</v>
      </c>
      <c r="G5584" s="3">
        <v>-730797.34329111967</v>
      </c>
      <c r="H5584" s="3">
        <v>0</v>
      </c>
      <c r="I5584" s="3">
        <v>0</v>
      </c>
      <c r="J5584" s="3">
        <v>0</v>
      </c>
      <c r="K5584" s="3">
        <v>0</v>
      </c>
      <c r="L5584" s="3">
        <v>0</v>
      </c>
      <c r="M5584" s="3">
        <v>0</v>
      </c>
      <c r="N5584" s="3">
        <v>0</v>
      </c>
      <c r="O5584">
        <v>-552272.65670888033</v>
      </c>
      <c r="P5584">
        <v>41012542</v>
      </c>
    </row>
    <row r="5585" spans="1:16" x14ac:dyDescent="0.25">
      <c r="A5585" s="10">
        <v>45932</v>
      </c>
      <c r="B5585" s="3">
        <v>-656537</v>
      </c>
      <c r="C5585" s="3">
        <v>0</v>
      </c>
      <c r="D5585" s="3">
        <v>0</v>
      </c>
      <c r="E5585" s="3">
        <v>0</v>
      </c>
      <c r="F5585" s="3">
        <v>0</v>
      </c>
      <c r="G5585" s="3">
        <v>-292922.4660476502</v>
      </c>
      <c r="H5585" s="3">
        <v>0</v>
      </c>
      <c r="I5585" s="3">
        <v>0</v>
      </c>
      <c r="J5585" s="3">
        <v>0</v>
      </c>
      <c r="K5585" s="3">
        <v>0</v>
      </c>
      <c r="L5585" s="3">
        <v>0</v>
      </c>
      <c r="M5585" s="3">
        <v>0</v>
      </c>
      <c r="N5585" s="3">
        <v>0</v>
      </c>
      <c r="O5585">
        <v>-363614.5339523498</v>
      </c>
      <c r="P5585">
        <v>40356005</v>
      </c>
    </row>
    <row r="5586" spans="1:16" x14ac:dyDescent="0.25">
      <c r="A5586" s="10">
        <v>45933</v>
      </c>
      <c r="B5586" s="3">
        <v>280779</v>
      </c>
      <c r="C5586" s="3">
        <v>0</v>
      </c>
      <c r="D5586" s="3">
        <v>0</v>
      </c>
      <c r="E5586" s="3">
        <v>0</v>
      </c>
      <c r="F5586" s="3">
        <v>0</v>
      </c>
      <c r="G5586" s="3">
        <v>-338101.58398315031</v>
      </c>
      <c r="H5586" s="3">
        <v>0</v>
      </c>
      <c r="I5586" s="3">
        <v>0</v>
      </c>
      <c r="J5586" s="3">
        <v>0</v>
      </c>
      <c r="K5586" s="3">
        <v>0</v>
      </c>
      <c r="L5586" s="3">
        <v>0</v>
      </c>
      <c r="M5586" s="3">
        <v>0</v>
      </c>
      <c r="N5586" s="3">
        <v>0</v>
      </c>
      <c r="O5586">
        <v>618880.58398315031</v>
      </c>
      <c r="P5586">
        <v>40636784</v>
      </c>
    </row>
    <row r="5587" spans="1:16" x14ac:dyDescent="0.25">
      <c r="A5587" s="10">
        <v>45936</v>
      </c>
      <c r="B5587" s="3">
        <v>156185</v>
      </c>
      <c r="C5587" s="3">
        <v>0</v>
      </c>
      <c r="D5587" s="3">
        <v>0</v>
      </c>
      <c r="E5587" s="3">
        <v>0</v>
      </c>
      <c r="F5587" s="3">
        <v>0</v>
      </c>
      <c r="G5587" s="3">
        <v>-694063.20124141872</v>
      </c>
      <c r="H5587" s="3">
        <v>0</v>
      </c>
      <c r="I5587" s="3">
        <v>0</v>
      </c>
      <c r="J5587" s="3">
        <v>0</v>
      </c>
      <c r="K5587" s="3">
        <v>0</v>
      </c>
      <c r="L5587" s="3">
        <v>0</v>
      </c>
      <c r="M5587" s="3">
        <v>0</v>
      </c>
      <c r="N5587" s="3">
        <v>0</v>
      </c>
      <c r="O5587">
        <v>850248.20124141872</v>
      </c>
      <c r="P5587">
        <v>40792969</v>
      </c>
    </row>
    <row r="5588" spans="1:16" x14ac:dyDescent="0.25">
      <c r="A5588" s="10">
        <v>45937</v>
      </c>
      <c r="B5588" s="3">
        <v>-211804</v>
      </c>
      <c r="C5588" s="3">
        <v>0</v>
      </c>
      <c r="D5588" s="3">
        <v>0</v>
      </c>
      <c r="E5588" s="3">
        <v>0</v>
      </c>
      <c r="F5588" s="3">
        <v>0</v>
      </c>
      <c r="G5588" s="3">
        <v>-400742.17849968933</v>
      </c>
      <c r="H5588" s="3">
        <v>0</v>
      </c>
      <c r="I5588" s="3">
        <v>0</v>
      </c>
      <c r="J5588" s="3">
        <v>0</v>
      </c>
      <c r="K5588" s="3">
        <v>0</v>
      </c>
      <c r="L5588" s="3">
        <v>0</v>
      </c>
      <c r="M5588" s="3">
        <v>0</v>
      </c>
      <c r="N5588" s="3">
        <v>0</v>
      </c>
      <c r="O5588">
        <v>188938.1784996893</v>
      </c>
      <c r="P5588">
        <v>40581165</v>
      </c>
    </row>
    <row r="5589" spans="1:16" x14ac:dyDescent="0.25">
      <c r="A5589" s="10">
        <v>45938</v>
      </c>
      <c r="B5589" s="3">
        <v>158157</v>
      </c>
      <c r="C5589" s="3">
        <v>0</v>
      </c>
      <c r="D5589" s="3">
        <v>0</v>
      </c>
      <c r="E5589" s="3">
        <v>0</v>
      </c>
      <c r="F5589" s="3">
        <v>0</v>
      </c>
      <c r="G5589" s="3">
        <v>-503174.97152352892</v>
      </c>
      <c r="H5589" s="3">
        <v>0</v>
      </c>
      <c r="I5589" s="3">
        <v>0</v>
      </c>
      <c r="J5589" s="3">
        <v>0</v>
      </c>
      <c r="K5589" s="3">
        <v>0</v>
      </c>
      <c r="L5589" s="3">
        <v>0</v>
      </c>
      <c r="M5589" s="3">
        <v>0</v>
      </c>
      <c r="N5589" s="3">
        <v>0</v>
      </c>
      <c r="O5589">
        <v>661331.97152352892</v>
      </c>
      <c r="P5589">
        <v>40739322</v>
      </c>
    </row>
    <row r="5590" spans="1:16" x14ac:dyDescent="0.25">
      <c r="A5590" s="10">
        <v>45939</v>
      </c>
      <c r="B5590" s="3">
        <v>157004</v>
      </c>
      <c r="C5590" s="3">
        <v>0</v>
      </c>
      <c r="D5590" s="3">
        <v>0</v>
      </c>
      <c r="E5590" s="3">
        <v>0</v>
      </c>
      <c r="F5590" s="3">
        <v>0</v>
      </c>
      <c r="G5590" s="3">
        <v>-12141.42151189968</v>
      </c>
      <c r="H5590" s="3">
        <v>0</v>
      </c>
      <c r="I5590" s="3">
        <v>0</v>
      </c>
      <c r="J5590" s="3">
        <v>0</v>
      </c>
      <c r="K5590" s="3">
        <v>0</v>
      </c>
      <c r="L5590" s="3">
        <v>0</v>
      </c>
      <c r="M5590" s="3">
        <v>0</v>
      </c>
      <c r="N5590" s="3">
        <v>0</v>
      </c>
      <c r="O5590">
        <v>169145.42151189971</v>
      </c>
      <c r="P5590">
        <v>40896326</v>
      </c>
    </row>
    <row r="5591" spans="1:16" x14ac:dyDescent="0.25">
      <c r="A5591" s="10">
        <v>45943</v>
      </c>
      <c r="B5591" s="3">
        <v>-56205</v>
      </c>
      <c r="C5591" s="3">
        <v>0</v>
      </c>
      <c r="D5591" s="3">
        <v>0</v>
      </c>
      <c r="E5591" s="3">
        <v>0</v>
      </c>
      <c r="F5591" s="3">
        <v>0</v>
      </c>
      <c r="G5591" s="3">
        <v>154.71827984999999</v>
      </c>
      <c r="H5591" s="3">
        <v>0</v>
      </c>
      <c r="I5591" s="3">
        <v>0</v>
      </c>
      <c r="J5591" s="3">
        <v>0</v>
      </c>
      <c r="K5591" s="3">
        <v>0</v>
      </c>
      <c r="L5591" s="3">
        <v>0</v>
      </c>
      <c r="M5591" s="3">
        <v>0</v>
      </c>
      <c r="N5591" s="3">
        <v>0</v>
      </c>
      <c r="O5591">
        <v>-56359.71827985</v>
      </c>
      <c r="P5591">
        <v>40840121</v>
      </c>
    </row>
    <row r="5592" spans="1:16" x14ac:dyDescent="0.25">
      <c r="A5592" s="10">
        <v>45944</v>
      </c>
      <c r="B5592" s="3">
        <v>199767</v>
      </c>
      <c r="C5592" s="3">
        <v>0</v>
      </c>
      <c r="D5592" s="3">
        <v>-167500</v>
      </c>
      <c r="E5592" s="3">
        <v>0</v>
      </c>
      <c r="F5592" s="3">
        <v>0</v>
      </c>
      <c r="G5592" s="3">
        <v>167035.63802940029</v>
      </c>
      <c r="H5592" s="3">
        <v>0</v>
      </c>
      <c r="I5592" s="3">
        <v>0</v>
      </c>
      <c r="J5592" s="3">
        <v>0</v>
      </c>
      <c r="K5592" s="3">
        <v>0</v>
      </c>
      <c r="L5592" s="3">
        <v>0</v>
      </c>
      <c r="M5592" s="3">
        <v>0</v>
      </c>
      <c r="N5592" s="3">
        <v>0</v>
      </c>
      <c r="O5592">
        <v>200231.36197059971</v>
      </c>
      <c r="P5592">
        <v>41039888</v>
      </c>
    </row>
    <row r="5593" spans="1:16" x14ac:dyDescent="0.25">
      <c r="A5593" s="10">
        <v>45945</v>
      </c>
      <c r="B5593" s="3">
        <v>-390922</v>
      </c>
      <c r="C5593" s="3">
        <v>0</v>
      </c>
      <c r="D5593" s="3">
        <v>0</v>
      </c>
      <c r="E5593" s="3">
        <v>0</v>
      </c>
      <c r="F5593" s="3">
        <v>0</v>
      </c>
      <c r="G5593" s="3">
        <v>-524.74511351000001</v>
      </c>
      <c r="H5593" s="3">
        <v>0</v>
      </c>
      <c r="I5593" s="3">
        <v>0</v>
      </c>
      <c r="J5593" s="3">
        <v>0</v>
      </c>
      <c r="K5593" s="3">
        <v>0</v>
      </c>
      <c r="L5593" s="3">
        <v>0</v>
      </c>
      <c r="M5593" s="3">
        <v>0</v>
      </c>
      <c r="N5593" s="3">
        <v>0</v>
      </c>
      <c r="O5593">
        <v>-390397.25488649</v>
      </c>
      <c r="P5593">
        <v>40648966</v>
      </c>
    </row>
    <row r="5594" spans="1:16" x14ac:dyDescent="0.25">
      <c r="A5594" s="10">
        <v>45946</v>
      </c>
      <c r="B5594" s="3">
        <v>-517904</v>
      </c>
      <c r="C5594" s="3">
        <v>0</v>
      </c>
      <c r="D5594" s="3">
        <v>0</v>
      </c>
      <c r="E5594" s="3">
        <v>0</v>
      </c>
      <c r="F5594" s="3">
        <v>0</v>
      </c>
      <c r="G5594" s="3">
        <v>-228.16837039000001</v>
      </c>
      <c r="H5594" s="3">
        <v>0</v>
      </c>
      <c r="I5594" s="3">
        <v>0</v>
      </c>
      <c r="J5594" s="3">
        <v>0</v>
      </c>
      <c r="K5594" s="3">
        <v>0</v>
      </c>
      <c r="L5594" s="3">
        <v>0</v>
      </c>
      <c r="M5594" s="3">
        <v>0</v>
      </c>
      <c r="N5594" s="3">
        <v>0</v>
      </c>
      <c r="O5594">
        <v>-517675.83162960998</v>
      </c>
      <c r="P5594">
        <v>40131062</v>
      </c>
    </row>
    <row r="5595" spans="1:16" x14ac:dyDescent="0.25">
      <c r="A5595" s="10">
        <v>45947</v>
      </c>
      <c r="B5595" s="3">
        <v>296940</v>
      </c>
      <c r="C5595" s="3">
        <v>0</v>
      </c>
      <c r="D5595" s="3">
        <v>0</v>
      </c>
      <c r="E5595" s="3">
        <v>0</v>
      </c>
      <c r="F5595" s="3">
        <v>0</v>
      </c>
      <c r="G5595" s="3">
        <v>1200815.5480423891</v>
      </c>
      <c r="H5595" s="3">
        <v>0</v>
      </c>
      <c r="I5595" s="3">
        <v>0</v>
      </c>
      <c r="J5595" s="3">
        <v>0</v>
      </c>
      <c r="K5595" s="3">
        <v>0</v>
      </c>
      <c r="L5595" s="3">
        <v>0</v>
      </c>
      <c r="M5595" s="3">
        <v>0</v>
      </c>
      <c r="N5595" s="3">
        <v>0</v>
      </c>
      <c r="O5595">
        <v>-903875.54804238933</v>
      </c>
      <c r="P5595">
        <v>40428002</v>
      </c>
    </row>
    <row r="5596" spans="1:16" x14ac:dyDescent="0.25">
      <c r="A5596" s="10">
        <v>45950</v>
      </c>
      <c r="B5596" s="3">
        <v>544262</v>
      </c>
      <c r="C5596" s="3">
        <v>0</v>
      </c>
      <c r="D5596" s="3">
        <v>0</v>
      </c>
      <c r="E5596" s="3">
        <v>0</v>
      </c>
      <c r="F5596" s="3">
        <v>0</v>
      </c>
      <c r="G5596" s="3">
        <v>4839.0065870700009</v>
      </c>
      <c r="H5596" s="3">
        <v>0</v>
      </c>
      <c r="I5596" s="3">
        <v>0</v>
      </c>
      <c r="J5596" s="3">
        <v>0</v>
      </c>
      <c r="K5596" s="3">
        <v>0</v>
      </c>
      <c r="L5596" s="3">
        <v>0</v>
      </c>
      <c r="M5596" s="3">
        <v>0</v>
      </c>
      <c r="N5596" s="3">
        <v>0</v>
      </c>
      <c r="O5596">
        <v>539422.99341293005</v>
      </c>
      <c r="P5596">
        <v>40972264</v>
      </c>
    </row>
    <row r="5597" spans="1:16" x14ac:dyDescent="0.25">
      <c r="A5597" s="10">
        <v>45951</v>
      </c>
      <c r="B5597" s="3">
        <v>-794385</v>
      </c>
      <c r="C5597" s="3">
        <v>-67840.5</v>
      </c>
      <c r="D5597" s="3">
        <v>0</v>
      </c>
      <c r="E5597" s="3">
        <v>0</v>
      </c>
      <c r="F5597" s="3">
        <v>0</v>
      </c>
      <c r="G5597" s="3">
        <v>187.70032599000001</v>
      </c>
      <c r="H5597" s="3">
        <v>0</v>
      </c>
      <c r="I5597" s="3">
        <v>0</v>
      </c>
      <c r="J5597" s="3">
        <v>0</v>
      </c>
      <c r="K5597" s="3">
        <v>0</v>
      </c>
      <c r="L5597" s="3">
        <v>0</v>
      </c>
      <c r="M5597" s="3">
        <v>0</v>
      </c>
      <c r="N5597" s="3">
        <v>0</v>
      </c>
      <c r="O5597">
        <v>-726732.20032598998</v>
      </c>
      <c r="P5597">
        <v>40177879</v>
      </c>
    </row>
    <row r="5598" spans="1:16" x14ac:dyDescent="0.25">
      <c r="A5598" s="10">
        <v>45952</v>
      </c>
      <c r="B5598" s="3">
        <v>-207835</v>
      </c>
      <c r="C5598" s="3">
        <v>0</v>
      </c>
      <c r="D5598" s="3">
        <v>0</v>
      </c>
      <c r="E5598" s="3">
        <v>0</v>
      </c>
      <c r="F5598" s="3">
        <v>0</v>
      </c>
      <c r="G5598" s="3">
        <v>-517.22775817000002</v>
      </c>
      <c r="H5598" s="3">
        <v>0</v>
      </c>
      <c r="I5598" s="3">
        <v>0</v>
      </c>
      <c r="J5598" s="3">
        <v>0</v>
      </c>
      <c r="K5598" s="3">
        <v>0</v>
      </c>
      <c r="L5598" s="3">
        <v>0</v>
      </c>
      <c r="M5598" s="3">
        <v>0</v>
      </c>
      <c r="N5598" s="3">
        <v>0</v>
      </c>
      <c r="O5598">
        <v>-207317.77224183001</v>
      </c>
      <c r="P5598">
        <v>39970044</v>
      </c>
    </row>
    <row r="5599" spans="1:16" x14ac:dyDescent="0.25">
      <c r="A5599" s="10">
        <v>45953</v>
      </c>
      <c r="B5599" s="3">
        <v>-119696</v>
      </c>
      <c r="C5599" s="3">
        <v>0</v>
      </c>
      <c r="D5599" s="3">
        <v>0</v>
      </c>
      <c r="E5599" s="3">
        <v>0</v>
      </c>
      <c r="F5599" s="3">
        <v>0</v>
      </c>
      <c r="G5599" s="3">
        <v>0.61101244855672121</v>
      </c>
      <c r="H5599" s="3">
        <v>0</v>
      </c>
      <c r="I5599" s="3">
        <v>0</v>
      </c>
      <c r="J5599" s="3">
        <v>0</v>
      </c>
      <c r="K5599" s="3">
        <v>0</v>
      </c>
      <c r="L5599" s="3">
        <v>0</v>
      </c>
      <c r="M5599" s="3">
        <v>0</v>
      </c>
      <c r="N5599" s="3">
        <v>0</v>
      </c>
      <c r="O5599">
        <v>-119696.6110124486</v>
      </c>
      <c r="P5599">
        <v>39850348</v>
      </c>
    </row>
    <row r="5600" spans="1:16" x14ac:dyDescent="0.25">
      <c r="A5600" s="10">
        <v>45954</v>
      </c>
      <c r="B5600" s="3">
        <v>-447898</v>
      </c>
      <c r="C5600" s="3">
        <v>0</v>
      </c>
      <c r="D5600" s="3">
        <v>0</v>
      </c>
      <c r="E5600" s="3">
        <v>0</v>
      </c>
      <c r="F5600" s="3">
        <v>0</v>
      </c>
      <c r="G5600" s="3">
        <v>-489.62657280000002</v>
      </c>
      <c r="H5600" s="3">
        <v>0</v>
      </c>
      <c r="I5600" s="3">
        <v>0</v>
      </c>
      <c r="J5600" s="3">
        <v>0</v>
      </c>
      <c r="K5600" s="3">
        <v>0</v>
      </c>
      <c r="L5600" s="3">
        <v>0</v>
      </c>
      <c r="M5600" s="3">
        <v>0</v>
      </c>
      <c r="N5600" s="3">
        <v>0</v>
      </c>
      <c r="O5600">
        <v>-447408.37342720001</v>
      </c>
      <c r="P5600">
        <v>39402450</v>
      </c>
    </row>
    <row r="5601" spans="1:16" x14ac:dyDescent="0.25">
      <c r="A5601" s="10">
        <v>45957</v>
      </c>
      <c r="B5601" s="3">
        <v>676376</v>
      </c>
      <c r="C5601" s="3">
        <v>0</v>
      </c>
      <c r="D5601" s="3">
        <v>0</v>
      </c>
      <c r="E5601" s="3">
        <v>0</v>
      </c>
      <c r="F5601" s="3">
        <v>0</v>
      </c>
      <c r="G5601" s="3">
        <v>-358.28196671884513</v>
      </c>
      <c r="H5601" s="3">
        <v>0</v>
      </c>
      <c r="I5601" s="3">
        <v>0</v>
      </c>
      <c r="J5601" s="3">
        <v>0</v>
      </c>
      <c r="K5601" s="3">
        <v>0</v>
      </c>
      <c r="L5601" s="3">
        <v>0</v>
      </c>
      <c r="M5601" s="3">
        <v>0</v>
      </c>
      <c r="N5601" s="3">
        <v>0</v>
      </c>
      <c r="O5601">
        <v>676734.28196671885</v>
      </c>
      <c r="P5601">
        <v>40078826</v>
      </c>
    </row>
    <row r="5602" spans="1:16" x14ac:dyDescent="0.25">
      <c r="A5602" s="10">
        <v>45958</v>
      </c>
      <c r="B5602" s="3">
        <v>-807</v>
      </c>
      <c r="C5602" s="3">
        <v>0</v>
      </c>
      <c r="D5602" s="3">
        <v>0</v>
      </c>
      <c r="E5602" s="3">
        <v>0</v>
      </c>
      <c r="F5602" s="3">
        <v>0</v>
      </c>
      <c r="G5602" s="3">
        <v>1220892.1854145899</v>
      </c>
      <c r="H5602" s="3">
        <v>0</v>
      </c>
      <c r="I5602" s="3">
        <v>0</v>
      </c>
      <c r="J5602" s="3">
        <v>0</v>
      </c>
      <c r="K5602" s="3">
        <v>0</v>
      </c>
      <c r="L5602" s="3">
        <v>0</v>
      </c>
      <c r="M5602" s="3">
        <v>0</v>
      </c>
      <c r="N5602" s="3">
        <v>0</v>
      </c>
      <c r="O5602">
        <v>-1221699.1854145899</v>
      </c>
      <c r="P5602">
        <v>40078019</v>
      </c>
    </row>
    <row r="5603" spans="1:16" x14ac:dyDescent="0.25">
      <c r="A5603" s="10">
        <v>45959</v>
      </c>
      <c r="B5603" s="3">
        <v>69665</v>
      </c>
      <c r="C5603" s="3">
        <v>0</v>
      </c>
      <c r="D5603" s="3">
        <v>0</v>
      </c>
      <c r="E5603" s="3">
        <v>0</v>
      </c>
      <c r="F5603" s="3">
        <v>0</v>
      </c>
      <c r="G5603" s="3">
        <v>-233.3215783599999</v>
      </c>
      <c r="H5603" s="3">
        <v>0</v>
      </c>
      <c r="I5603" s="3">
        <v>0</v>
      </c>
      <c r="J5603" s="3">
        <v>0</v>
      </c>
      <c r="K5603" s="3">
        <v>0</v>
      </c>
      <c r="L5603" s="3">
        <v>0</v>
      </c>
      <c r="M5603" s="3">
        <v>0</v>
      </c>
      <c r="N5603" s="3">
        <v>0</v>
      </c>
      <c r="O5603">
        <v>69898.321578360003</v>
      </c>
      <c r="P5603">
        <v>40147684</v>
      </c>
    </row>
    <row r="5604" spans="1:16" x14ac:dyDescent="0.25">
      <c r="A5604" s="10">
        <v>45960</v>
      </c>
      <c r="B5604" s="3">
        <v>206596</v>
      </c>
      <c r="C5604" s="3">
        <v>0</v>
      </c>
      <c r="D5604" s="3">
        <v>0</v>
      </c>
      <c r="E5604" s="3">
        <v>0</v>
      </c>
      <c r="F5604" s="3">
        <v>0</v>
      </c>
      <c r="G5604" s="3">
        <v>-667.15213067962759</v>
      </c>
      <c r="H5604" s="3">
        <v>0</v>
      </c>
      <c r="I5604" s="3">
        <v>0</v>
      </c>
      <c r="J5604" s="3">
        <v>0</v>
      </c>
      <c r="K5604" s="3">
        <v>0</v>
      </c>
      <c r="L5604" s="3">
        <v>0</v>
      </c>
      <c r="M5604" s="3">
        <v>0</v>
      </c>
      <c r="N5604" s="3">
        <v>0</v>
      </c>
      <c r="O5604">
        <v>207263.15213067961</v>
      </c>
      <c r="P5604">
        <v>40354280</v>
      </c>
    </row>
    <row r="5605" spans="1:16" x14ac:dyDescent="0.25">
      <c r="A5605" s="10">
        <v>45961</v>
      </c>
      <c r="B5605" s="3">
        <v>972914</v>
      </c>
      <c r="C5605" s="3">
        <v>0</v>
      </c>
      <c r="D5605" s="3">
        <v>0</v>
      </c>
      <c r="E5605" s="3">
        <v>0</v>
      </c>
      <c r="F5605" s="3">
        <v>0</v>
      </c>
      <c r="G5605" s="3">
        <v>4522371.01277724</v>
      </c>
      <c r="H5605" s="3">
        <v>0</v>
      </c>
      <c r="I5605" s="3">
        <v>0</v>
      </c>
      <c r="J5605" s="3">
        <v>0</v>
      </c>
      <c r="K5605" s="3">
        <v>0</v>
      </c>
      <c r="L5605" s="3">
        <v>0</v>
      </c>
      <c r="M5605" s="3">
        <v>0</v>
      </c>
      <c r="N5605" s="3">
        <v>0</v>
      </c>
      <c r="O5605">
        <v>-3549457.01277724</v>
      </c>
      <c r="P5605">
        <v>41327194</v>
      </c>
    </row>
    <row r="5606" spans="1:16" x14ac:dyDescent="0.25">
      <c r="A5606" s="10">
        <v>45964</v>
      </c>
      <c r="B5606" s="3">
        <v>110112</v>
      </c>
      <c r="C5606" s="3">
        <v>0</v>
      </c>
      <c r="D5606" s="3">
        <v>-142900</v>
      </c>
      <c r="E5606" s="3">
        <v>0</v>
      </c>
      <c r="F5606" s="3">
        <v>0</v>
      </c>
      <c r="G5606" s="3">
        <v>110219.54185367</v>
      </c>
      <c r="H5606" s="3">
        <v>0</v>
      </c>
      <c r="I5606" s="3">
        <v>0</v>
      </c>
      <c r="J5606" s="3">
        <v>0</v>
      </c>
      <c r="K5606" s="3">
        <v>0</v>
      </c>
      <c r="L5606" s="3">
        <v>0</v>
      </c>
      <c r="M5606" s="3">
        <v>0</v>
      </c>
      <c r="N5606" s="3">
        <v>0</v>
      </c>
      <c r="O5606">
        <v>142792.45814633</v>
      </c>
      <c r="P5606">
        <v>41437306</v>
      </c>
    </row>
    <row r="5607" spans="1:16" x14ac:dyDescent="0.25">
      <c r="A5607" s="10">
        <v>45965</v>
      </c>
      <c r="B5607" s="3">
        <v>-706363</v>
      </c>
      <c r="C5607" s="3">
        <v>0</v>
      </c>
      <c r="D5607" s="3">
        <v>0</v>
      </c>
      <c r="E5607" s="3">
        <v>0</v>
      </c>
      <c r="F5607" s="3">
        <v>0</v>
      </c>
      <c r="G5607" s="3">
        <v>-212.93496869000049</v>
      </c>
      <c r="H5607" s="3">
        <v>0</v>
      </c>
      <c r="I5607" s="3">
        <v>0</v>
      </c>
      <c r="J5607" s="3">
        <v>0</v>
      </c>
      <c r="K5607" s="3">
        <v>0</v>
      </c>
      <c r="L5607" s="3">
        <v>0</v>
      </c>
      <c r="M5607" s="3">
        <v>0</v>
      </c>
      <c r="N5607" s="3">
        <v>0</v>
      </c>
      <c r="O5607">
        <v>-706150.06503130996</v>
      </c>
      <c r="P5607">
        <v>40730943</v>
      </c>
    </row>
    <row r="5608" spans="1:16" x14ac:dyDescent="0.25">
      <c r="A5608" s="10">
        <v>45966</v>
      </c>
      <c r="B5608" s="3">
        <v>405181</v>
      </c>
      <c r="C5608" s="3">
        <v>0</v>
      </c>
      <c r="D5608" s="3">
        <v>-1169416</v>
      </c>
      <c r="E5608" s="3">
        <v>0</v>
      </c>
      <c r="F5608" s="3">
        <v>0</v>
      </c>
      <c r="G5608" s="3">
        <v>1169203.9498258799</v>
      </c>
      <c r="H5608" s="3">
        <v>0</v>
      </c>
      <c r="I5608" s="3">
        <v>0</v>
      </c>
      <c r="J5608" s="3">
        <v>0</v>
      </c>
      <c r="K5608" s="3">
        <v>0</v>
      </c>
      <c r="L5608" s="3">
        <v>0</v>
      </c>
      <c r="M5608" s="3">
        <v>0</v>
      </c>
      <c r="N5608" s="3">
        <v>0</v>
      </c>
      <c r="O5608">
        <v>405393.05017412012</v>
      </c>
      <c r="P5608">
        <v>41136124</v>
      </c>
    </row>
    <row r="5609" spans="1:16" x14ac:dyDescent="0.25">
      <c r="A5609" s="10">
        <v>45968</v>
      </c>
      <c r="B5609" s="3">
        <v>745737</v>
      </c>
      <c r="C5609" s="3">
        <v>0</v>
      </c>
      <c r="D5609" s="3">
        <v>0</v>
      </c>
      <c r="E5609" s="3">
        <v>0</v>
      </c>
      <c r="F5609" s="3">
        <v>0</v>
      </c>
      <c r="G5609" s="3">
        <v>-214.31512064998969</v>
      </c>
      <c r="H5609" s="3">
        <v>0</v>
      </c>
      <c r="I5609" s="3">
        <v>0</v>
      </c>
      <c r="J5609" s="3">
        <v>0</v>
      </c>
      <c r="K5609" s="3">
        <v>0</v>
      </c>
      <c r="L5609" s="3">
        <v>0</v>
      </c>
      <c r="M5609" s="3">
        <v>0</v>
      </c>
      <c r="N5609" s="3">
        <v>0</v>
      </c>
      <c r="O5609">
        <v>745951.31512064999</v>
      </c>
      <c r="P5609">
        <v>41881861</v>
      </c>
    </row>
    <row r="5610" spans="1:16" x14ac:dyDescent="0.25">
      <c r="A5610" s="10">
        <v>45971</v>
      </c>
      <c r="B5610" s="3">
        <v>-248941</v>
      </c>
      <c r="C5610" s="3">
        <v>0</v>
      </c>
      <c r="D5610" s="3">
        <v>0</v>
      </c>
      <c r="E5610" s="3">
        <v>0</v>
      </c>
      <c r="F5610" s="3">
        <v>0</v>
      </c>
      <c r="G5610" s="3">
        <v>-896158.03982534946</v>
      </c>
      <c r="H5610" s="3">
        <v>0</v>
      </c>
      <c r="I5610" s="3">
        <v>0</v>
      </c>
      <c r="J5610" s="3">
        <v>0</v>
      </c>
      <c r="K5610" s="3">
        <v>0</v>
      </c>
      <c r="L5610" s="3">
        <v>0</v>
      </c>
      <c r="M5610" s="3">
        <v>0</v>
      </c>
      <c r="N5610" s="3">
        <v>0</v>
      </c>
      <c r="O5610">
        <v>647217.03982534946</v>
      </c>
      <c r="P5610">
        <v>41632920</v>
      </c>
    </row>
    <row r="5611" spans="1:16" x14ac:dyDescent="0.25">
      <c r="A5611" s="10">
        <v>45972</v>
      </c>
      <c r="B5611" s="3">
        <v>-1596503</v>
      </c>
      <c r="C5611" s="3">
        <v>0</v>
      </c>
      <c r="D5611" s="3">
        <v>0</v>
      </c>
      <c r="E5611" s="3">
        <v>0</v>
      </c>
      <c r="F5611" s="3">
        <v>0</v>
      </c>
      <c r="G5611" s="3">
        <v>133.47254551</v>
      </c>
      <c r="H5611" s="3">
        <v>0</v>
      </c>
      <c r="I5611" s="3">
        <v>0</v>
      </c>
      <c r="J5611" s="3">
        <v>0</v>
      </c>
      <c r="K5611" s="3">
        <v>0</v>
      </c>
      <c r="L5611" s="3">
        <v>0</v>
      </c>
      <c r="M5611" s="3">
        <v>0</v>
      </c>
      <c r="N5611" s="3">
        <v>0</v>
      </c>
      <c r="O5611">
        <v>-1596636.4725455099</v>
      </c>
      <c r="P5611">
        <v>40036417</v>
      </c>
    </row>
    <row r="5612" spans="1:16" x14ac:dyDescent="0.25">
      <c r="A5612" s="10">
        <v>45973</v>
      </c>
      <c r="B5612" s="3">
        <v>228238</v>
      </c>
      <c r="C5612" s="3">
        <v>0</v>
      </c>
      <c r="D5612" s="3">
        <v>0</v>
      </c>
      <c r="E5612" s="3">
        <v>0</v>
      </c>
      <c r="F5612" s="3">
        <v>0</v>
      </c>
      <c r="G5612" s="3">
        <v>33964.951682779938</v>
      </c>
      <c r="H5612" s="3">
        <v>0</v>
      </c>
      <c r="I5612" s="3">
        <v>0</v>
      </c>
      <c r="J5612" s="3">
        <v>0</v>
      </c>
      <c r="K5612" s="3">
        <v>0</v>
      </c>
      <c r="L5612" s="3">
        <v>0</v>
      </c>
      <c r="M5612" s="3">
        <v>0</v>
      </c>
      <c r="N5612" s="3">
        <v>0</v>
      </c>
      <c r="O5612">
        <v>194273.04831722009</v>
      </c>
      <c r="P5612">
        <v>40264655</v>
      </c>
    </row>
    <row r="5613" spans="1:16" x14ac:dyDescent="0.25">
      <c r="A5613" s="10">
        <v>45974</v>
      </c>
      <c r="B5613" s="3">
        <v>-444631</v>
      </c>
      <c r="C5613" s="3">
        <v>0</v>
      </c>
      <c r="D5613" s="3">
        <v>0</v>
      </c>
      <c r="E5613" s="3">
        <v>0</v>
      </c>
      <c r="F5613" s="3">
        <v>0</v>
      </c>
      <c r="G5613" s="3">
        <v>65.562659840000137</v>
      </c>
      <c r="H5613" s="3">
        <v>0</v>
      </c>
      <c r="I5613" s="3">
        <v>0</v>
      </c>
      <c r="J5613" s="3">
        <v>0</v>
      </c>
      <c r="K5613" s="3">
        <v>0</v>
      </c>
      <c r="L5613" s="3">
        <v>0</v>
      </c>
      <c r="M5613" s="3">
        <v>0</v>
      </c>
      <c r="N5613" s="3">
        <v>0</v>
      </c>
      <c r="O5613">
        <v>-444696.56265983998</v>
      </c>
      <c r="P5613">
        <v>39820024</v>
      </c>
    </row>
    <row r="5614" spans="1:16" x14ac:dyDescent="0.25">
      <c r="A5614" s="10">
        <v>45975</v>
      </c>
      <c r="B5614" s="3">
        <v>465385</v>
      </c>
      <c r="C5614" s="3">
        <v>0</v>
      </c>
      <c r="D5614" s="3">
        <v>0</v>
      </c>
      <c r="E5614" s="3">
        <v>0</v>
      </c>
      <c r="F5614" s="3">
        <v>0</v>
      </c>
      <c r="G5614" s="3">
        <v>142229.46652042959</v>
      </c>
      <c r="H5614" s="3">
        <v>0</v>
      </c>
      <c r="I5614" s="3">
        <v>0</v>
      </c>
      <c r="J5614" s="3">
        <v>0</v>
      </c>
      <c r="K5614" s="3">
        <v>0</v>
      </c>
      <c r="L5614" s="3">
        <v>0</v>
      </c>
      <c r="M5614" s="3">
        <v>0</v>
      </c>
      <c r="N5614" s="3">
        <v>0</v>
      </c>
      <c r="O5614">
        <v>323155.53347957041</v>
      </c>
      <c r="P5614">
        <v>40285409</v>
      </c>
    </row>
    <row r="5615" spans="1:16" x14ac:dyDescent="0.25">
      <c r="A5615" s="10">
        <v>45978</v>
      </c>
      <c r="B5615" s="3">
        <v>534147</v>
      </c>
      <c r="C5615" s="3">
        <v>0</v>
      </c>
      <c r="D5615" s="3">
        <v>-278800</v>
      </c>
      <c r="E5615" s="3">
        <v>0</v>
      </c>
      <c r="F5615" s="3">
        <v>0</v>
      </c>
      <c r="G5615" s="3">
        <v>279745.46629166981</v>
      </c>
      <c r="H5615" s="3">
        <v>0</v>
      </c>
      <c r="I5615" s="3">
        <v>0</v>
      </c>
      <c r="J5615" s="3">
        <v>0</v>
      </c>
      <c r="K5615" s="3">
        <v>0</v>
      </c>
      <c r="L5615" s="3">
        <v>0</v>
      </c>
      <c r="M5615" s="3">
        <v>0</v>
      </c>
      <c r="N5615" s="3">
        <v>0</v>
      </c>
      <c r="O5615">
        <v>533201.53370833024</v>
      </c>
      <c r="P5615">
        <v>40819556</v>
      </c>
    </row>
    <row r="5616" spans="1:16" x14ac:dyDescent="0.25">
      <c r="A5616" s="10">
        <v>45979</v>
      </c>
      <c r="B5616" s="3">
        <v>-496484</v>
      </c>
      <c r="C5616" s="3">
        <v>0</v>
      </c>
      <c r="D5616" s="3">
        <v>0</v>
      </c>
      <c r="E5616" s="3">
        <v>0</v>
      </c>
      <c r="F5616" s="3">
        <v>0</v>
      </c>
      <c r="G5616" s="3">
        <v>66438.011023660001</v>
      </c>
      <c r="H5616" s="3">
        <v>0</v>
      </c>
      <c r="I5616" s="3">
        <v>0</v>
      </c>
      <c r="J5616" s="3">
        <v>0</v>
      </c>
      <c r="K5616" s="3">
        <v>0</v>
      </c>
      <c r="L5616" s="3">
        <v>0</v>
      </c>
      <c r="M5616" s="3">
        <v>0</v>
      </c>
      <c r="N5616" s="3">
        <v>0</v>
      </c>
      <c r="O5616">
        <v>-562922.01102365996</v>
      </c>
      <c r="P5616">
        <v>40323072</v>
      </c>
    </row>
    <row r="5617" spans="1:16" x14ac:dyDescent="0.25">
      <c r="A5617" s="10">
        <v>45980</v>
      </c>
      <c r="B5617" s="3">
        <v>-8521</v>
      </c>
      <c r="C5617" s="3">
        <v>0</v>
      </c>
      <c r="D5617" s="3">
        <v>0</v>
      </c>
      <c r="E5617" s="3">
        <v>0</v>
      </c>
      <c r="F5617" s="3">
        <v>0</v>
      </c>
      <c r="G5617" s="3">
        <v>63429.775627499999</v>
      </c>
      <c r="H5617" s="3">
        <v>0</v>
      </c>
      <c r="I5617" s="3">
        <v>0</v>
      </c>
      <c r="J5617" s="3">
        <v>0</v>
      </c>
      <c r="K5617" s="3">
        <v>0</v>
      </c>
      <c r="L5617" s="3">
        <v>0</v>
      </c>
      <c r="M5617" s="3">
        <v>0</v>
      </c>
      <c r="N5617" s="3">
        <v>0</v>
      </c>
      <c r="O5617">
        <v>-71950.775627499999</v>
      </c>
      <c r="P5617">
        <v>40314551</v>
      </c>
    </row>
    <row r="5618" spans="1:16" x14ac:dyDescent="0.25">
      <c r="A5618" s="10">
        <v>45981</v>
      </c>
      <c r="B5618" s="3">
        <v>613318</v>
      </c>
      <c r="C5618" s="3">
        <v>0</v>
      </c>
      <c r="D5618" s="3">
        <v>0</v>
      </c>
      <c r="E5618" s="3">
        <v>0</v>
      </c>
      <c r="F5618" s="3">
        <v>0</v>
      </c>
      <c r="G5618" s="3">
        <v>11548.08624321967</v>
      </c>
      <c r="H5618" s="3">
        <v>0</v>
      </c>
      <c r="I5618" s="3">
        <v>0</v>
      </c>
      <c r="J5618" s="3">
        <v>0</v>
      </c>
      <c r="K5618" s="3">
        <v>0</v>
      </c>
      <c r="L5618" s="3">
        <v>0</v>
      </c>
      <c r="M5618" s="3">
        <v>0</v>
      </c>
      <c r="N5618" s="3">
        <v>0</v>
      </c>
      <c r="O5618">
        <v>601769.91375678033</v>
      </c>
      <c r="P5618">
        <v>40927869</v>
      </c>
    </row>
    <row r="5619" spans="1:16" x14ac:dyDescent="0.25">
      <c r="A5619" s="10">
        <v>45986</v>
      </c>
      <c r="B5619" s="3">
        <v>1413620</v>
      </c>
      <c r="C5619" s="3">
        <v>0</v>
      </c>
      <c r="D5619" s="3">
        <v>0</v>
      </c>
      <c r="E5619" s="3">
        <v>0</v>
      </c>
      <c r="F5619" s="3">
        <v>0</v>
      </c>
      <c r="G5619" s="3">
        <v>44198.762701739623</v>
      </c>
      <c r="H5619" s="3">
        <v>0</v>
      </c>
      <c r="I5619" s="3">
        <v>0</v>
      </c>
      <c r="J5619" s="3">
        <v>0</v>
      </c>
      <c r="K5619" s="3">
        <v>0</v>
      </c>
      <c r="L5619" s="3">
        <v>0</v>
      </c>
      <c r="M5619" s="3">
        <v>0</v>
      </c>
      <c r="N5619" s="3">
        <v>0</v>
      </c>
      <c r="O5619">
        <v>1369421.23729826</v>
      </c>
      <c r="P5619">
        <v>42341489</v>
      </c>
    </row>
    <row r="5620" spans="1:16" x14ac:dyDescent="0.25">
      <c r="A5620" s="10">
        <v>45987</v>
      </c>
      <c r="B5620" s="3">
        <v>-1778088</v>
      </c>
      <c r="C5620" s="3">
        <v>0</v>
      </c>
      <c r="D5620" s="3">
        <v>0</v>
      </c>
      <c r="E5620" s="3">
        <v>0</v>
      </c>
      <c r="F5620" s="3">
        <v>0</v>
      </c>
      <c r="G5620" s="3">
        <v>64856.492726210497</v>
      </c>
      <c r="H5620" s="3">
        <v>0</v>
      </c>
      <c r="I5620" s="3">
        <v>0</v>
      </c>
      <c r="J5620" s="3">
        <v>0</v>
      </c>
      <c r="K5620" s="3">
        <v>0</v>
      </c>
      <c r="L5620" s="3">
        <v>0</v>
      </c>
      <c r="M5620" s="3">
        <v>0</v>
      </c>
      <c r="N5620" s="3">
        <v>0</v>
      </c>
      <c r="O5620">
        <v>-1842944.492726211</v>
      </c>
      <c r="P5620">
        <v>40563401</v>
      </c>
    </row>
    <row r="5621" spans="1:16" x14ac:dyDescent="0.25">
      <c r="A5621" s="10">
        <v>45988</v>
      </c>
      <c r="B5621" s="3">
        <v>445825</v>
      </c>
      <c r="C5621" s="3">
        <v>0</v>
      </c>
      <c r="D5621" s="3">
        <v>0</v>
      </c>
      <c r="E5621" s="3">
        <v>0</v>
      </c>
      <c r="F5621" s="3">
        <v>0</v>
      </c>
      <c r="G5621" s="3">
        <v>74028.438574669883</v>
      </c>
      <c r="H5621" s="3">
        <v>0</v>
      </c>
      <c r="I5621" s="3">
        <v>0</v>
      </c>
      <c r="J5621" s="3">
        <v>0</v>
      </c>
      <c r="K5621" s="3">
        <v>0</v>
      </c>
      <c r="L5621" s="3">
        <v>0</v>
      </c>
      <c r="M5621" s="3">
        <v>0</v>
      </c>
      <c r="N5621" s="3">
        <v>0</v>
      </c>
      <c r="O5621">
        <v>371796.56142533012</v>
      </c>
      <c r="P5621">
        <v>41009226</v>
      </c>
    </row>
    <row r="5622" spans="1:16" x14ac:dyDescent="0.25">
      <c r="A5622" s="10">
        <v>45989</v>
      </c>
      <c r="B5622" s="3">
        <v>-82617</v>
      </c>
      <c r="C5622" s="3">
        <v>0</v>
      </c>
      <c r="D5622" s="3">
        <v>0</v>
      </c>
      <c r="E5622" s="3">
        <v>0</v>
      </c>
      <c r="F5622" s="3">
        <v>0</v>
      </c>
      <c r="G5622" s="3">
        <v>539532.74655004009</v>
      </c>
      <c r="H5622" s="3">
        <v>0</v>
      </c>
      <c r="I5622" s="3">
        <v>0</v>
      </c>
      <c r="J5622" s="3">
        <v>0</v>
      </c>
      <c r="K5622" s="3">
        <v>0</v>
      </c>
      <c r="L5622" s="3">
        <v>0</v>
      </c>
      <c r="M5622" s="3">
        <v>0</v>
      </c>
      <c r="N5622" s="3">
        <v>0</v>
      </c>
      <c r="O5622">
        <v>-622149.74655004009</v>
      </c>
      <c r="P5622">
        <v>40926609</v>
      </c>
    </row>
    <row r="5623" spans="1:16" x14ac:dyDescent="0.25">
      <c r="A5623" s="10">
        <v>45992</v>
      </c>
      <c r="B5623" s="3">
        <v>-63718</v>
      </c>
      <c r="C5623" s="3">
        <v>0</v>
      </c>
      <c r="D5623" s="3">
        <v>0</v>
      </c>
      <c r="E5623" s="3">
        <v>0</v>
      </c>
      <c r="F5623" s="3">
        <v>0</v>
      </c>
      <c r="G5623" s="3">
        <v>232857.48825067011</v>
      </c>
      <c r="H5623" s="3">
        <v>0</v>
      </c>
      <c r="I5623" s="3">
        <v>0</v>
      </c>
      <c r="J5623" s="3">
        <v>0</v>
      </c>
      <c r="K5623" s="3">
        <v>0</v>
      </c>
      <c r="L5623" s="3">
        <v>0</v>
      </c>
      <c r="M5623" s="3">
        <v>0</v>
      </c>
      <c r="N5623" s="3">
        <v>0</v>
      </c>
      <c r="O5623">
        <v>-296575.48825067008</v>
      </c>
      <c r="P5623">
        <v>40862891</v>
      </c>
    </row>
    <row r="5624" spans="1:16" x14ac:dyDescent="0.25">
      <c r="A5624" s="10">
        <v>45993</v>
      </c>
      <c r="B5624" s="3">
        <v>-1178799</v>
      </c>
      <c r="C5624" s="3">
        <v>0</v>
      </c>
      <c r="D5624" s="3">
        <v>0</v>
      </c>
      <c r="E5624" s="3">
        <v>0</v>
      </c>
      <c r="F5624" s="3">
        <v>0</v>
      </c>
      <c r="G5624" s="3">
        <v>-14322.71823611995</v>
      </c>
      <c r="H5624" s="3">
        <v>0</v>
      </c>
      <c r="I5624" s="3">
        <v>0</v>
      </c>
      <c r="J5624" s="3">
        <v>0</v>
      </c>
      <c r="K5624" s="3">
        <v>0</v>
      </c>
      <c r="L5624" s="3">
        <v>0</v>
      </c>
      <c r="M5624" s="3">
        <v>0</v>
      </c>
      <c r="N5624" s="3">
        <v>0</v>
      </c>
      <c r="O5624">
        <v>-1164476.28176388</v>
      </c>
      <c r="P5624">
        <v>39684092</v>
      </c>
    </row>
    <row r="5625" spans="1:16" x14ac:dyDescent="0.25">
      <c r="A5625" s="10">
        <v>45994</v>
      </c>
      <c r="B5625" s="3">
        <v>-1841345</v>
      </c>
      <c r="C5625" s="3">
        <v>0</v>
      </c>
      <c r="D5625" s="3">
        <v>0</v>
      </c>
      <c r="E5625" s="3">
        <v>0</v>
      </c>
      <c r="F5625" s="3">
        <v>0</v>
      </c>
      <c r="G5625" s="3">
        <v>-366.55440149999998</v>
      </c>
      <c r="H5625" s="3">
        <v>0</v>
      </c>
      <c r="I5625" s="3">
        <v>0</v>
      </c>
      <c r="J5625" s="3">
        <v>0</v>
      </c>
      <c r="K5625" s="3">
        <v>0</v>
      </c>
      <c r="L5625" s="3">
        <v>0</v>
      </c>
      <c r="M5625" s="3">
        <v>0</v>
      </c>
      <c r="N5625" s="3">
        <v>0</v>
      </c>
      <c r="O5625">
        <v>-1840978.4455985001</v>
      </c>
      <c r="P5625">
        <v>37842747</v>
      </c>
    </row>
    <row r="5626" spans="1:16" x14ac:dyDescent="0.25">
      <c r="A5626" s="10">
        <v>45995</v>
      </c>
      <c r="B5626" s="3">
        <v>2614973</v>
      </c>
      <c r="C5626" s="3">
        <v>0</v>
      </c>
      <c r="D5626" s="3">
        <v>0</v>
      </c>
      <c r="E5626" s="3">
        <v>0</v>
      </c>
      <c r="F5626" s="3">
        <v>0</v>
      </c>
      <c r="G5626" s="3">
        <v>-257.85168825</v>
      </c>
      <c r="H5626" s="3">
        <v>0</v>
      </c>
      <c r="I5626" s="3">
        <v>0</v>
      </c>
      <c r="J5626" s="3">
        <v>0</v>
      </c>
      <c r="K5626" s="3">
        <v>0</v>
      </c>
      <c r="L5626" s="3">
        <v>0</v>
      </c>
      <c r="M5626" s="3">
        <v>0</v>
      </c>
      <c r="N5626" s="3">
        <v>0</v>
      </c>
      <c r="O5626">
        <v>2615230.85168825</v>
      </c>
      <c r="P5626">
        <v>40457720</v>
      </c>
    </row>
    <row r="5627" spans="1:16" x14ac:dyDescent="0.25">
      <c r="A5627" s="10">
        <v>45996</v>
      </c>
      <c r="B5627" s="3">
        <v>-1524403</v>
      </c>
      <c r="C5627" s="3">
        <v>0</v>
      </c>
      <c r="D5627" s="3">
        <v>0</v>
      </c>
      <c r="E5627" s="3">
        <v>0</v>
      </c>
      <c r="F5627" s="3">
        <v>0</v>
      </c>
      <c r="G5627" s="3">
        <v>68394.600967799779</v>
      </c>
      <c r="H5627" s="3">
        <v>0</v>
      </c>
      <c r="I5627" s="3">
        <v>0</v>
      </c>
      <c r="J5627" s="3">
        <v>0</v>
      </c>
      <c r="K5627" s="3">
        <v>0</v>
      </c>
      <c r="L5627" s="3">
        <v>0</v>
      </c>
      <c r="M5627" s="3">
        <v>0</v>
      </c>
      <c r="N5627" s="3">
        <v>0</v>
      </c>
      <c r="O5627">
        <v>-1592797.6009678</v>
      </c>
      <c r="P5627">
        <v>38933317</v>
      </c>
    </row>
    <row r="5628" spans="1:16" x14ac:dyDescent="0.25">
      <c r="A5628" s="10">
        <v>46000</v>
      </c>
      <c r="B5628" s="3">
        <v>1136474</v>
      </c>
      <c r="C5628" s="3">
        <v>0</v>
      </c>
      <c r="D5628" s="3">
        <v>0</v>
      </c>
      <c r="E5628" s="3">
        <v>0</v>
      </c>
      <c r="F5628" s="3">
        <v>0</v>
      </c>
      <c r="G5628" s="3">
        <v>-3442.748206899967</v>
      </c>
      <c r="H5628" s="3">
        <v>0</v>
      </c>
      <c r="I5628" s="3">
        <v>0</v>
      </c>
      <c r="J5628" s="3">
        <v>0</v>
      </c>
      <c r="K5628" s="3">
        <v>0</v>
      </c>
      <c r="L5628" s="3">
        <v>0</v>
      </c>
      <c r="M5628" s="3">
        <v>0</v>
      </c>
      <c r="N5628" s="3">
        <v>0</v>
      </c>
      <c r="O5628">
        <v>1139916.7482069</v>
      </c>
      <c r="P5628">
        <v>40069791</v>
      </c>
    </row>
    <row r="5629" spans="1:16" x14ac:dyDescent="0.25">
      <c r="A5629" s="10">
        <v>46001</v>
      </c>
      <c r="B5629" s="3">
        <v>76911</v>
      </c>
      <c r="C5629" s="3">
        <v>0</v>
      </c>
      <c r="D5629" s="3">
        <v>0</v>
      </c>
      <c r="E5629" s="3">
        <v>0</v>
      </c>
      <c r="F5629" s="3">
        <v>0</v>
      </c>
      <c r="G5629" s="3">
        <v>66038.348078070208</v>
      </c>
      <c r="H5629" s="3">
        <v>0</v>
      </c>
      <c r="I5629" s="3">
        <v>0</v>
      </c>
      <c r="J5629" s="3">
        <v>0</v>
      </c>
      <c r="K5629" s="3">
        <v>0</v>
      </c>
      <c r="L5629" s="3">
        <v>0</v>
      </c>
      <c r="M5629" s="3">
        <v>0</v>
      </c>
      <c r="N5629" s="3">
        <v>0</v>
      </c>
      <c r="O5629">
        <v>10872.65192192979</v>
      </c>
      <c r="P5629">
        <v>40146702</v>
      </c>
    </row>
    <row r="5630" spans="1:16" x14ac:dyDescent="0.25">
      <c r="A5630" s="10">
        <v>46002</v>
      </c>
      <c r="B5630" s="3">
        <v>709538</v>
      </c>
      <c r="C5630" s="3">
        <v>0</v>
      </c>
      <c r="D5630" s="3">
        <v>0</v>
      </c>
      <c r="E5630" s="3">
        <v>0</v>
      </c>
      <c r="F5630" s="3">
        <v>0</v>
      </c>
      <c r="G5630" s="3">
        <v>312076.81488958979</v>
      </c>
      <c r="H5630" s="3">
        <v>0</v>
      </c>
      <c r="I5630" s="3">
        <v>0</v>
      </c>
      <c r="J5630" s="3">
        <v>0</v>
      </c>
      <c r="K5630" s="3">
        <v>0</v>
      </c>
      <c r="L5630" s="3">
        <v>0</v>
      </c>
      <c r="M5630" s="3">
        <v>0</v>
      </c>
      <c r="N5630" s="3">
        <v>0</v>
      </c>
      <c r="O5630">
        <v>397461.18511041021</v>
      </c>
      <c r="P5630">
        <v>40856240</v>
      </c>
    </row>
    <row r="5631" spans="1:16" x14ac:dyDescent="0.25">
      <c r="A5631" s="10">
        <v>46003</v>
      </c>
      <c r="B5631" s="3">
        <v>317066</v>
      </c>
      <c r="C5631" s="3">
        <v>0</v>
      </c>
      <c r="D5631" s="3">
        <v>0</v>
      </c>
      <c r="E5631" s="3">
        <v>0</v>
      </c>
      <c r="F5631" s="3">
        <v>0</v>
      </c>
      <c r="G5631" s="3">
        <v>-30713.11173431994</v>
      </c>
      <c r="H5631" s="3">
        <v>0</v>
      </c>
      <c r="I5631" s="3">
        <v>0</v>
      </c>
      <c r="J5631" s="3">
        <v>0</v>
      </c>
      <c r="K5631" s="3">
        <v>0</v>
      </c>
      <c r="L5631" s="3">
        <v>0</v>
      </c>
      <c r="M5631" s="3">
        <v>0</v>
      </c>
      <c r="N5631" s="3">
        <v>0</v>
      </c>
      <c r="O5631">
        <v>347779.11173431989</v>
      </c>
      <c r="P5631">
        <v>41173306</v>
      </c>
    </row>
    <row r="5632" spans="1:16" x14ac:dyDescent="0.25">
      <c r="A5632" s="10">
        <v>46006</v>
      </c>
      <c r="B5632" s="3">
        <v>270434</v>
      </c>
      <c r="C5632" s="3">
        <v>0</v>
      </c>
      <c r="D5632" s="3">
        <v>0</v>
      </c>
      <c r="E5632" s="3">
        <v>0</v>
      </c>
      <c r="F5632" s="3">
        <v>0</v>
      </c>
      <c r="G5632" s="3">
        <v>-223518.3315224699</v>
      </c>
      <c r="H5632" s="3">
        <v>0</v>
      </c>
      <c r="I5632" s="3">
        <v>0</v>
      </c>
      <c r="J5632" s="3">
        <v>0</v>
      </c>
      <c r="K5632" s="3">
        <v>0</v>
      </c>
      <c r="L5632" s="3">
        <v>0</v>
      </c>
      <c r="M5632" s="3">
        <v>0</v>
      </c>
      <c r="N5632" s="3">
        <v>0</v>
      </c>
      <c r="O5632">
        <v>493952.33152246987</v>
      </c>
      <c r="P5632">
        <v>41443740</v>
      </c>
    </row>
    <row r="5633" spans="1:16" x14ac:dyDescent="0.25">
      <c r="A5633" s="10">
        <v>46007</v>
      </c>
      <c r="B5633" s="3">
        <v>-675119</v>
      </c>
      <c r="C5633" s="3">
        <v>0</v>
      </c>
      <c r="D5633" s="3">
        <v>0</v>
      </c>
      <c r="E5633" s="3">
        <v>0</v>
      </c>
      <c r="F5633" s="3">
        <v>0</v>
      </c>
      <c r="G5633" s="3">
        <v>-25687.01492825989</v>
      </c>
      <c r="H5633" s="3">
        <v>0</v>
      </c>
      <c r="I5633" s="3">
        <v>0</v>
      </c>
      <c r="J5633" s="3">
        <v>0</v>
      </c>
      <c r="K5633" s="3">
        <v>0</v>
      </c>
      <c r="L5633" s="3">
        <v>0</v>
      </c>
      <c r="M5633" s="3">
        <v>0</v>
      </c>
      <c r="N5633" s="3">
        <v>0</v>
      </c>
      <c r="O5633">
        <v>-649431.98507174011</v>
      </c>
      <c r="P5633">
        <v>40768621</v>
      </c>
    </row>
    <row r="5634" spans="1:16" x14ac:dyDescent="0.25">
      <c r="A5634" s="10">
        <v>46008</v>
      </c>
      <c r="B5634" s="3">
        <v>344173</v>
      </c>
      <c r="C5634" s="3">
        <v>0</v>
      </c>
      <c r="D5634" s="3">
        <v>0</v>
      </c>
      <c r="E5634" s="3">
        <v>0</v>
      </c>
      <c r="F5634" s="3">
        <v>0</v>
      </c>
      <c r="G5634" s="3">
        <v>2227.1955738402899</v>
      </c>
      <c r="H5634" s="3">
        <v>0</v>
      </c>
      <c r="I5634" s="3">
        <v>0</v>
      </c>
      <c r="J5634" s="3">
        <v>0</v>
      </c>
      <c r="K5634" s="3">
        <v>0</v>
      </c>
      <c r="L5634" s="3">
        <v>0</v>
      </c>
      <c r="M5634" s="3">
        <v>0</v>
      </c>
      <c r="N5634" s="3">
        <v>0</v>
      </c>
      <c r="O5634">
        <v>341945.80442615971</v>
      </c>
      <c r="P5634">
        <v>41112794</v>
      </c>
    </row>
    <row r="5635" spans="1:16" x14ac:dyDescent="0.25">
      <c r="A5635" s="10">
        <v>46009</v>
      </c>
      <c r="B5635" s="3">
        <v>-140552</v>
      </c>
      <c r="C5635" s="3">
        <v>0</v>
      </c>
      <c r="D5635" s="3">
        <v>0</v>
      </c>
      <c r="E5635" s="3">
        <v>0</v>
      </c>
      <c r="F5635" s="3">
        <v>0</v>
      </c>
      <c r="G5635" s="3">
        <v>-217889.94190395021</v>
      </c>
      <c r="H5635" s="3">
        <v>0</v>
      </c>
      <c r="I5635" s="3">
        <v>0</v>
      </c>
      <c r="J5635" s="3">
        <v>0</v>
      </c>
      <c r="K5635" s="3">
        <v>0</v>
      </c>
      <c r="L5635" s="3">
        <v>0</v>
      </c>
      <c r="M5635" s="3">
        <v>0</v>
      </c>
      <c r="N5635" s="3">
        <v>0</v>
      </c>
      <c r="O5635">
        <v>77337.941903950181</v>
      </c>
      <c r="P5635">
        <v>40972242</v>
      </c>
    </row>
    <row r="5636" spans="1:16" x14ac:dyDescent="0.25">
      <c r="A5636" s="10">
        <v>46010</v>
      </c>
      <c r="B5636" s="3">
        <v>-166330</v>
      </c>
      <c r="C5636" s="3">
        <v>0</v>
      </c>
      <c r="D5636" s="3">
        <v>0</v>
      </c>
      <c r="E5636" s="3">
        <v>0</v>
      </c>
      <c r="F5636" s="3">
        <v>0</v>
      </c>
      <c r="G5636" s="3">
        <v>22182.012476160191</v>
      </c>
      <c r="H5636" s="3">
        <v>0</v>
      </c>
      <c r="I5636" s="3">
        <v>0</v>
      </c>
      <c r="J5636" s="3">
        <v>0</v>
      </c>
      <c r="K5636" s="3">
        <v>0</v>
      </c>
      <c r="L5636" s="3">
        <v>0</v>
      </c>
      <c r="M5636" s="3">
        <v>0</v>
      </c>
      <c r="N5636" s="3">
        <v>0</v>
      </c>
      <c r="O5636">
        <v>-188512.01247616019</v>
      </c>
      <c r="P5636">
        <v>40805912</v>
      </c>
    </row>
    <row r="5637" spans="1:16" x14ac:dyDescent="0.25">
      <c r="A5637" s="10">
        <v>46013</v>
      </c>
      <c r="B5637" s="3">
        <v>610932</v>
      </c>
      <c r="C5637" s="3">
        <v>0</v>
      </c>
      <c r="D5637" s="3">
        <v>0</v>
      </c>
      <c r="E5637" s="3">
        <v>0</v>
      </c>
      <c r="F5637" s="3">
        <v>0</v>
      </c>
      <c r="G5637" s="3">
        <v>-18498.287049140319</v>
      </c>
      <c r="H5637" s="3">
        <v>0</v>
      </c>
      <c r="I5637" s="3">
        <v>0</v>
      </c>
      <c r="J5637" s="3">
        <v>0</v>
      </c>
      <c r="K5637" s="3">
        <v>0</v>
      </c>
      <c r="L5637" s="3">
        <v>0</v>
      </c>
      <c r="M5637" s="3">
        <v>0</v>
      </c>
      <c r="N5637" s="3">
        <v>0</v>
      </c>
      <c r="O5637">
        <v>629430.28704914032</v>
      </c>
      <c r="P5637">
        <v>41416844</v>
      </c>
    </row>
    <row r="5638" spans="1:16" x14ac:dyDescent="0.25">
      <c r="A5638" s="10">
        <v>46014</v>
      </c>
      <c r="B5638" s="3">
        <v>436242</v>
      </c>
      <c r="C5638" s="3">
        <v>0</v>
      </c>
      <c r="D5638" s="3">
        <v>0</v>
      </c>
      <c r="E5638" s="3">
        <v>0</v>
      </c>
      <c r="F5638" s="3">
        <v>0</v>
      </c>
      <c r="G5638" s="3">
        <v>80702.301804380026</v>
      </c>
      <c r="H5638" s="3">
        <v>0</v>
      </c>
      <c r="I5638" s="3">
        <v>0</v>
      </c>
      <c r="J5638" s="3">
        <v>0</v>
      </c>
      <c r="K5638" s="3">
        <v>0</v>
      </c>
      <c r="L5638" s="3">
        <v>0</v>
      </c>
      <c r="M5638" s="3">
        <v>0</v>
      </c>
      <c r="N5638" s="3">
        <v>0</v>
      </c>
      <c r="O5638">
        <v>355539.69819561997</v>
      </c>
      <c r="P5638">
        <v>41853086</v>
      </c>
    </row>
    <row r="5639" spans="1:16" x14ac:dyDescent="0.25">
      <c r="A5639" s="10">
        <v>46017</v>
      </c>
      <c r="B5639" s="3">
        <v>639703</v>
      </c>
      <c r="C5639" s="3">
        <v>0</v>
      </c>
      <c r="D5639" s="3">
        <v>0</v>
      </c>
      <c r="E5639" s="3">
        <v>0</v>
      </c>
      <c r="F5639" s="3">
        <v>0</v>
      </c>
      <c r="G5639" s="3">
        <v>8873.9152255700901</v>
      </c>
      <c r="H5639" s="3">
        <v>0</v>
      </c>
      <c r="I5639" s="3">
        <v>0</v>
      </c>
      <c r="J5639" s="3">
        <v>0</v>
      </c>
      <c r="K5639" s="3">
        <v>0</v>
      </c>
      <c r="L5639" s="3">
        <v>0</v>
      </c>
      <c r="M5639" s="3">
        <v>0</v>
      </c>
      <c r="N5639" s="3">
        <v>0</v>
      </c>
      <c r="O5639">
        <v>630829.08477442991</v>
      </c>
      <c r="P5639">
        <v>42492789</v>
      </c>
    </row>
    <row r="5640" spans="1:16" x14ac:dyDescent="0.25">
      <c r="A5640" s="10">
        <v>46020</v>
      </c>
      <c r="B5640" s="3">
        <v>-187597</v>
      </c>
      <c r="C5640" s="3">
        <v>0</v>
      </c>
      <c r="D5640" s="3">
        <v>0</v>
      </c>
      <c r="E5640" s="3">
        <v>0</v>
      </c>
      <c r="F5640" s="3">
        <v>0</v>
      </c>
      <c r="G5640" s="3">
        <v>-838002.0600038399</v>
      </c>
      <c r="H5640" s="3">
        <v>0</v>
      </c>
      <c r="I5640" s="3">
        <v>0</v>
      </c>
      <c r="J5640" s="3">
        <v>0</v>
      </c>
      <c r="K5640" s="3">
        <v>0</v>
      </c>
      <c r="L5640" s="3">
        <v>0</v>
      </c>
      <c r="M5640" s="3">
        <v>0</v>
      </c>
      <c r="N5640" s="3">
        <v>0</v>
      </c>
      <c r="O5640">
        <v>650405.0600038399</v>
      </c>
      <c r="P5640">
        <v>42305192</v>
      </c>
    </row>
    <row r="5641" spans="1:16" x14ac:dyDescent="0.25">
      <c r="A5641" s="10">
        <v>46021</v>
      </c>
      <c r="B5641" s="3">
        <v>651773</v>
      </c>
      <c r="C5641" s="3">
        <v>0</v>
      </c>
      <c r="D5641" s="3">
        <v>0</v>
      </c>
      <c r="E5641" s="3">
        <v>0</v>
      </c>
      <c r="F5641" s="3">
        <v>0</v>
      </c>
      <c r="G5641" s="3">
        <v>-2330.9145025098701</v>
      </c>
      <c r="H5641" s="3">
        <v>0</v>
      </c>
      <c r="I5641" s="3">
        <v>0</v>
      </c>
      <c r="J5641" s="3">
        <v>0</v>
      </c>
      <c r="K5641" s="3">
        <v>0</v>
      </c>
      <c r="L5641" s="3">
        <v>0</v>
      </c>
      <c r="M5641" s="3">
        <v>0</v>
      </c>
      <c r="N5641" s="3">
        <v>0</v>
      </c>
      <c r="O5641">
        <v>654103.91450250987</v>
      </c>
      <c r="P5641">
        <v>42956965</v>
      </c>
    </row>
    <row r="5642" spans="1:16" x14ac:dyDescent="0.25">
      <c r="A5642" s="10">
        <v>46024</v>
      </c>
      <c r="B5642" s="3">
        <v>3355</v>
      </c>
      <c r="C5642" s="3">
        <v>0</v>
      </c>
      <c r="D5642" s="3">
        <v>0</v>
      </c>
      <c r="E5642" s="3">
        <v>0</v>
      </c>
      <c r="F5642" s="3">
        <v>0</v>
      </c>
      <c r="G5642" s="3">
        <v>44925.882389459759</v>
      </c>
      <c r="H5642" s="3">
        <v>0</v>
      </c>
      <c r="I5642" s="3">
        <v>0</v>
      </c>
      <c r="J5642" s="3">
        <v>0</v>
      </c>
      <c r="K5642" s="3">
        <v>0</v>
      </c>
      <c r="L5642" s="3">
        <v>0</v>
      </c>
      <c r="M5642" s="3">
        <v>0</v>
      </c>
      <c r="N5642" s="3">
        <v>0</v>
      </c>
      <c r="O5642">
        <v>-41570.882389459759</v>
      </c>
      <c r="P5642">
        <v>42960320</v>
      </c>
    </row>
    <row r="5643" spans="1:16" x14ac:dyDescent="0.25">
      <c r="A5643" s="10">
        <v>46027</v>
      </c>
      <c r="B5643" s="3">
        <v>-277273</v>
      </c>
      <c r="C5643" s="3">
        <v>30562.5</v>
      </c>
      <c r="D5643" s="3">
        <v>0</v>
      </c>
      <c r="E5643" s="3">
        <v>0</v>
      </c>
      <c r="F5643" s="3">
        <v>0</v>
      </c>
      <c r="G5643" s="3">
        <v>748.03735447023064</v>
      </c>
      <c r="H5643" s="3">
        <v>0</v>
      </c>
      <c r="I5643" s="3">
        <v>0</v>
      </c>
      <c r="J5643" s="3">
        <v>0</v>
      </c>
      <c r="K5643" s="3">
        <v>0</v>
      </c>
      <c r="L5643" s="3">
        <v>0</v>
      </c>
      <c r="M5643" s="3">
        <v>0</v>
      </c>
      <c r="N5643" s="3">
        <v>0</v>
      </c>
      <c r="O5643">
        <v>-308583.53735447017</v>
      </c>
      <c r="P5643">
        <v>42683047</v>
      </c>
    </row>
    <row r="5644" spans="1:16" x14ac:dyDescent="0.25">
      <c r="A5644" s="10">
        <v>46028</v>
      </c>
      <c r="B5644" s="3">
        <v>-252</v>
      </c>
      <c r="C5644" s="3">
        <v>122588</v>
      </c>
      <c r="D5644" s="3">
        <v>0</v>
      </c>
      <c r="E5644" s="3">
        <v>0</v>
      </c>
      <c r="F5644" s="3">
        <v>0</v>
      </c>
      <c r="G5644" s="3">
        <v>-2414944.8675520909</v>
      </c>
      <c r="H5644" s="3">
        <v>0</v>
      </c>
      <c r="I5644" s="3">
        <v>0</v>
      </c>
      <c r="J5644" s="3">
        <v>0</v>
      </c>
      <c r="K5644" s="3">
        <v>0</v>
      </c>
      <c r="L5644" s="3">
        <v>0</v>
      </c>
      <c r="M5644" s="3">
        <v>0</v>
      </c>
      <c r="N5644" s="3">
        <v>0</v>
      </c>
      <c r="O5644">
        <v>2292104.8675520909</v>
      </c>
      <c r="P5644">
        <v>42682795</v>
      </c>
    </row>
    <row r="5645" spans="1:16" x14ac:dyDescent="0.25">
      <c r="A5645" s="10">
        <v>46029</v>
      </c>
      <c r="B5645" s="3">
        <v>484357</v>
      </c>
      <c r="C5645" s="3">
        <v>13145</v>
      </c>
      <c r="D5645" s="3">
        <v>-3400000</v>
      </c>
      <c r="E5645" s="3">
        <v>0</v>
      </c>
      <c r="F5645" s="3">
        <v>0</v>
      </c>
      <c r="G5645" s="3">
        <v>3399622.105504781</v>
      </c>
      <c r="H5645" s="3">
        <v>0</v>
      </c>
      <c r="I5645" s="3">
        <v>0</v>
      </c>
      <c r="J5645" s="3">
        <v>0</v>
      </c>
      <c r="K5645" s="3">
        <v>0</v>
      </c>
      <c r="L5645" s="3">
        <v>0</v>
      </c>
      <c r="M5645" s="3">
        <v>0</v>
      </c>
      <c r="N5645" s="3">
        <v>0</v>
      </c>
      <c r="O5645">
        <v>471589.89449521899</v>
      </c>
      <c r="P5645">
        <v>43167152</v>
      </c>
    </row>
    <row r="5646" spans="1:16" x14ac:dyDescent="0.25">
      <c r="A5646" s="10">
        <v>46030</v>
      </c>
      <c r="B5646" s="3">
        <v>104850</v>
      </c>
      <c r="C5646" s="3">
        <v>90515</v>
      </c>
      <c r="D5646" s="3">
        <v>0</v>
      </c>
      <c r="E5646" s="3">
        <v>0</v>
      </c>
      <c r="F5646" s="3">
        <v>0</v>
      </c>
      <c r="G5646" s="3">
        <v>-588.54529970999999</v>
      </c>
      <c r="H5646" s="3">
        <v>0</v>
      </c>
      <c r="I5646" s="3">
        <v>0</v>
      </c>
      <c r="J5646" s="3">
        <v>0</v>
      </c>
      <c r="K5646" s="3">
        <v>0</v>
      </c>
      <c r="L5646" s="3">
        <v>0</v>
      </c>
      <c r="M5646" s="3">
        <v>0</v>
      </c>
      <c r="N5646" s="3">
        <v>0</v>
      </c>
      <c r="O5646">
        <v>14923.545299709989</v>
      </c>
      <c r="P5646">
        <v>43272002</v>
      </c>
    </row>
    <row r="5647" spans="1:16" x14ac:dyDescent="0.25">
      <c r="A5647" s="10">
        <v>46031</v>
      </c>
      <c r="B5647" s="3">
        <v>-376730</v>
      </c>
      <c r="C5647" s="3">
        <v>62390</v>
      </c>
      <c r="D5647" s="3">
        <v>0</v>
      </c>
      <c r="E5647" s="3">
        <v>0</v>
      </c>
      <c r="F5647" s="3">
        <v>0</v>
      </c>
      <c r="G5647" s="3">
        <v>-387.40049825003371</v>
      </c>
      <c r="H5647" s="3">
        <v>0</v>
      </c>
      <c r="I5647" s="3">
        <v>0</v>
      </c>
      <c r="J5647" s="3">
        <v>0</v>
      </c>
      <c r="K5647" s="3">
        <v>0</v>
      </c>
      <c r="L5647" s="3">
        <v>0</v>
      </c>
      <c r="M5647" s="3">
        <v>0</v>
      </c>
      <c r="N5647" s="3">
        <v>0</v>
      </c>
      <c r="O5647">
        <v>-438732.59950175002</v>
      </c>
      <c r="P5647">
        <v>42895272</v>
      </c>
    </row>
    <row r="5648" spans="1:16" x14ac:dyDescent="0.25">
      <c r="A5648" s="10">
        <v>46034</v>
      </c>
      <c r="B5648" s="3">
        <v>43074</v>
      </c>
      <c r="C5648" s="3">
        <v>80685</v>
      </c>
      <c r="D5648" s="3">
        <v>0</v>
      </c>
      <c r="E5648" s="3">
        <v>0</v>
      </c>
      <c r="F5648" s="3">
        <v>0</v>
      </c>
      <c r="G5648" s="3">
        <v>-307.69903378002351</v>
      </c>
      <c r="H5648" s="3">
        <v>0</v>
      </c>
      <c r="I5648" s="3">
        <v>0</v>
      </c>
      <c r="J5648" s="3">
        <v>0</v>
      </c>
      <c r="K5648" s="3">
        <v>0</v>
      </c>
      <c r="L5648" s="3">
        <v>0</v>
      </c>
      <c r="M5648" s="3">
        <v>0</v>
      </c>
      <c r="N5648" s="3">
        <v>0</v>
      </c>
      <c r="O5648">
        <v>-37303.300966219977</v>
      </c>
      <c r="P5648">
        <v>42938346</v>
      </c>
    </row>
    <row r="5649" spans="1:16" x14ac:dyDescent="0.25">
      <c r="A5649" s="10">
        <v>46035</v>
      </c>
      <c r="B5649" s="3">
        <v>407664</v>
      </c>
      <c r="C5649" s="3">
        <v>81004.600000000006</v>
      </c>
      <c r="D5649" s="3">
        <v>0</v>
      </c>
      <c r="E5649" s="3">
        <v>0</v>
      </c>
      <c r="F5649" s="3">
        <v>0</v>
      </c>
      <c r="G5649" s="3">
        <v>-126.98783541982991</v>
      </c>
      <c r="H5649" s="3">
        <v>0</v>
      </c>
      <c r="I5649" s="3">
        <v>0</v>
      </c>
      <c r="J5649" s="3">
        <v>0</v>
      </c>
      <c r="K5649" s="3">
        <v>0</v>
      </c>
      <c r="L5649" s="3">
        <v>0</v>
      </c>
      <c r="M5649" s="3">
        <v>0</v>
      </c>
      <c r="N5649" s="3">
        <v>0</v>
      </c>
      <c r="O5649">
        <v>326786.38783541991</v>
      </c>
      <c r="P5649">
        <v>43346010</v>
      </c>
    </row>
    <row r="5650" spans="1:16" x14ac:dyDescent="0.25">
      <c r="A5650" s="10">
        <v>46036</v>
      </c>
      <c r="B5650" s="3">
        <v>457258</v>
      </c>
      <c r="C5650" s="3">
        <v>273000</v>
      </c>
      <c r="D5650" s="3">
        <v>-230000</v>
      </c>
      <c r="E5650" s="3">
        <v>0</v>
      </c>
      <c r="F5650" s="3">
        <v>0</v>
      </c>
      <c r="G5650" s="3">
        <v>229302.5650997702</v>
      </c>
      <c r="H5650" s="3">
        <v>0</v>
      </c>
      <c r="I5650" s="3">
        <v>0</v>
      </c>
      <c r="J5650" s="3">
        <v>0</v>
      </c>
      <c r="K5650" s="3">
        <v>0</v>
      </c>
      <c r="L5650" s="3">
        <v>0</v>
      </c>
      <c r="M5650" s="3">
        <v>0</v>
      </c>
      <c r="N5650" s="3">
        <v>0</v>
      </c>
      <c r="O5650">
        <v>184955.4349002298</v>
      </c>
      <c r="P5650">
        <v>43803268</v>
      </c>
    </row>
    <row r="5651" spans="1:16" x14ac:dyDescent="0.25">
      <c r="A5651" s="10">
        <v>46037</v>
      </c>
      <c r="B5651" s="3">
        <v>-101809</v>
      </c>
      <c r="C5651" s="3">
        <v>67847</v>
      </c>
      <c r="D5651" s="3">
        <v>0</v>
      </c>
      <c r="E5651" s="3">
        <v>0</v>
      </c>
      <c r="F5651" s="3">
        <v>0</v>
      </c>
      <c r="G5651" s="3">
        <v>-517.83295676</v>
      </c>
      <c r="H5651" s="3">
        <v>0</v>
      </c>
      <c r="I5651" s="3">
        <v>0</v>
      </c>
      <c r="J5651" s="3">
        <v>0</v>
      </c>
      <c r="K5651" s="3">
        <v>0</v>
      </c>
      <c r="L5651" s="3">
        <v>0</v>
      </c>
      <c r="M5651" s="3">
        <v>0</v>
      </c>
      <c r="N5651" s="3">
        <v>0</v>
      </c>
      <c r="O5651">
        <v>-169138.16704324001</v>
      </c>
      <c r="P5651">
        <v>43701459</v>
      </c>
    </row>
    <row r="5652" spans="1:16" x14ac:dyDescent="0.25">
      <c r="A5652" s="10">
        <v>46038</v>
      </c>
      <c r="B5652" s="3">
        <v>400655</v>
      </c>
      <c r="C5652" s="3">
        <v>179165</v>
      </c>
      <c r="D5652" s="3">
        <v>0</v>
      </c>
      <c r="E5652" s="3">
        <v>0</v>
      </c>
      <c r="F5652" s="3">
        <v>0</v>
      </c>
      <c r="G5652" s="3">
        <v>195190.64573011029</v>
      </c>
      <c r="H5652" s="3">
        <v>0</v>
      </c>
      <c r="I5652" s="3">
        <v>0</v>
      </c>
      <c r="J5652" s="3">
        <v>0</v>
      </c>
      <c r="K5652" s="3">
        <v>0</v>
      </c>
      <c r="L5652" s="3">
        <v>0</v>
      </c>
      <c r="M5652" s="3">
        <v>0</v>
      </c>
      <c r="N5652" s="3">
        <v>0</v>
      </c>
      <c r="O5652">
        <v>26299.354269889769</v>
      </c>
      <c r="P5652">
        <v>44102114</v>
      </c>
    </row>
    <row r="5653" spans="1:16" x14ac:dyDescent="0.25">
      <c r="A5653" s="10">
        <v>46041</v>
      </c>
      <c r="B5653" s="3">
        <v>-51913</v>
      </c>
      <c r="C5653" s="3">
        <v>29981.05</v>
      </c>
      <c r="D5653" s="3">
        <v>-400000</v>
      </c>
      <c r="E5653" s="3">
        <v>0</v>
      </c>
      <c r="F5653" s="3">
        <v>0</v>
      </c>
      <c r="G5653" s="3">
        <v>390192.05677254958</v>
      </c>
      <c r="H5653" s="3">
        <v>0</v>
      </c>
      <c r="I5653" s="3">
        <v>0</v>
      </c>
      <c r="J5653" s="3">
        <v>0</v>
      </c>
      <c r="K5653" s="3">
        <v>0</v>
      </c>
      <c r="L5653" s="3">
        <v>0</v>
      </c>
      <c r="M5653" s="3">
        <v>0</v>
      </c>
      <c r="N5653" s="3">
        <v>0</v>
      </c>
      <c r="O5653">
        <v>-72086.106772549625</v>
      </c>
      <c r="P5653">
        <v>44050201</v>
      </c>
    </row>
    <row r="5654" spans="1:16" x14ac:dyDescent="0.25">
      <c r="A5654" s="10">
        <v>46042</v>
      </c>
      <c r="B5654" s="3">
        <v>-9469</v>
      </c>
      <c r="C5654" s="3">
        <v>11480</v>
      </c>
      <c r="D5654" s="3">
        <v>0</v>
      </c>
      <c r="E5654" s="3">
        <v>0</v>
      </c>
      <c r="F5654" s="3">
        <v>0</v>
      </c>
      <c r="G5654" s="3">
        <v>14314.151652660221</v>
      </c>
      <c r="H5654" s="3">
        <v>0</v>
      </c>
      <c r="I5654" s="3">
        <v>0</v>
      </c>
      <c r="J5654" s="3">
        <v>0</v>
      </c>
      <c r="K5654" s="3">
        <v>0</v>
      </c>
      <c r="L5654" s="3">
        <v>0</v>
      </c>
      <c r="M5654" s="3">
        <v>0</v>
      </c>
      <c r="N5654" s="3">
        <v>0</v>
      </c>
      <c r="O5654">
        <v>-35263.151652660221</v>
      </c>
      <c r="P5654">
        <v>44040732</v>
      </c>
    </row>
    <row r="5655" spans="1:16" x14ac:dyDescent="0.25">
      <c r="A5655" s="10">
        <v>46043</v>
      </c>
      <c r="B5655" s="3">
        <v>225074</v>
      </c>
      <c r="C5655" s="3">
        <v>152947.5</v>
      </c>
      <c r="D5655" s="3">
        <v>0</v>
      </c>
      <c r="E5655" s="3">
        <v>0</v>
      </c>
      <c r="F5655" s="3">
        <v>0</v>
      </c>
      <c r="G5655" s="3">
        <v>-626.55600465000009</v>
      </c>
      <c r="H5655" s="3">
        <v>0</v>
      </c>
      <c r="I5655" s="3">
        <v>0</v>
      </c>
      <c r="J5655" s="3">
        <v>0</v>
      </c>
      <c r="K5655" s="3">
        <v>0</v>
      </c>
      <c r="L5655" s="3">
        <v>0</v>
      </c>
      <c r="M5655" s="3">
        <v>0</v>
      </c>
      <c r="N5655" s="3">
        <v>0</v>
      </c>
      <c r="O5655">
        <v>72753.056004649989</v>
      </c>
      <c r="P5655">
        <v>44265806</v>
      </c>
    </row>
    <row r="5656" spans="1:16" x14ac:dyDescent="0.25">
      <c r="A5656" s="10">
        <v>46044</v>
      </c>
      <c r="B5656" s="3">
        <v>-3408</v>
      </c>
      <c r="C5656" s="3">
        <v>114872.75</v>
      </c>
      <c r="D5656" s="3">
        <v>0</v>
      </c>
      <c r="E5656" s="3">
        <v>0</v>
      </c>
      <c r="F5656" s="3">
        <v>0</v>
      </c>
      <c r="G5656" s="3">
        <v>65.970075540000039</v>
      </c>
      <c r="H5656" s="3">
        <v>0</v>
      </c>
      <c r="I5656" s="3">
        <v>0</v>
      </c>
      <c r="J5656" s="3">
        <v>0</v>
      </c>
      <c r="K5656" s="3">
        <v>0</v>
      </c>
      <c r="L5656" s="3">
        <v>0</v>
      </c>
      <c r="M5656" s="3">
        <v>0</v>
      </c>
      <c r="N5656" s="3">
        <v>0</v>
      </c>
      <c r="O5656">
        <v>-118346.72007554</v>
      </c>
      <c r="P5656">
        <v>44262398</v>
      </c>
    </row>
    <row r="5657" spans="1:16" x14ac:dyDescent="0.25">
      <c r="A5657" s="10">
        <v>46045</v>
      </c>
      <c r="B5657" s="3">
        <v>-8058</v>
      </c>
      <c r="C5657" s="3">
        <v>107320</v>
      </c>
      <c r="D5657" s="3">
        <v>0</v>
      </c>
      <c r="E5657" s="3">
        <v>0</v>
      </c>
      <c r="F5657" s="3">
        <v>0</v>
      </c>
      <c r="G5657" s="3">
        <v>-575.59805310005322</v>
      </c>
      <c r="H5657" s="3">
        <v>0</v>
      </c>
      <c r="I5657" s="3">
        <v>0</v>
      </c>
      <c r="J5657" s="3">
        <v>0</v>
      </c>
      <c r="K5657" s="3">
        <v>0</v>
      </c>
      <c r="L5657" s="3">
        <v>0</v>
      </c>
      <c r="M5657" s="3">
        <v>0</v>
      </c>
      <c r="N5657" s="3">
        <v>0</v>
      </c>
      <c r="O5657">
        <v>-114802.4019468999</v>
      </c>
      <c r="P5657">
        <v>44254340</v>
      </c>
    </row>
    <row r="5658" spans="1:16" x14ac:dyDescent="0.25">
      <c r="A5658" s="10">
        <v>46048</v>
      </c>
      <c r="B5658" s="3">
        <v>-889665</v>
      </c>
      <c r="C5658" s="3">
        <v>56091</v>
      </c>
      <c r="D5658" s="3">
        <v>0</v>
      </c>
      <c r="E5658" s="3">
        <v>0</v>
      </c>
      <c r="F5658" s="3">
        <v>0</v>
      </c>
      <c r="G5658" s="3">
        <v>-165.28050812985751</v>
      </c>
      <c r="H5658" s="3">
        <v>0</v>
      </c>
      <c r="I5658" s="3">
        <v>0</v>
      </c>
      <c r="J5658" s="3">
        <v>0</v>
      </c>
      <c r="K5658" s="3">
        <v>0</v>
      </c>
      <c r="L5658" s="3">
        <v>0</v>
      </c>
      <c r="M5658" s="3">
        <v>0</v>
      </c>
      <c r="N5658" s="3">
        <v>0</v>
      </c>
      <c r="O5658">
        <v>-945590.71949187014</v>
      </c>
      <c r="P5658">
        <v>43364675</v>
      </c>
    </row>
    <row r="5659" spans="1:16" x14ac:dyDescent="0.25">
      <c r="A5659" s="10">
        <v>46049</v>
      </c>
      <c r="B5659" s="3">
        <v>-1483712</v>
      </c>
      <c r="C5659" s="3">
        <v>46154</v>
      </c>
      <c r="D5659" s="3">
        <v>0</v>
      </c>
      <c r="E5659" s="3">
        <v>0</v>
      </c>
      <c r="F5659" s="3">
        <v>0</v>
      </c>
      <c r="G5659" s="3">
        <v>-439.54576173983509</v>
      </c>
      <c r="H5659" s="3">
        <v>0</v>
      </c>
      <c r="I5659" s="3">
        <v>0</v>
      </c>
      <c r="J5659" s="3">
        <v>0</v>
      </c>
      <c r="K5659" s="3">
        <v>0</v>
      </c>
      <c r="L5659" s="3">
        <v>0</v>
      </c>
      <c r="M5659" s="3">
        <v>0</v>
      </c>
      <c r="N5659" s="3">
        <v>0</v>
      </c>
      <c r="O5659">
        <v>-1529426.4542382599</v>
      </c>
      <c r="P5659">
        <v>41880963</v>
      </c>
    </row>
    <row r="5660" spans="1:16" x14ac:dyDescent="0.25">
      <c r="A5660" s="10">
        <v>46050</v>
      </c>
      <c r="B5660" s="3">
        <v>-228203</v>
      </c>
      <c r="C5660" s="3">
        <v>47469</v>
      </c>
      <c r="D5660" s="3">
        <v>0</v>
      </c>
      <c r="E5660" s="3">
        <v>0</v>
      </c>
      <c r="F5660" s="3">
        <v>0</v>
      </c>
      <c r="G5660" s="3">
        <v>15691.07687222958</v>
      </c>
      <c r="H5660" s="3">
        <v>0</v>
      </c>
      <c r="I5660" s="3">
        <v>0</v>
      </c>
      <c r="J5660" s="3">
        <v>0</v>
      </c>
      <c r="K5660" s="3">
        <v>0</v>
      </c>
      <c r="L5660" s="3">
        <v>0</v>
      </c>
      <c r="M5660" s="3">
        <v>0</v>
      </c>
      <c r="N5660" s="3">
        <v>0</v>
      </c>
      <c r="O5660">
        <v>-291363.07687222958</v>
      </c>
      <c r="P5660">
        <v>41652760</v>
      </c>
    </row>
    <row r="5661" spans="1:16" x14ac:dyDescent="0.25">
      <c r="A5661" s="10">
        <v>46051</v>
      </c>
      <c r="B5661" s="3">
        <v>1119853</v>
      </c>
      <c r="C5661" s="3">
        <v>75865</v>
      </c>
      <c r="D5661" s="3">
        <v>0</v>
      </c>
      <c r="E5661" s="3">
        <v>0</v>
      </c>
      <c r="F5661" s="3">
        <v>0</v>
      </c>
      <c r="G5661" s="3">
        <v>-354.31284663999998</v>
      </c>
      <c r="H5661" s="3">
        <v>0</v>
      </c>
      <c r="I5661" s="3">
        <v>0</v>
      </c>
      <c r="J5661" s="3">
        <v>0</v>
      </c>
      <c r="K5661" s="3">
        <v>0</v>
      </c>
      <c r="L5661" s="3">
        <v>0</v>
      </c>
      <c r="M5661" s="3">
        <v>0</v>
      </c>
      <c r="N5661" s="3">
        <v>0</v>
      </c>
      <c r="O5661">
        <v>1044342.31284664</v>
      </c>
      <c r="P5661">
        <v>42772613</v>
      </c>
    </row>
    <row r="5662" spans="1:16" x14ac:dyDescent="0.25">
      <c r="A5662" s="10">
        <v>46052</v>
      </c>
      <c r="B5662" s="3">
        <v>39730</v>
      </c>
      <c r="C5662" s="3">
        <v>33288.5</v>
      </c>
      <c r="D5662" s="3">
        <v>0</v>
      </c>
      <c r="E5662" s="3">
        <v>0</v>
      </c>
      <c r="F5662" s="3">
        <v>0</v>
      </c>
      <c r="G5662" s="3">
        <v>-2014648.747939059</v>
      </c>
      <c r="H5662" s="3">
        <v>0</v>
      </c>
      <c r="I5662" s="3">
        <v>0</v>
      </c>
      <c r="J5662" s="3">
        <v>0</v>
      </c>
      <c r="K5662" s="3">
        <v>0</v>
      </c>
      <c r="L5662" s="3">
        <v>0</v>
      </c>
      <c r="M5662" s="3">
        <v>0</v>
      </c>
      <c r="N5662" s="3">
        <v>0</v>
      </c>
      <c r="O5662">
        <v>2021090.247939059</v>
      </c>
      <c r="P5662">
        <v>42812343</v>
      </c>
    </row>
    <row r="5663" spans="1:16" x14ac:dyDescent="0.25">
      <c r="A5663" s="10">
        <v>46055</v>
      </c>
      <c r="B5663" s="3">
        <v>-762043</v>
      </c>
      <c r="C5663" s="3">
        <v>56647.5</v>
      </c>
      <c r="D5663" s="3">
        <v>0</v>
      </c>
      <c r="E5663" s="3">
        <v>0</v>
      </c>
      <c r="F5663" s="3">
        <v>0</v>
      </c>
      <c r="G5663" s="3">
        <v>227.2273052288219</v>
      </c>
      <c r="H5663" s="3">
        <v>0</v>
      </c>
      <c r="I5663" s="3">
        <v>0</v>
      </c>
      <c r="J5663" s="3">
        <v>0</v>
      </c>
      <c r="K5663" s="3">
        <v>0</v>
      </c>
      <c r="L5663" s="3">
        <v>0</v>
      </c>
      <c r="M5663" s="3">
        <v>0</v>
      </c>
      <c r="N5663" s="3">
        <v>0</v>
      </c>
      <c r="O5663">
        <v>-818917.72730522882</v>
      </c>
      <c r="P5663">
        <v>42050300</v>
      </c>
    </row>
    <row r="5664" spans="1:16" x14ac:dyDescent="0.25">
      <c r="A5664" s="10">
        <v>46056</v>
      </c>
      <c r="B5664" s="3">
        <v>-154002</v>
      </c>
      <c r="C5664" s="3">
        <v>82500</v>
      </c>
      <c r="D5664" s="3">
        <v>0</v>
      </c>
      <c r="E5664" s="3">
        <v>0</v>
      </c>
      <c r="F5664" s="3">
        <v>0</v>
      </c>
      <c r="G5664" s="3">
        <v>-319.98315158000003</v>
      </c>
      <c r="H5664" s="3">
        <v>0</v>
      </c>
      <c r="I5664" s="3">
        <v>0</v>
      </c>
      <c r="J5664" s="3">
        <v>0</v>
      </c>
      <c r="K5664" s="3">
        <v>0</v>
      </c>
      <c r="L5664" s="3">
        <v>0</v>
      </c>
      <c r="M5664" s="3">
        <v>0</v>
      </c>
      <c r="N5664" s="3">
        <v>0</v>
      </c>
      <c r="O5664">
        <v>-236182.01684842</v>
      </c>
      <c r="P5664">
        <v>41896298</v>
      </c>
    </row>
    <row r="5665" spans="1:16" x14ac:dyDescent="0.25">
      <c r="A5665" s="10">
        <v>46057</v>
      </c>
      <c r="B5665" s="3">
        <v>-83987</v>
      </c>
      <c r="C5665" s="3">
        <v>63696.5</v>
      </c>
      <c r="D5665" s="3">
        <v>0</v>
      </c>
      <c r="E5665" s="3">
        <v>0</v>
      </c>
      <c r="F5665" s="3">
        <v>0</v>
      </c>
      <c r="G5665" s="3">
        <v>-232.77962590000001</v>
      </c>
      <c r="H5665" s="3">
        <v>0</v>
      </c>
      <c r="I5665" s="3">
        <v>0</v>
      </c>
      <c r="J5665" s="3">
        <v>0</v>
      </c>
      <c r="K5665" s="3">
        <v>0</v>
      </c>
      <c r="L5665" s="3">
        <v>0</v>
      </c>
      <c r="M5665" s="3">
        <v>0</v>
      </c>
      <c r="N5665" s="3">
        <v>0</v>
      </c>
      <c r="O5665">
        <v>-147450.7203741</v>
      </c>
      <c r="P5665">
        <v>41812311</v>
      </c>
    </row>
    <row r="5666" spans="1:16" x14ac:dyDescent="0.25">
      <c r="A5666" s="10">
        <v>46058</v>
      </c>
      <c r="B5666" s="3">
        <v>310606</v>
      </c>
      <c r="C5666" s="3">
        <v>182106</v>
      </c>
      <c r="D5666" s="3">
        <v>-1137913.5511346899</v>
      </c>
      <c r="E5666" s="3">
        <v>0</v>
      </c>
      <c r="F5666" s="3">
        <v>0</v>
      </c>
      <c r="G5666" s="3">
        <v>1137713.974478411</v>
      </c>
      <c r="H5666" s="3">
        <v>0</v>
      </c>
      <c r="I5666" s="3">
        <v>0</v>
      </c>
      <c r="J5666" s="3">
        <v>0</v>
      </c>
      <c r="K5666" s="3">
        <v>0</v>
      </c>
      <c r="L5666" s="3">
        <v>0</v>
      </c>
      <c r="M5666" s="3">
        <v>0</v>
      </c>
      <c r="N5666" s="3">
        <v>0</v>
      </c>
      <c r="O5666">
        <v>128699.5766562794</v>
      </c>
      <c r="P5666">
        <v>42122917</v>
      </c>
    </row>
    <row r="5667" spans="1:16" x14ac:dyDescent="0.25">
      <c r="A5667" s="10">
        <v>46059</v>
      </c>
      <c r="B5667" s="3">
        <v>-182105</v>
      </c>
      <c r="C5667" s="3">
        <v>72937.5</v>
      </c>
      <c r="D5667" s="3">
        <v>0</v>
      </c>
      <c r="E5667" s="3">
        <v>0</v>
      </c>
      <c r="F5667" s="3">
        <v>0</v>
      </c>
      <c r="G5667" s="3">
        <v>-188.2657954799943</v>
      </c>
      <c r="H5667" s="3">
        <v>0</v>
      </c>
      <c r="I5667" s="3">
        <v>0</v>
      </c>
      <c r="J5667" s="3">
        <v>0</v>
      </c>
      <c r="K5667" s="3">
        <v>0</v>
      </c>
      <c r="L5667" s="3">
        <v>0</v>
      </c>
      <c r="M5667" s="3">
        <v>0</v>
      </c>
      <c r="N5667" s="3">
        <v>0</v>
      </c>
      <c r="O5667">
        <v>-254854.23420452001</v>
      </c>
      <c r="P5667">
        <v>41940812</v>
      </c>
    </row>
    <row r="5668" spans="1:16" x14ac:dyDescent="0.25">
      <c r="A5668" s="10">
        <v>46062</v>
      </c>
      <c r="B5668" s="3">
        <v>52169</v>
      </c>
      <c r="C5668" s="3">
        <v>250495</v>
      </c>
      <c r="D5668" s="3">
        <v>0</v>
      </c>
      <c r="E5668" s="3">
        <v>0</v>
      </c>
      <c r="F5668" s="3">
        <v>0</v>
      </c>
      <c r="G5668" s="3">
        <v>-174.34694898000001</v>
      </c>
      <c r="H5668" s="3">
        <v>0</v>
      </c>
      <c r="I5668" s="3">
        <v>0</v>
      </c>
      <c r="J5668" s="3">
        <v>0</v>
      </c>
      <c r="K5668" s="3">
        <v>0</v>
      </c>
      <c r="L5668" s="3">
        <v>0</v>
      </c>
      <c r="M5668" s="3">
        <v>0</v>
      </c>
      <c r="N5668" s="3">
        <v>0</v>
      </c>
      <c r="O5668">
        <v>-198151.65305102</v>
      </c>
      <c r="P5668">
        <v>41992981</v>
      </c>
    </row>
    <row r="5669" spans="1:16" x14ac:dyDescent="0.25">
      <c r="A5669" s="10">
        <v>46063</v>
      </c>
      <c r="B5669" s="3">
        <v>184103</v>
      </c>
      <c r="C5669" s="3">
        <v>58990</v>
      </c>
      <c r="D5669" s="3">
        <v>0</v>
      </c>
      <c r="E5669" s="3">
        <v>0</v>
      </c>
      <c r="F5669" s="3">
        <v>0</v>
      </c>
      <c r="G5669" s="3">
        <v>-232.09336948999999</v>
      </c>
      <c r="H5669" s="3">
        <v>0</v>
      </c>
      <c r="I5669" s="3">
        <v>0</v>
      </c>
      <c r="J5669" s="3">
        <v>0</v>
      </c>
      <c r="K5669" s="3">
        <v>0</v>
      </c>
      <c r="L5669" s="3">
        <v>0</v>
      </c>
      <c r="M5669" s="3">
        <v>0</v>
      </c>
      <c r="N5669" s="3">
        <v>0</v>
      </c>
      <c r="O5669">
        <v>125345.09336949</v>
      </c>
      <c r="P5669">
        <v>42177084</v>
      </c>
    </row>
    <row r="5670" spans="1:16" x14ac:dyDescent="0.25">
      <c r="A5670" s="10">
        <v>46064</v>
      </c>
      <c r="B5670" s="3">
        <v>8302</v>
      </c>
      <c r="C5670" s="3">
        <v>300186</v>
      </c>
      <c r="D5670" s="3">
        <v>0</v>
      </c>
      <c r="E5670" s="3">
        <v>0</v>
      </c>
      <c r="F5670" s="3">
        <v>0</v>
      </c>
      <c r="G5670" s="3">
        <v>-464.7028370400094</v>
      </c>
      <c r="H5670" s="3">
        <v>0</v>
      </c>
      <c r="I5670" s="3">
        <v>0</v>
      </c>
      <c r="J5670" s="3">
        <v>0</v>
      </c>
      <c r="K5670" s="3">
        <v>0</v>
      </c>
      <c r="L5670" s="3">
        <v>0</v>
      </c>
      <c r="M5670" s="3">
        <v>0</v>
      </c>
      <c r="N5670" s="3">
        <v>0</v>
      </c>
      <c r="O5670">
        <v>-291419.29716295999</v>
      </c>
      <c r="P5670">
        <v>42185386</v>
      </c>
    </row>
    <row r="5671" spans="1:16" x14ac:dyDescent="0.25">
      <c r="A5671" s="10">
        <v>46065</v>
      </c>
      <c r="B5671" s="3">
        <v>276203</v>
      </c>
      <c r="C5671" s="3">
        <v>196272.5</v>
      </c>
      <c r="D5671" s="3">
        <v>0</v>
      </c>
      <c r="E5671" s="3">
        <v>0</v>
      </c>
      <c r="F5671" s="3">
        <v>0</v>
      </c>
      <c r="G5671" s="3">
        <v>-232.90305683008759</v>
      </c>
      <c r="H5671" s="3">
        <v>0</v>
      </c>
      <c r="I5671" s="3">
        <v>0</v>
      </c>
      <c r="J5671" s="3">
        <v>0</v>
      </c>
      <c r="K5671" s="3">
        <v>0</v>
      </c>
      <c r="L5671" s="3">
        <v>0</v>
      </c>
      <c r="M5671" s="3">
        <v>0</v>
      </c>
      <c r="N5671" s="3">
        <v>0</v>
      </c>
      <c r="O5671">
        <v>80163.40305683008</v>
      </c>
      <c r="P5671">
        <v>42461589</v>
      </c>
    </row>
    <row r="5672" spans="1:16" x14ac:dyDescent="0.25">
      <c r="A5672" s="10">
        <v>46066</v>
      </c>
      <c r="B5672" s="3">
        <v>-1505086</v>
      </c>
      <c r="C5672" s="3">
        <v>58002.6</v>
      </c>
      <c r="D5672" s="3">
        <v>0</v>
      </c>
      <c r="E5672" s="3">
        <v>0</v>
      </c>
      <c r="F5672" s="3">
        <v>0</v>
      </c>
      <c r="G5672" s="3">
        <v>-1710369.1912631011</v>
      </c>
      <c r="H5672" s="3">
        <v>0</v>
      </c>
      <c r="I5672" s="3">
        <v>0</v>
      </c>
      <c r="J5672" s="3">
        <v>0</v>
      </c>
      <c r="K5672" s="3">
        <v>0</v>
      </c>
      <c r="L5672" s="3">
        <v>0</v>
      </c>
      <c r="M5672" s="3">
        <v>0</v>
      </c>
      <c r="N5672" s="3">
        <v>0</v>
      </c>
      <c r="O5672">
        <v>147280.5912631005</v>
      </c>
      <c r="P5672">
        <v>40956503</v>
      </c>
    </row>
    <row r="5673" spans="1:16" x14ac:dyDescent="0.25">
      <c r="A5673" s="10">
        <v>46071</v>
      </c>
      <c r="B5673" s="3">
        <v>29922</v>
      </c>
      <c r="C5673" s="3">
        <v>112185</v>
      </c>
      <c r="D5673" s="3">
        <v>0</v>
      </c>
      <c r="E5673" s="3">
        <v>0</v>
      </c>
      <c r="F5673" s="3">
        <v>0</v>
      </c>
      <c r="G5673" s="3">
        <v>-14718.493440459481</v>
      </c>
      <c r="H5673" s="3">
        <v>0</v>
      </c>
      <c r="I5673" s="3">
        <v>0</v>
      </c>
      <c r="J5673" s="3">
        <v>0</v>
      </c>
      <c r="K5673" s="3">
        <v>0</v>
      </c>
      <c r="L5673" s="3">
        <v>0</v>
      </c>
      <c r="M5673" s="3">
        <v>0</v>
      </c>
      <c r="N5673" s="3">
        <v>0</v>
      </c>
      <c r="O5673">
        <v>-67544.506559540518</v>
      </c>
      <c r="P5673">
        <v>40986425</v>
      </c>
    </row>
    <row r="5674" spans="1:16" x14ac:dyDescent="0.25">
      <c r="A5674" s="10">
        <v>46072</v>
      </c>
      <c r="B5674" s="3">
        <v>896035</v>
      </c>
      <c r="C5674" s="3">
        <v>105915.5</v>
      </c>
      <c r="D5674" s="3">
        <v>0</v>
      </c>
      <c r="E5674" s="3">
        <v>0</v>
      </c>
      <c r="F5674" s="3">
        <v>0</v>
      </c>
      <c r="G5674" s="3">
        <v>20321.72805677</v>
      </c>
      <c r="H5674" s="3">
        <v>0</v>
      </c>
      <c r="I5674" s="3">
        <v>0</v>
      </c>
      <c r="J5674" s="3">
        <v>0</v>
      </c>
      <c r="K5674" s="3">
        <v>0</v>
      </c>
      <c r="L5674" s="3">
        <v>0</v>
      </c>
      <c r="M5674" s="3">
        <v>0</v>
      </c>
      <c r="N5674" s="3">
        <v>0</v>
      </c>
      <c r="O5674">
        <v>769797.77194322995</v>
      </c>
      <c r="P5674">
        <v>41882460</v>
      </c>
    </row>
    <row r="5675" spans="1:16" x14ac:dyDescent="0.25">
      <c r="A5675" s="10">
        <v>46073</v>
      </c>
      <c r="B5675" s="3">
        <v>495965</v>
      </c>
      <c r="C5675" s="3">
        <v>230823</v>
      </c>
      <c r="D5675" s="3">
        <v>0</v>
      </c>
      <c r="E5675" s="3">
        <v>0</v>
      </c>
      <c r="F5675" s="3">
        <v>0</v>
      </c>
      <c r="G5675" s="3">
        <v>-219.32268618000001</v>
      </c>
      <c r="H5675" s="3">
        <v>0</v>
      </c>
      <c r="I5675" s="3">
        <v>0</v>
      </c>
      <c r="J5675" s="3">
        <v>0</v>
      </c>
      <c r="K5675" s="3">
        <v>0</v>
      </c>
      <c r="L5675" s="3">
        <v>0</v>
      </c>
      <c r="M5675" s="3">
        <v>0</v>
      </c>
      <c r="N5675" s="3">
        <v>0</v>
      </c>
      <c r="O5675">
        <v>265361.32268618001</v>
      </c>
      <c r="P5675">
        <v>42378425</v>
      </c>
    </row>
    <row r="5676" spans="1:16" x14ac:dyDescent="0.25">
      <c r="A5676" s="10">
        <v>46076</v>
      </c>
      <c r="B5676" s="3">
        <v>268462</v>
      </c>
      <c r="C5676" s="3">
        <v>129775</v>
      </c>
      <c r="D5676" s="3">
        <v>0</v>
      </c>
      <c r="E5676" s="3">
        <v>0</v>
      </c>
      <c r="F5676" s="3">
        <v>0</v>
      </c>
      <c r="G5676" s="3">
        <v>180012.00771925881</v>
      </c>
      <c r="H5676" s="3">
        <v>0</v>
      </c>
      <c r="I5676" s="3">
        <v>0</v>
      </c>
      <c r="J5676" s="3">
        <v>0</v>
      </c>
      <c r="K5676" s="3">
        <v>0</v>
      </c>
      <c r="L5676" s="3">
        <v>0</v>
      </c>
      <c r="M5676" s="3">
        <v>0</v>
      </c>
      <c r="N5676" s="3">
        <v>0</v>
      </c>
      <c r="O5676">
        <v>-41325.007719258778</v>
      </c>
      <c r="P5676">
        <v>42646887</v>
      </c>
    </row>
    <row r="5677" spans="1:16" x14ac:dyDescent="0.25">
      <c r="A5677" s="10">
        <v>46077</v>
      </c>
      <c r="B5677" s="3">
        <v>-46445</v>
      </c>
      <c r="C5677" s="3">
        <v>66176.5</v>
      </c>
      <c r="D5677" s="3">
        <v>0</v>
      </c>
      <c r="E5677" s="3">
        <v>0</v>
      </c>
      <c r="F5677" s="3">
        <v>0</v>
      </c>
      <c r="G5677" s="3">
        <v>-98570.754575910978</v>
      </c>
      <c r="H5677" s="3">
        <v>0</v>
      </c>
      <c r="I5677" s="3">
        <v>0</v>
      </c>
      <c r="J5677" s="3">
        <v>0</v>
      </c>
      <c r="K5677" s="3">
        <v>0</v>
      </c>
      <c r="L5677" s="3">
        <v>0</v>
      </c>
      <c r="M5677" s="3">
        <v>0</v>
      </c>
      <c r="N5677" s="3">
        <v>0</v>
      </c>
      <c r="O5677">
        <v>-14050.74542408902</v>
      </c>
      <c r="P5677">
        <v>42600442</v>
      </c>
    </row>
    <row r="5678" spans="1:16" x14ac:dyDescent="0.25">
      <c r="A5678" s="10">
        <v>46078</v>
      </c>
      <c r="B5678" s="3">
        <v>-1367479</v>
      </c>
      <c r="C5678" s="3">
        <v>117932.5</v>
      </c>
      <c r="D5678" s="3">
        <v>0</v>
      </c>
      <c r="E5678" s="3">
        <v>0</v>
      </c>
      <c r="F5678" s="3">
        <v>0</v>
      </c>
      <c r="G5678" s="3">
        <v>-4200.5228869998828</v>
      </c>
      <c r="H5678" s="3">
        <v>0</v>
      </c>
      <c r="I5678" s="3">
        <v>0</v>
      </c>
      <c r="J5678" s="3">
        <v>0</v>
      </c>
      <c r="K5678" s="3">
        <v>0</v>
      </c>
      <c r="L5678" s="3">
        <v>0</v>
      </c>
      <c r="M5678" s="3">
        <v>0</v>
      </c>
      <c r="N5678" s="3">
        <v>0</v>
      </c>
      <c r="O5678">
        <v>-1481210.9771129999</v>
      </c>
      <c r="P5678">
        <v>41232963</v>
      </c>
    </row>
    <row r="5679" spans="1:16" x14ac:dyDescent="0.25">
      <c r="A5679" s="10">
        <v>46079</v>
      </c>
      <c r="B5679" s="3">
        <v>181276</v>
      </c>
      <c r="C5679" s="3">
        <v>57736</v>
      </c>
      <c r="D5679" s="3">
        <v>0</v>
      </c>
      <c r="E5679" s="3">
        <v>0</v>
      </c>
      <c r="F5679" s="3">
        <v>0</v>
      </c>
      <c r="G5679" s="3">
        <v>-61604.378396159038</v>
      </c>
      <c r="H5679" s="3">
        <v>0</v>
      </c>
      <c r="I5679" s="3">
        <v>0</v>
      </c>
      <c r="J5679" s="3">
        <v>0</v>
      </c>
      <c r="K5679" s="3">
        <v>0</v>
      </c>
      <c r="L5679" s="3">
        <v>0</v>
      </c>
      <c r="M5679" s="3">
        <v>0</v>
      </c>
      <c r="N5679" s="3">
        <v>0</v>
      </c>
      <c r="O5679">
        <v>185144.37839615901</v>
      </c>
      <c r="P5679">
        <v>41414239</v>
      </c>
    </row>
    <row r="5680" spans="1:16" x14ac:dyDescent="0.25">
      <c r="A5680" s="10">
        <v>46080</v>
      </c>
      <c r="B5680" s="3">
        <v>-427535</v>
      </c>
      <c r="C5680" s="3">
        <v>46359</v>
      </c>
      <c r="D5680" s="3">
        <v>0</v>
      </c>
      <c r="E5680" s="3">
        <v>0</v>
      </c>
      <c r="F5680" s="3">
        <v>0</v>
      </c>
      <c r="G5680" s="3">
        <v>475385.51209494012</v>
      </c>
      <c r="H5680" s="3">
        <v>0</v>
      </c>
      <c r="I5680" s="3">
        <v>0</v>
      </c>
      <c r="J5680" s="3">
        <v>0</v>
      </c>
      <c r="K5680" s="3">
        <v>0</v>
      </c>
      <c r="L5680" s="3">
        <v>0</v>
      </c>
      <c r="M5680" s="3">
        <v>0</v>
      </c>
      <c r="N5680" s="3">
        <v>0</v>
      </c>
      <c r="O5680">
        <v>-949279.51209494006</v>
      </c>
      <c r="P5680">
        <v>40986704</v>
      </c>
    </row>
    <row r="5681" spans="1:16" x14ac:dyDescent="0.25">
      <c r="A5681" s="10">
        <v>46083</v>
      </c>
      <c r="B5681" s="3">
        <v>1512407</v>
      </c>
      <c r="C5681" s="3">
        <v>97735</v>
      </c>
      <c r="D5681" s="3">
        <v>0</v>
      </c>
      <c r="E5681" s="3">
        <v>0</v>
      </c>
      <c r="F5681" s="3">
        <v>0</v>
      </c>
      <c r="G5681" s="3">
        <v>88.834372970275581</v>
      </c>
      <c r="H5681" s="3">
        <v>0</v>
      </c>
      <c r="I5681" s="3">
        <v>0</v>
      </c>
      <c r="J5681" s="3">
        <v>0</v>
      </c>
      <c r="K5681" s="3">
        <v>0</v>
      </c>
      <c r="L5681" s="3">
        <v>0</v>
      </c>
      <c r="M5681" s="3">
        <v>0</v>
      </c>
      <c r="N5681" s="3">
        <v>0</v>
      </c>
      <c r="O5681">
        <v>1414583.16562703</v>
      </c>
      <c r="P5681">
        <v>42499111</v>
      </c>
    </row>
    <row r="5682" spans="1:16" x14ac:dyDescent="0.25">
      <c r="A5682" s="10">
        <v>46084</v>
      </c>
      <c r="B5682" s="3">
        <v>142270</v>
      </c>
      <c r="C5682" s="3">
        <v>24055</v>
      </c>
      <c r="D5682" s="3">
        <v>0</v>
      </c>
      <c r="E5682" s="3">
        <v>0</v>
      </c>
      <c r="F5682" s="3">
        <v>0</v>
      </c>
      <c r="G5682" s="3">
        <v>-339.46517840959132</v>
      </c>
      <c r="H5682" s="3">
        <v>0</v>
      </c>
      <c r="I5682" s="3">
        <v>0</v>
      </c>
      <c r="J5682" s="3">
        <v>0</v>
      </c>
      <c r="K5682" s="3">
        <v>0</v>
      </c>
      <c r="L5682" s="3">
        <v>0</v>
      </c>
      <c r="M5682" s="3">
        <v>0</v>
      </c>
      <c r="N5682" s="3">
        <v>0</v>
      </c>
      <c r="O5682">
        <v>118554.46517840961</v>
      </c>
      <c r="P5682">
        <v>42641381</v>
      </c>
    </row>
    <row r="5683" spans="1:16" x14ac:dyDescent="0.25">
      <c r="A5683" s="10">
        <v>46085</v>
      </c>
      <c r="B5683" s="3">
        <v>-186031</v>
      </c>
      <c r="C5683" s="3">
        <v>56180</v>
      </c>
      <c r="D5683" s="3">
        <v>0</v>
      </c>
      <c r="E5683" s="3">
        <v>0</v>
      </c>
      <c r="F5683" s="3">
        <v>0</v>
      </c>
      <c r="G5683" s="3">
        <v>-373.18554323000001</v>
      </c>
      <c r="H5683" s="3">
        <v>0</v>
      </c>
      <c r="I5683" s="3">
        <v>0</v>
      </c>
      <c r="J5683" s="3">
        <v>0</v>
      </c>
      <c r="K5683" s="3">
        <v>0</v>
      </c>
      <c r="L5683" s="3">
        <v>0</v>
      </c>
      <c r="M5683" s="3">
        <v>0</v>
      </c>
      <c r="N5683" s="3">
        <v>0</v>
      </c>
      <c r="O5683">
        <v>-241837.81445676999</v>
      </c>
      <c r="P5683">
        <v>42455350</v>
      </c>
    </row>
    <row r="5684" spans="1:16" x14ac:dyDescent="0.25">
      <c r="A5684" s="10">
        <v>46086</v>
      </c>
      <c r="B5684" s="3">
        <v>36434</v>
      </c>
      <c r="C5684" s="3">
        <v>174890.5</v>
      </c>
      <c r="D5684" s="3">
        <v>0</v>
      </c>
      <c r="E5684" s="3">
        <v>0</v>
      </c>
      <c r="F5684" s="3">
        <v>0</v>
      </c>
      <c r="G5684" s="3">
        <v>-243.85923847000001</v>
      </c>
      <c r="H5684" s="3">
        <v>0</v>
      </c>
      <c r="I5684" s="3">
        <v>0</v>
      </c>
      <c r="J5684" s="3">
        <v>0</v>
      </c>
      <c r="K5684" s="3">
        <v>0</v>
      </c>
      <c r="L5684" s="3">
        <v>0</v>
      </c>
      <c r="M5684" s="3">
        <v>0</v>
      </c>
      <c r="N5684" s="3">
        <v>0</v>
      </c>
      <c r="O5684">
        <v>-138212.64076153</v>
      </c>
      <c r="P5684">
        <v>42491784</v>
      </c>
    </row>
    <row r="5685" spans="1:16" x14ac:dyDescent="0.25">
      <c r="A5685" s="10">
        <v>46087</v>
      </c>
      <c r="B5685" s="3">
        <v>-164329</v>
      </c>
      <c r="C5685" s="3">
        <v>56570</v>
      </c>
      <c r="D5685" s="3">
        <v>0</v>
      </c>
      <c r="E5685" s="3">
        <v>0</v>
      </c>
      <c r="F5685" s="3">
        <v>0</v>
      </c>
      <c r="G5685" s="3">
        <v>-318.71589776035398</v>
      </c>
      <c r="H5685" s="3">
        <v>0</v>
      </c>
      <c r="I5685" s="3">
        <v>0</v>
      </c>
      <c r="J5685" s="3">
        <v>0</v>
      </c>
      <c r="K5685" s="3">
        <v>0</v>
      </c>
      <c r="L5685" s="3">
        <v>0</v>
      </c>
      <c r="M5685" s="3">
        <v>0</v>
      </c>
      <c r="N5685" s="3">
        <v>0</v>
      </c>
      <c r="O5685">
        <v>-220580.28410223959</v>
      </c>
      <c r="P5685">
        <v>42327455</v>
      </c>
    </row>
    <row r="5686" spans="1:16" x14ac:dyDescent="0.25">
      <c r="A5686" s="10">
        <v>46090</v>
      </c>
      <c r="B5686" s="3">
        <v>-989695</v>
      </c>
      <c r="C5686" s="3">
        <v>70970</v>
      </c>
      <c r="D5686" s="3">
        <v>0</v>
      </c>
      <c r="E5686" s="3">
        <v>0</v>
      </c>
      <c r="F5686" s="3">
        <v>0</v>
      </c>
      <c r="G5686" s="3">
        <v>-477.62293258</v>
      </c>
      <c r="H5686" s="3">
        <v>0</v>
      </c>
      <c r="I5686" s="3">
        <v>0</v>
      </c>
      <c r="J5686" s="3">
        <v>0</v>
      </c>
      <c r="K5686" s="3">
        <v>0</v>
      </c>
      <c r="L5686" s="3">
        <v>0</v>
      </c>
      <c r="M5686" s="3">
        <v>0</v>
      </c>
      <c r="N5686" s="3">
        <v>0</v>
      </c>
      <c r="O5686">
        <v>-1060187.3770674199</v>
      </c>
      <c r="P5686">
        <v>41337760</v>
      </c>
    </row>
    <row r="5687" spans="1:16" x14ac:dyDescent="0.25">
      <c r="A5687" s="10">
        <v>46091</v>
      </c>
      <c r="B5687" s="3">
        <v>-538626</v>
      </c>
      <c r="C5687" s="3">
        <v>94099.25</v>
      </c>
      <c r="D5687" s="3">
        <v>0</v>
      </c>
      <c r="E5687" s="3">
        <v>0</v>
      </c>
      <c r="F5687" s="3">
        <v>0</v>
      </c>
      <c r="G5687" s="3">
        <v>-247.02471794001761</v>
      </c>
      <c r="H5687" s="3">
        <v>0</v>
      </c>
      <c r="I5687" s="3">
        <v>0</v>
      </c>
      <c r="J5687" s="3">
        <v>0</v>
      </c>
      <c r="K5687" s="3">
        <v>0</v>
      </c>
      <c r="L5687" s="3">
        <v>0</v>
      </c>
      <c r="M5687" s="3">
        <v>0</v>
      </c>
      <c r="N5687" s="3">
        <v>0</v>
      </c>
      <c r="O5687">
        <v>-632478.22528205998</v>
      </c>
      <c r="P5687">
        <v>40799134</v>
      </c>
    </row>
    <row r="5688" spans="1:16" x14ac:dyDescent="0.25">
      <c r="A5688" s="10">
        <v>46092</v>
      </c>
      <c r="B5688" s="3">
        <v>-62278</v>
      </c>
      <c r="C5688" s="3">
        <v>120174</v>
      </c>
      <c r="D5688" s="3">
        <v>0</v>
      </c>
      <c r="E5688" s="3">
        <v>0</v>
      </c>
      <c r="F5688" s="3">
        <v>0</v>
      </c>
      <c r="G5688" s="3">
        <v>-508.06671113000078</v>
      </c>
      <c r="H5688" s="3">
        <v>0</v>
      </c>
      <c r="I5688" s="3">
        <v>0</v>
      </c>
      <c r="J5688" s="3">
        <v>0</v>
      </c>
      <c r="K5688" s="3">
        <v>0</v>
      </c>
      <c r="L5688" s="3">
        <v>0</v>
      </c>
      <c r="M5688" s="3">
        <v>0</v>
      </c>
      <c r="N5688" s="3">
        <v>0</v>
      </c>
      <c r="O5688">
        <v>-181943.93328887</v>
      </c>
      <c r="P5688">
        <v>40736856</v>
      </c>
    </row>
    <row r="5689" spans="1:16" x14ac:dyDescent="0.25">
      <c r="A5689" s="10">
        <v>46093</v>
      </c>
      <c r="B5689" s="3">
        <v>670750</v>
      </c>
      <c r="C5689" s="3">
        <v>65739.5</v>
      </c>
      <c r="D5689" s="3">
        <v>0</v>
      </c>
      <c r="E5689" s="3">
        <v>0</v>
      </c>
      <c r="F5689" s="3">
        <v>0</v>
      </c>
      <c r="G5689" s="3">
        <v>-921.64746942983209</v>
      </c>
      <c r="H5689" s="3">
        <v>0</v>
      </c>
      <c r="I5689" s="3">
        <v>0</v>
      </c>
      <c r="J5689" s="3">
        <v>0</v>
      </c>
      <c r="K5689" s="3">
        <v>0</v>
      </c>
      <c r="L5689" s="3">
        <v>0</v>
      </c>
      <c r="M5689" s="3">
        <v>0</v>
      </c>
      <c r="N5689" s="3">
        <v>0</v>
      </c>
      <c r="O5689">
        <v>605932.14746942988</v>
      </c>
      <c r="P5689">
        <v>41407606</v>
      </c>
    </row>
    <row r="5690" spans="1:16" x14ac:dyDescent="0.25">
      <c r="A5690" s="10">
        <v>46094</v>
      </c>
      <c r="B5690" s="3">
        <v>-222335</v>
      </c>
      <c r="C5690" s="3">
        <v>62602.5</v>
      </c>
      <c r="D5690" s="3">
        <v>0</v>
      </c>
      <c r="E5690" s="3">
        <v>0</v>
      </c>
      <c r="F5690" s="3">
        <v>0</v>
      </c>
      <c r="G5690" s="3">
        <v>-1829.575390419923</v>
      </c>
      <c r="H5690" s="3">
        <v>0</v>
      </c>
      <c r="I5690" s="3">
        <v>0</v>
      </c>
      <c r="J5690" s="3">
        <v>0</v>
      </c>
      <c r="K5690" s="3">
        <v>0</v>
      </c>
      <c r="L5690" s="3">
        <v>0</v>
      </c>
      <c r="M5690" s="3">
        <v>0</v>
      </c>
      <c r="N5690" s="3">
        <v>0</v>
      </c>
      <c r="O5690">
        <v>-283107.92460958008</v>
      </c>
      <c r="P5690">
        <v>41185271</v>
      </c>
    </row>
    <row r="5691" spans="1:16" x14ac:dyDescent="0.25">
      <c r="A5691" s="10">
        <v>46097</v>
      </c>
      <c r="B5691" s="3">
        <v>-965696</v>
      </c>
      <c r="C5691" s="3">
        <v>69790</v>
      </c>
      <c r="D5691" s="3">
        <v>0</v>
      </c>
      <c r="E5691" s="3">
        <v>0</v>
      </c>
      <c r="F5691" s="3">
        <v>0</v>
      </c>
      <c r="G5691" s="3">
        <v>-777763.7393042203</v>
      </c>
      <c r="H5691" s="3">
        <v>0</v>
      </c>
      <c r="I5691" s="3">
        <v>0</v>
      </c>
      <c r="J5691" s="3">
        <v>0</v>
      </c>
      <c r="K5691" s="3">
        <v>0</v>
      </c>
      <c r="L5691" s="3">
        <v>0</v>
      </c>
      <c r="M5691" s="3">
        <v>0</v>
      </c>
      <c r="N5691" s="3">
        <v>0</v>
      </c>
      <c r="O5691">
        <v>-257722.2606957797</v>
      </c>
      <c r="P5691">
        <v>40219575</v>
      </c>
    </row>
    <row r="5692" spans="1:16" x14ac:dyDescent="0.25">
      <c r="A5692" s="10">
        <v>46098</v>
      </c>
      <c r="B5692" s="3">
        <v>-678182</v>
      </c>
      <c r="C5692" s="3">
        <v>102001</v>
      </c>
      <c r="D5692" s="3">
        <v>0</v>
      </c>
      <c r="E5692" s="3">
        <v>0</v>
      </c>
      <c r="F5692" s="3">
        <v>0</v>
      </c>
      <c r="G5692" s="3">
        <v>-447.04872943999999</v>
      </c>
      <c r="H5692" s="3">
        <v>0</v>
      </c>
      <c r="I5692" s="3">
        <v>0</v>
      </c>
      <c r="J5692" s="3">
        <v>0</v>
      </c>
      <c r="K5692" s="3">
        <v>0</v>
      </c>
      <c r="L5692" s="3">
        <v>0</v>
      </c>
      <c r="M5692" s="3">
        <v>0</v>
      </c>
      <c r="N5692" s="3">
        <v>0</v>
      </c>
      <c r="O5692">
        <v>-779735.95127056004</v>
      </c>
      <c r="P5692">
        <v>39541393</v>
      </c>
    </row>
    <row r="5693" spans="1:16" x14ac:dyDescent="0.25">
      <c r="A5693" s="10">
        <v>46099</v>
      </c>
      <c r="B5693" s="3">
        <v>-514826</v>
      </c>
      <c r="C5693" s="3">
        <v>81161</v>
      </c>
      <c r="D5693" s="3">
        <v>0</v>
      </c>
      <c r="E5693" s="3">
        <v>0</v>
      </c>
      <c r="F5693" s="3">
        <v>0</v>
      </c>
      <c r="G5693" s="3">
        <v>-28.768287579999988</v>
      </c>
      <c r="H5693" s="3">
        <v>0</v>
      </c>
      <c r="I5693" s="3">
        <v>0</v>
      </c>
      <c r="J5693" s="3">
        <v>0</v>
      </c>
      <c r="K5693" s="3">
        <v>0</v>
      </c>
      <c r="L5693" s="3">
        <v>0</v>
      </c>
      <c r="M5693" s="3">
        <v>0</v>
      </c>
      <c r="N5693" s="3">
        <v>0</v>
      </c>
      <c r="O5693">
        <v>-595958.23171242001</v>
      </c>
      <c r="P5693">
        <v>39026567</v>
      </c>
    </row>
    <row r="5694" spans="1:16" x14ac:dyDescent="0.25">
      <c r="A5694" s="10">
        <v>46100</v>
      </c>
      <c r="B5694" s="3">
        <v>981986</v>
      </c>
      <c r="C5694" s="3">
        <v>184188</v>
      </c>
      <c r="D5694" s="3">
        <v>0</v>
      </c>
      <c r="E5694" s="3">
        <v>0</v>
      </c>
      <c r="F5694" s="3">
        <v>0</v>
      </c>
      <c r="G5694" s="3">
        <v>3672.55040371</v>
      </c>
      <c r="H5694" s="3">
        <v>0</v>
      </c>
      <c r="I5694" s="3">
        <v>0</v>
      </c>
      <c r="J5694" s="3">
        <v>0</v>
      </c>
      <c r="K5694" s="3">
        <v>0</v>
      </c>
      <c r="L5694" s="3">
        <v>0</v>
      </c>
      <c r="M5694" s="3">
        <v>0</v>
      </c>
      <c r="N5694" s="3">
        <v>0</v>
      </c>
      <c r="O5694">
        <v>794125.44959629001</v>
      </c>
      <c r="P5694">
        <v>40008553</v>
      </c>
    </row>
    <row r="5695" spans="1:16" x14ac:dyDescent="0.25">
      <c r="A5695" s="10">
        <v>46101</v>
      </c>
      <c r="B5695" s="3">
        <v>506032</v>
      </c>
      <c r="C5695" s="3">
        <v>239815</v>
      </c>
      <c r="D5695" s="3">
        <v>0</v>
      </c>
      <c r="E5695" s="3">
        <v>0</v>
      </c>
      <c r="F5695" s="3">
        <v>0</v>
      </c>
      <c r="G5695" s="3">
        <v>1506.5655933600001</v>
      </c>
      <c r="H5695" s="3">
        <v>0</v>
      </c>
      <c r="I5695" s="3">
        <v>0</v>
      </c>
      <c r="J5695" s="3">
        <v>0</v>
      </c>
      <c r="K5695" s="3">
        <v>0</v>
      </c>
      <c r="L5695" s="3">
        <v>0</v>
      </c>
      <c r="M5695" s="3">
        <v>0</v>
      </c>
      <c r="N5695" s="3">
        <v>0</v>
      </c>
      <c r="O5695">
        <v>264710.43440664001</v>
      </c>
      <c r="P5695">
        <v>40514585</v>
      </c>
    </row>
    <row r="5696" spans="1:16" x14ac:dyDescent="0.25">
      <c r="A5696" s="10">
        <v>46106</v>
      </c>
      <c r="B5696" s="3">
        <v>660444</v>
      </c>
      <c r="C5696" s="3">
        <v>201926.25</v>
      </c>
      <c r="D5696" s="3">
        <v>0</v>
      </c>
      <c r="E5696" s="3">
        <v>0</v>
      </c>
      <c r="F5696" s="3">
        <v>0</v>
      </c>
      <c r="G5696" s="3">
        <v>756.65132911037654</v>
      </c>
      <c r="H5696" s="3">
        <v>0</v>
      </c>
      <c r="I5696" s="3">
        <v>0</v>
      </c>
      <c r="J5696" s="3">
        <v>0</v>
      </c>
      <c r="K5696" s="3">
        <v>0</v>
      </c>
      <c r="L5696" s="3">
        <v>0</v>
      </c>
      <c r="M5696" s="3">
        <v>0</v>
      </c>
      <c r="N5696" s="3">
        <v>0</v>
      </c>
      <c r="O5696">
        <v>457761.09867088962</v>
      </c>
      <c r="P5696">
        <v>41175029</v>
      </c>
    </row>
    <row r="5697" spans="1:16" x14ac:dyDescent="0.25">
      <c r="A5697" s="10">
        <v>46107</v>
      </c>
      <c r="B5697" s="3">
        <v>-741422</v>
      </c>
      <c r="C5697" s="3">
        <v>78040.5</v>
      </c>
      <c r="D5697" s="3">
        <v>0</v>
      </c>
      <c r="E5697" s="3">
        <v>0</v>
      </c>
      <c r="F5697" s="3">
        <v>0</v>
      </c>
      <c r="G5697" s="3">
        <v>8282.6767415096983</v>
      </c>
      <c r="H5697" s="3">
        <v>0</v>
      </c>
      <c r="I5697" s="3">
        <v>0</v>
      </c>
      <c r="J5697" s="3">
        <v>0</v>
      </c>
      <c r="K5697" s="3">
        <v>0</v>
      </c>
      <c r="L5697" s="3">
        <v>0</v>
      </c>
      <c r="M5697" s="3">
        <v>0</v>
      </c>
      <c r="N5697" s="3">
        <v>0</v>
      </c>
      <c r="O5697">
        <v>-827745.1767415097</v>
      </c>
      <c r="P5697">
        <v>40433607</v>
      </c>
    </row>
    <row r="5698" spans="1:16" x14ac:dyDescent="0.25">
      <c r="A5698" s="10">
        <v>46108</v>
      </c>
      <c r="B5698" s="3">
        <v>-759102</v>
      </c>
      <c r="C5698" s="3">
        <v>66078</v>
      </c>
      <c r="D5698" s="3">
        <v>0</v>
      </c>
      <c r="E5698" s="3">
        <v>0</v>
      </c>
      <c r="F5698" s="3">
        <v>0</v>
      </c>
      <c r="G5698" s="3">
        <v>-809.94684979012322</v>
      </c>
      <c r="H5698" s="3">
        <v>0</v>
      </c>
      <c r="I5698" s="3">
        <v>0</v>
      </c>
      <c r="J5698" s="3">
        <v>0</v>
      </c>
      <c r="K5698" s="3">
        <v>0</v>
      </c>
      <c r="L5698" s="3">
        <v>0</v>
      </c>
      <c r="M5698" s="3">
        <v>0</v>
      </c>
      <c r="N5698" s="3">
        <v>0</v>
      </c>
      <c r="O5698">
        <v>-824370.05315020983</v>
      </c>
      <c r="P5698">
        <v>39674505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0B84E-66BE-4D8A-B7D5-0278E2D9C489}">
  <dimension ref="A1"/>
  <sheetViews>
    <sheetView workbookViewId="0">
      <selection sqref="A1:P4913"/>
    </sheetView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Hoja1</vt:lpstr>
      <vt:lpstr>Hoja2</vt:lpstr>
      <vt:lpstr>Hoja5</vt:lpstr>
      <vt:lpstr>Hoja4</vt:lpstr>
      <vt:lpstr>Hoja3</vt:lpstr>
      <vt:lpstr>Hoja6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2026-04-06T02:11:59Z</dcterms:created>
  <dcterms:modified xsi:type="dcterms:W3CDTF">2026-04-08T21:02:44Z</dcterms:modified>
</cp:coreProperties>
</file>